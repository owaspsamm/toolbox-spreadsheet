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codeName="ThisWorkbook"/>
  <mc:AlternateContent xmlns:mc="http://schemas.openxmlformats.org/markup-compatibility/2006">
    <mc:Choice Requires="x15">
      <x15ac:absPath xmlns:x15ac="http://schemas.microsoft.com/office/spreadsheetml/2010/11/ac" url="/Users/sebastiendeleersnyder/Downloads/"/>
    </mc:Choice>
  </mc:AlternateContent>
  <xr:revisionPtr revIDLastSave="0" documentId="13_ncr:1_{55A2148C-A209-BC44-88BF-3296265582DA}" xr6:coauthVersionLast="47" xr6:coauthVersionMax="47" xr10:uidLastSave="{00000000-0000-0000-0000-000000000000}"/>
  <bookViews>
    <workbookView xWindow="0" yWindow="760" windowWidth="30240" windowHeight="18880" activeTab="1" xr2:uid="{00000000-000D-0000-FFFF-FFFF00000000}"/>
  </bookViews>
  <sheets>
    <sheet name="Attribution and License" sheetId="1" r:id="rId1"/>
    <sheet name="Getting Started" sheetId="12" r:id="rId2"/>
    <sheet name="Benchmark" sheetId="2" r:id="rId3"/>
    <sheet name="Interview" sheetId="3" r:id="rId4"/>
    <sheet name="Scorecard" sheetId="4" r:id="rId5"/>
    <sheet name="Roadmap" sheetId="5" r:id="rId6"/>
    <sheet name="Roadmap Chart" sheetId="6" state="hidden" r:id="rId7"/>
    <sheet name="Lookups" sheetId="7" state="hidden" r:id="rId8"/>
    <sheet name="imp-questions" sheetId="8" state="hidden" r:id="rId9"/>
    <sheet name="DV-Lists" sheetId="9" state="hidden" r:id="rId10"/>
    <sheet name="imp-answers" sheetId="10" state="hidden" r:id="rId11"/>
    <sheet name="Background Images" sheetId="11" state="hidden" r:id="rId12"/>
  </sheets>
  <definedNames>
    <definedName name="_xlnm._FilterDatabase" localSheetId="8" hidden="1">'imp-questions'!$A$1:$H$91</definedName>
    <definedName name="AnsA">Lookups!$P$4:$P$7</definedName>
    <definedName name="AnsATBL">Lookups!$P$4:$Q$7</definedName>
    <definedName name="AnsB">Lookups!$P$10:$P$13</definedName>
    <definedName name="AnsBTBL">Lookups!$P$10:$Q$13</definedName>
    <definedName name="AnsC">Lookups!$P$16:$P$19</definedName>
    <definedName name="AnsCTBL">Lookups!$P$16:$Q$19</definedName>
    <definedName name="AnsD">Lookups!$P$22:$P$25</definedName>
    <definedName name="AnsDTBL">Lookups!$P$22:$Q$25</definedName>
    <definedName name="AnsE">Lookups!$P$28:$P$31</definedName>
    <definedName name="AnsETBL">Lookups!$P$28:$Q$31</definedName>
    <definedName name="AnsF">Lookups!$P$34:$P$37</definedName>
    <definedName name="AnsFTBL">Lookups!$P$34:$Q$37</definedName>
    <definedName name="AnsG">Lookups!$P$40:$P$43</definedName>
    <definedName name="AnsGTBL">Lookups!$P$40:$Q$43</definedName>
    <definedName name="AnsH">Lookups!$P$46:$P$49</definedName>
    <definedName name="AnsHTBL">Lookups!$P$46:$Q$49</definedName>
    <definedName name="AnsI">Lookups!$P$52:$P$55</definedName>
    <definedName name="AnsITBL">Lookups!$P$52:$Q$55</definedName>
    <definedName name="AnsJ">Lookups!$P$58:$P$61</definedName>
    <definedName name="AnsJTBL">Lookups!$P$58:$Q$61</definedName>
    <definedName name="AnsK">Lookups!$P$64:$P$67</definedName>
    <definedName name="AnsKTBL">Lookups!$P$64:$Q$67</definedName>
    <definedName name="AnsL">Lookups!$P$70:$P$73</definedName>
    <definedName name="AnsLTBL">Lookups!$P$70:$Q$73</definedName>
    <definedName name="AnsM">Lookups!$P$76:$P$79</definedName>
    <definedName name="AnsMTBL">Lookups!$P$76:$Q$79</definedName>
    <definedName name="AnsN">Lookups!$P$82:$P$85</definedName>
    <definedName name="AnsNTBL">Lookups!$P$82:$Q$85</definedName>
    <definedName name="AnsO">Lookups!$P$88:$P$91</definedName>
    <definedName name="AnsOTBL">Lookups!$P$88:$Q$91</definedName>
    <definedName name="AnsP">Lookups!$P$94:$P$97</definedName>
    <definedName name="AnsPTBL">Lookups!$P$94:$Q$97</definedName>
    <definedName name="AnsQ">Lookups!$P$100:$P$103</definedName>
    <definedName name="AnsQTBL">Lookups!$P$100:$Q$103</definedName>
    <definedName name="AnsR">Lookups!$P$106:$P$109</definedName>
    <definedName name="AnsRTBL">Lookups!$P$106:$Q$109</definedName>
    <definedName name="AnsS">Lookups!$P$112:$P$115</definedName>
    <definedName name="AnsSTBL">Lookups!$P$112:$Q$115</definedName>
    <definedName name="AnsT">Lookups!$P$118:$P$121</definedName>
    <definedName name="AnsTTBL">Lookups!$P$118:$Q$121</definedName>
    <definedName name="AnsU">Lookups!$P$124:$P$127</definedName>
    <definedName name="AnsUTBL">Lookups!$P$124:$Q$127</definedName>
    <definedName name="AnsV">Lookups!$P$130:$P$133</definedName>
    <definedName name="AnsVTBL">Lookups!$P$130:$Q$133</definedName>
    <definedName name="AnsW">Lookups!$P$136:$P$139</definedName>
    <definedName name="AnsWTBL">Lookups!$P$136:$Q$139</definedName>
    <definedName name="AnsX">Lookups!$P$142:$P$145</definedName>
    <definedName name="AnsXTBL">Lookups!$P$142:$Q$145</definedName>
    <definedName name="AnsY">Lookups!$P$148:$P$151</definedName>
    <definedName name="AnsYTBL">Lookups!$P$148:$Q$151</definedName>
    <definedName name="D_SA_A_1_1" localSheetId="2">#REF!</definedName>
    <definedName name="D_SA_A_1_1">'DV-Lists'!$A$9:$A$13</definedName>
    <definedName name="D_SA_A_2_1" localSheetId="2">#REF!</definedName>
    <definedName name="D_SA_A_2_1">'DV-Lists'!$C$9:$C$13</definedName>
    <definedName name="D_SA_A_3_1" localSheetId="2">#REF!</definedName>
    <definedName name="D_SA_A_3_1">'DV-Lists'!$E$9:$E$13</definedName>
    <definedName name="D_SA_B_1_1" localSheetId="2">#REF!</definedName>
    <definedName name="D_SA_B_1_1">'DV-Lists'!$B$9:$B$13</definedName>
    <definedName name="D_SA_B_2_1" localSheetId="2">#REF!</definedName>
    <definedName name="D_SA_B_2_1">'DV-Lists'!$D$9:$D$13</definedName>
    <definedName name="D_SA_B_3_1" localSheetId="2">#REF!</definedName>
    <definedName name="D_SA_B_3_1">'DV-Lists'!$F$9:$F$13</definedName>
    <definedName name="D_SR_A_1_1" localSheetId="2">#REF!</definedName>
    <definedName name="D_SR_A_1_1">'DV-Lists'!$G$9:$G$13</definedName>
    <definedName name="D_SR_A_2_1" localSheetId="2">#REF!</definedName>
    <definedName name="D_SR_A_2_1">'DV-Lists'!$I$9:$I$13</definedName>
    <definedName name="D_SR_A_3_1" localSheetId="2">#REF!</definedName>
    <definedName name="D_SR_A_3_1">'DV-Lists'!$K$9:$K$13</definedName>
    <definedName name="D_SR_B_1_1" localSheetId="2">#REF!</definedName>
    <definedName name="D_SR_B_1_1">'DV-Lists'!$H$9:$H$13</definedName>
    <definedName name="D_SR_B_2_1" localSheetId="2">#REF!</definedName>
    <definedName name="D_SR_B_2_1">'DV-Lists'!$J$9:$J$13</definedName>
    <definedName name="D_SR_B_3_1" localSheetId="2">#REF!</definedName>
    <definedName name="D_SR_B_3_1">'DV-Lists'!$L$9:$L$13</definedName>
    <definedName name="D_TA_A_1_1" localSheetId="2">#REF!</definedName>
    <definedName name="D_TA_A_1_1">'DV-Lists'!$M$9:$M$13</definedName>
    <definedName name="D_TA_A_2_1" localSheetId="2">#REF!</definedName>
    <definedName name="D_TA_A_2_1">'DV-Lists'!$O$9:$O$13</definedName>
    <definedName name="D_TA_A_3_1" localSheetId="2">#REF!</definedName>
    <definedName name="D_TA_A_3_1">'DV-Lists'!$Q$9:$Q$13</definedName>
    <definedName name="D_TA_B_1_1" localSheetId="2">#REF!</definedName>
    <definedName name="D_TA_B_1_1">'DV-Lists'!$N$9:$N$13</definedName>
    <definedName name="D_TA_B_2_1" localSheetId="2">#REF!</definedName>
    <definedName name="D_TA_B_2_1">'DV-Lists'!$P$9:$P$13</definedName>
    <definedName name="D_TA_B_3_1" localSheetId="2">#REF!</definedName>
    <definedName name="D_TA_B_3_1">'DV-Lists'!$R$9:$R$13</definedName>
    <definedName name="G_EG_A_1_1" localSheetId="2">#REF!</definedName>
    <definedName name="G_EG_A_1_1">'DV-Lists'!$A$2:$A$6</definedName>
    <definedName name="G_EG_A_2_1" localSheetId="2">#REF!</definedName>
    <definedName name="G_EG_A_2_1">'DV-Lists'!$C$2:$C$6</definedName>
    <definedName name="G_EG_A_3_1" localSheetId="2">#REF!</definedName>
    <definedName name="G_EG_A_3_1">'DV-Lists'!$E$2:$E$6</definedName>
    <definedName name="G_EG_B_1_1" localSheetId="2">#REF!</definedName>
    <definedName name="G_EG_B_1_1">'DV-Lists'!$B$2:$B$6</definedName>
    <definedName name="G_EG_B_2_1" localSheetId="2">#REF!</definedName>
    <definedName name="G_EG_B_2_1">'DV-Lists'!$D$2:$D$6</definedName>
    <definedName name="G_EG_B_3_1" localSheetId="2">#REF!</definedName>
    <definedName name="G_EG_B_3_1">'DV-Lists'!$F$2:$F$6</definedName>
    <definedName name="G_PC_A_1_1" localSheetId="2">#REF!</definedName>
    <definedName name="G_PC_A_1_1">'DV-Lists'!$G$2:$G$6</definedName>
    <definedName name="G_PC_A_2_1" localSheetId="2">#REF!</definedName>
    <definedName name="G_PC_A_2_1">'DV-Lists'!$I$2:$I$6</definedName>
    <definedName name="G_PC_A_3_1" localSheetId="2">#REF!</definedName>
    <definedName name="G_PC_A_3_1">'DV-Lists'!$K$2:$K$6</definedName>
    <definedName name="G_PC_B_1_1" localSheetId="2">#REF!</definedName>
    <definedName name="G_PC_B_1_1">'DV-Lists'!$H$2:$H$6</definedName>
    <definedName name="G_PC_B_2_1" localSheetId="2">#REF!</definedName>
    <definedName name="G_PC_B_2_1">'DV-Lists'!$J$2:$J$6</definedName>
    <definedName name="G_PC_B_3_1" localSheetId="2">#REF!</definedName>
    <definedName name="G_PC_B_3_1">'DV-Lists'!$L$2:$L$6</definedName>
    <definedName name="G_SM_A_1_1" localSheetId="2">#REF!</definedName>
    <definedName name="G_SM_A_1_1">'DV-Lists'!$M$2:$M$6</definedName>
    <definedName name="G_SM_A_2_1" localSheetId="2">#REF!</definedName>
    <definedName name="G_SM_A_2_1">'DV-Lists'!$O$2:$O$6</definedName>
    <definedName name="G_SM_A_3_1" localSheetId="2">#REF!</definedName>
    <definedName name="G_SM_A_3_1">'DV-Lists'!$Q$2:$Q$6</definedName>
    <definedName name="G_SM_B_1_1" localSheetId="2">#REF!</definedName>
    <definedName name="G_SM_B_1_1">'DV-Lists'!$N$2:$N$6</definedName>
    <definedName name="G_SM_B_2_1" localSheetId="2">#REF!</definedName>
    <definedName name="G_SM_B_2_1">'DV-Lists'!$P$2:$P$6</definedName>
    <definedName name="G_SM_B_3_1" localSheetId="2">#REF!</definedName>
    <definedName name="G_SM_B_3_1">'DV-Lists'!$R$2:$R$6</definedName>
    <definedName name="I_DM_A_1_1" localSheetId="2">#REF!</definedName>
    <definedName name="I_DM_A_1_1">'DV-Lists'!$A$16:$A$20</definedName>
    <definedName name="I_DM_A_2_1" localSheetId="2">#REF!</definedName>
    <definedName name="I_DM_A_2_1">'DV-Lists'!$C$16:$C$20</definedName>
    <definedName name="I_DM_A_3_1" localSheetId="2">#REF!</definedName>
    <definedName name="I_DM_A_3_1">'DV-Lists'!$E$16:$E$20</definedName>
    <definedName name="I_DM_B_1_1" localSheetId="2">#REF!</definedName>
    <definedName name="I_DM_B_1_1">'DV-Lists'!$B$16:$B$20</definedName>
    <definedName name="I_DM_B_2_1" localSheetId="2">#REF!</definedName>
    <definedName name="I_DM_B_2_1">'DV-Lists'!$D$16:$D$20</definedName>
    <definedName name="I_DM_B_3_1" localSheetId="2">#REF!</definedName>
    <definedName name="I_DM_B_3_1">'DV-Lists'!$F$16:$F$20</definedName>
    <definedName name="I_SB_A_1_1" localSheetId="2">#REF!</definedName>
    <definedName name="I_SB_A_1_1">'DV-Lists'!$G$16:$G$20</definedName>
    <definedName name="I_SB_A_2_1" localSheetId="2">#REF!</definedName>
    <definedName name="I_SB_A_2_1">'DV-Lists'!$I$16:$I$20</definedName>
    <definedName name="I_SB_A_3_1" localSheetId="2">#REF!</definedName>
    <definedName name="I_SB_A_3_1">'DV-Lists'!$K$16:$K$20</definedName>
    <definedName name="I_SB_B_1_1" localSheetId="2">#REF!</definedName>
    <definedName name="I_SB_B_1_1">'DV-Lists'!$H$16:$H$20</definedName>
    <definedName name="I_SB_B_2_1" localSheetId="2">#REF!</definedName>
    <definedName name="I_SB_B_2_1">'DV-Lists'!$J$16:$J$20</definedName>
    <definedName name="I_SB_B_3_1" localSheetId="2">#REF!</definedName>
    <definedName name="I_SB_B_3_1">'DV-Lists'!$L$16:$L$20</definedName>
    <definedName name="I_SD_A_1_1" localSheetId="2">#REF!</definedName>
    <definedName name="I_SD_A_1_1">'DV-Lists'!$M$16:$M$20</definedName>
    <definedName name="I_SD_A_2_1" localSheetId="2">#REF!</definedName>
    <definedName name="I_SD_A_2_1">'DV-Lists'!$O$16:$O$20</definedName>
    <definedName name="I_SD_A_3_1" localSheetId="2">#REF!</definedName>
    <definedName name="I_SD_A_3_1">'DV-Lists'!$Q$16:$Q$20</definedName>
    <definedName name="I_SD_B_1_1" localSheetId="2">#REF!</definedName>
    <definedName name="I_SD_B_1_1">'DV-Lists'!$N$16:$N$20</definedName>
    <definedName name="I_SD_B_2_1" localSheetId="2">#REF!</definedName>
    <definedName name="I_SD_B_2_1">'DV-Lists'!$P$16:$P$20</definedName>
    <definedName name="I_SD_B_3_1" localSheetId="2">#REF!</definedName>
    <definedName name="I_SD_B_3_1">'DV-Lists'!$R$16:$R$20</definedName>
    <definedName name="O_EM_A_1_1" localSheetId="2">#REF!</definedName>
    <definedName name="O_EM_A_1_1">'DV-Lists'!$A$30:$A$34</definedName>
    <definedName name="O_EM_A_2_1" localSheetId="2">#REF!</definedName>
    <definedName name="O_EM_A_2_1">'DV-Lists'!$C$30:$C$34</definedName>
    <definedName name="O_EM_A_3_1" localSheetId="2">#REF!</definedName>
    <definedName name="O_EM_A_3_1">'DV-Lists'!$E$30:$E$34</definedName>
    <definedName name="O_EM_B_1_1" localSheetId="2">#REF!</definedName>
    <definedName name="O_EM_B_1_1">'DV-Lists'!$B$30:$B$34</definedName>
    <definedName name="O_EM_B_2_1" localSheetId="2">#REF!</definedName>
    <definedName name="O_EM_B_2_1">'DV-Lists'!$D$30:$D$34</definedName>
    <definedName name="O_EM_B_3_1" localSheetId="2">#REF!</definedName>
    <definedName name="O_EM_B_3_1">'DV-Lists'!$F$30:$F$34</definedName>
    <definedName name="O_IM_A_1_1" localSheetId="2">#REF!</definedName>
    <definedName name="O_IM_A_1_1">'DV-Lists'!$G$30:$G$34</definedName>
    <definedName name="O_IM_A_2_1" localSheetId="2">#REF!</definedName>
    <definedName name="O_IM_A_2_1">'DV-Lists'!$I$30:$I$34</definedName>
    <definedName name="O_IM_A_3_1" localSheetId="2">#REF!</definedName>
    <definedName name="O_IM_A_3_1">'DV-Lists'!$K$30:$K$34</definedName>
    <definedName name="O_IM_B_1_1" localSheetId="2">#REF!</definedName>
    <definedName name="O_IM_B_1_1">'DV-Lists'!$H$30:$H$34</definedName>
    <definedName name="O_IM_B_2_1" localSheetId="2">#REF!</definedName>
    <definedName name="O_IM_B_2_1">'DV-Lists'!$J$30:$J$34</definedName>
    <definedName name="O_IM_B_3_1" localSheetId="2">#REF!</definedName>
    <definedName name="O_IM_B_3_1">'DV-Lists'!$L$30:$L$34</definedName>
    <definedName name="O_OM_A_1_1" localSheetId="2">#REF!</definedName>
    <definedName name="O_OM_A_1_1">'DV-Lists'!$M$30:$M$34</definedName>
    <definedName name="O_OM_A_2_1" localSheetId="2">#REF!</definedName>
    <definedName name="O_OM_A_2_1">'DV-Lists'!$O$30:$O$34</definedName>
    <definedName name="O_OM_A_3_1" localSheetId="2">#REF!</definedName>
    <definedName name="O_OM_A_3_1">'DV-Lists'!$Q$30:$Q$34</definedName>
    <definedName name="O_OM_B_1_1" localSheetId="2">#REF!</definedName>
    <definedName name="O_OM_B_1_1">'DV-Lists'!$N$30:$N$34</definedName>
    <definedName name="O_OM_B_2_1" localSheetId="2">#REF!</definedName>
    <definedName name="O_OM_B_2_1">'DV-Lists'!$P$30:$P$34</definedName>
    <definedName name="O_OM_B_3_1" localSheetId="2">#REF!</definedName>
    <definedName name="O_OM_B_3_1">'DV-Lists'!$R$30:$R$34</definedName>
    <definedName name="_xlnm.Print_Area" localSheetId="6">'Roadmap Chart'!$L$3:$W$108</definedName>
    <definedName name="V_AA_A_1_1" localSheetId="2">#REF!</definedName>
    <definedName name="V_AA_A_1_1">'DV-Lists'!$A$23:$A$27</definedName>
    <definedName name="V_AA_A_2_1" localSheetId="2">#REF!</definedName>
    <definedName name="V_AA_A_2_1">'DV-Lists'!$C$23:$C$27</definedName>
    <definedName name="V_AA_A_3_1" localSheetId="2">#REF!</definedName>
    <definedName name="V_AA_A_3_1">'DV-Lists'!$E$23:$E$27</definedName>
    <definedName name="V_AA_B_1_1" localSheetId="2">#REF!</definedName>
    <definedName name="V_AA_B_1_1">'DV-Lists'!$B$23:$B$27</definedName>
    <definedName name="V_AA_B_2_1" localSheetId="2">#REF!</definedName>
    <definedName name="V_AA_B_2_1">'DV-Lists'!$D$23:$D$27</definedName>
    <definedName name="V_AA_B_3_1" localSheetId="2">#REF!</definedName>
    <definedName name="V_AA_B_3_1">'DV-Lists'!$F$23:$F$27</definedName>
    <definedName name="V_RT_A_1_1" localSheetId="2">#REF!</definedName>
    <definedName name="V_RT_A_1_1">'DV-Lists'!$G$23:$G$27</definedName>
    <definedName name="V_RT_A_2_1" localSheetId="2">#REF!</definedName>
    <definedName name="V_RT_A_2_1">'DV-Lists'!$I$23:$I$27</definedName>
    <definedName name="V_RT_A_3_1" localSheetId="2">#REF!</definedName>
    <definedName name="V_RT_A_3_1">'DV-Lists'!$K$23:$K$27</definedName>
    <definedName name="V_RT_B_1_1" localSheetId="2">#REF!</definedName>
    <definedName name="V_RT_B_1_1">'DV-Lists'!$H$23:$H$27</definedName>
    <definedName name="V_RT_B_2_1" localSheetId="2">#REF!</definedName>
    <definedName name="V_RT_B_2_1">'DV-Lists'!$J$23:$J$27</definedName>
    <definedName name="V_RT_B_3_1" localSheetId="2">#REF!</definedName>
    <definedName name="V_RT_B_3_1">'DV-Lists'!$L$23:$L$27</definedName>
    <definedName name="V_ST_A_1_1" localSheetId="2">#REF!</definedName>
    <definedName name="V_ST_A_1_1">'DV-Lists'!$M$23:$M$27</definedName>
    <definedName name="V_ST_A_2_1" localSheetId="2">#REF!</definedName>
    <definedName name="V_ST_A_2_1">'DV-Lists'!$O$23:$O$27</definedName>
    <definedName name="V_ST_A_3_1" localSheetId="2">#REF!</definedName>
    <definedName name="V_ST_A_3_1">'DV-Lists'!$Q$23:$Q$27</definedName>
    <definedName name="V_ST_B_1_1" localSheetId="2">#REF!</definedName>
    <definedName name="V_ST_B_1_1">'DV-Lists'!$N$23:$N$27</definedName>
    <definedName name="V_ST_B_2_1" localSheetId="2">#REF!</definedName>
    <definedName name="V_ST_B_2_1">'DV-Lists'!$P$23:$P$27</definedName>
    <definedName name="V_ST_B_3_1" localSheetId="2">#REF!</definedName>
    <definedName name="V_ST_B_3_1">'DV-Lists'!$R$23:$R$27</definedName>
    <definedName name="Z_9846C184_355C_EA4B_8C35_9561D1AEE31C_.wvu.Cols" localSheetId="4" hidden="1">Scorecard!$G:$G</definedName>
    <definedName name="Z_9846C184_355C_EA4B_8C35_9561D1AEE31C_.wvu.PrintArea" localSheetId="6" hidden="1">'Roadmap Chart'!$L$3:$W$108</definedName>
    <definedName name="Z_9846C184_355C_EA4B_8C35_9561D1AEE31C_.wvu.Rows" localSheetId="3" hidden="1">Interview!$1:$1</definedName>
    <definedName name="Z_9846C184_355C_EA4B_8C35_9561D1AEE31C_.wvu.Rows" localSheetId="5" hidden="1">Roadmap!$1:$1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1" i="7" l="1"/>
  <c r="P151" i="7"/>
  <c r="Q150" i="7"/>
  <c r="P150" i="7"/>
  <c r="Q149" i="7"/>
  <c r="P149" i="7"/>
  <c r="Q148" i="7"/>
  <c r="P148" i="7"/>
  <c r="M148" i="7"/>
  <c r="Q145" i="7"/>
  <c r="P145" i="7"/>
  <c r="Q144" i="7"/>
  <c r="P144" i="7"/>
  <c r="Q143" i="7"/>
  <c r="P143" i="7"/>
  <c r="Q142" i="7"/>
  <c r="P142" i="7"/>
  <c r="M142" i="7"/>
  <c r="Q139" i="7"/>
  <c r="P139" i="7"/>
  <c r="Q138" i="7"/>
  <c r="P138" i="7"/>
  <c r="Q137" i="7"/>
  <c r="P137" i="7"/>
  <c r="Q136" i="7"/>
  <c r="P136" i="7"/>
  <c r="M136" i="7"/>
  <c r="Q133" i="7"/>
  <c r="P133" i="7"/>
  <c r="Q132" i="7"/>
  <c r="P132" i="7"/>
  <c r="Q131" i="7"/>
  <c r="P131" i="7"/>
  <c r="Q130" i="7"/>
  <c r="P130" i="7"/>
  <c r="M130" i="7"/>
  <c r="Q127" i="7"/>
  <c r="P127" i="7"/>
  <c r="Q126" i="7"/>
  <c r="P126" i="7"/>
  <c r="Q125" i="7"/>
  <c r="P125" i="7"/>
  <c r="Q124" i="7"/>
  <c r="P124" i="7"/>
  <c r="M124" i="7"/>
  <c r="Q121" i="7"/>
  <c r="P121" i="7"/>
  <c r="Q120" i="7"/>
  <c r="P120" i="7"/>
  <c r="Q119" i="7"/>
  <c r="P119" i="7"/>
  <c r="Q118" i="7"/>
  <c r="P118" i="7"/>
  <c r="M118" i="7"/>
  <c r="Q115" i="7"/>
  <c r="P115" i="7"/>
  <c r="Q114" i="7"/>
  <c r="P114" i="7"/>
  <c r="Q113" i="7"/>
  <c r="P113" i="7"/>
  <c r="Q112" i="7"/>
  <c r="P112" i="7"/>
  <c r="M112" i="7"/>
  <c r="Q109" i="7"/>
  <c r="P109" i="7"/>
  <c r="Q108" i="7"/>
  <c r="P108" i="7"/>
  <c r="Q107" i="7"/>
  <c r="P107" i="7"/>
  <c r="Q106" i="7"/>
  <c r="P106" i="7"/>
  <c r="M106" i="7"/>
  <c r="Q103" i="7"/>
  <c r="P103" i="7"/>
  <c r="Q102" i="7"/>
  <c r="P102" i="7"/>
  <c r="Q101" i="7"/>
  <c r="P101" i="7"/>
  <c r="Q100" i="7"/>
  <c r="P100" i="7"/>
  <c r="M100" i="7"/>
  <c r="Q97" i="7"/>
  <c r="P97" i="7"/>
  <c r="Q96" i="7"/>
  <c r="P96" i="7"/>
  <c r="Q95" i="7"/>
  <c r="P95" i="7"/>
  <c r="Q94" i="7"/>
  <c r="P94" i="7"/>
  <c r="M94" i="7"/>
  <c r="Q91" i="7"/>
  <c r="P91" i="7"/>
  <c r="Q90" i="7"/>
  <c r="P90" i="7"/>
  <c r="Q89" i="7"/>
  <c r="P89" i="7"/>
  <c r="Q88" i="7"/>
  <c r="P88" i="7"/>
  <c r="M88" i="7"/>
  <c r="Q85" i="7"/>
  <c r="P85" i="7"/>
  <c r="Q84" i="7"/>
  <c r="P84" i="7"/>
  <c r="Q83" i="7"/>
  <c r="P83" i="7"/>
  <c r="Q82" i="7"/>
  <c r="P82" i="7"/>
  <c r="M82" i="7"/>
  <c r="Q79" i="7"/>
  <c r="P79" i="7"/>
  <c r="Q78" i="7"/>
  <c r="P78" i="7"/>
  <c r="Q77" i="7"/>
  <c r="P77" i="7"/>
  <c r="Q76" i="7"/>
  <c r="P76" i="7"/>
  <c r="M76" i="7"/>
  <c r="Q73" i="7"/>
  <c r="P73" i="7"/>
  <c r="Q72" i="7"/>
  <c r="P72" i="7"/>
  <c r="Q71" i="7"/>
  <c r="P71" i="7"/>
  <c r="Q70" i="7"/>
  <c r="P70" i="7"/>
  <c r="M70" i="7"/>
  <c r="Q67" i="7"/>
  <c r="P67" i="7"/>
  <c r="Q66" i="7"/>
  <c r="P66" i="7"/>
  <c r="Q65" i="7"/>
  <c r="P65" i="7"/>
  <c r="Q64" i="7"/>
  <c r="P64" i="7"/>
  <c r="M64" i="7"/>
  <c r="Q61" i="7"/>
  <c r="P61" i="7"/>
  <c r="Q60" i="7"/>
  <c r="P60" i="7"/>
  <c r="Q59" i="7"/>
  <c r="P59" i="7"/>
  <c r="Q58" i="7"/>
  <c r="P58" i="7"/>
  <c r="M58" i="7"/>
  <c r="Q55" i="7"/>
  <c r="P55" i="7"/>
  <c r="Q54" i="7"/>
  <c r="P54" i="7"/>
  <c r="Q53" i="7"/>
  <c r="P53" i="7"/>
  <c r="Q52" i="7"/>
  <c r="P52" i="7"/>
  <c r="M52" i="7"/>
  <c r="Q49" i="7"/>
  <c r="P49" i="7"/>
  <c r="Q48" i="7"/>
  <c r="P48" i="7"/>
  <c r="Q47" i="7"/>
  <c r="P47" i="7"/>
  <c r="Q46" i="7"/>
  <c r="P46" i="7"/>
  <c r="M46" i="7"/>
  <c r="Q43" i="7"/>
  <c r="P43" i="7"/>
  <c r="Q42" i="7"/>
  <c r="P42" i="7"/>
  <c r="Q41" i="7"/>
  <c r="P41" i="7"/>
  <c r="Q40" i="7"/>
  <c r="P40" i="7"/>
  <c r="M40" i="7"/>
  <c r="Q37" i="7"/>
  <c r="P37" i="7"/>
  <c r="Q36" i="7"/>
  <c r="P36" i="7"/>
  <c r="Q35" i="7"/>
  <c r="P35" i="7"/>
  <c r="Q34" i="7"/>
  <c r="P34" i="7"/>
  <c r="M34" i="7"/>
  <c r="Q31" i="7"/>
  <c r="P31" i="7"/>
  <c r="Q30" i="7"/>
  <c r="P30" i="7"/>
  <c r="Q29" i="7"/>
  <c r="P29" i="7"/>
  <c r="Q28" i="7"/>
  <c r="P28" i="7"/>
  <c r="M28" i="7"/>
  <c r="Q25" i="7"/>
  <c r="P25" i="7"/>
  <c r="Q24" i="7"/>
  <c r="P24" i="7"/>
  <c r="Q23" i="7"/>
  <c r="P23" i="7"/>
  <c r="Q22" i="7"/>
  <c r="P22" i="7"/>
  <c r="M22" i="7"/>
  <c r="Q19" i="7"/>
  <c r="P19" i="7"/>
  <c r="Q18" i="7"/>
  <c r="P18" i="7"/>
  <c r="Q17" i="7"/>
  <c r="P17" i="7"/>
  <c r="Q16" i="7"/>
  <c r="P16" i="7"/>
  <c r="M16" i="7"/>
  <c r="Q13" i="7"/>
  <c r="P13" i="7"/>
  <c r="Q12" i="7"/>
  <c r="P12" i="7"/>
  <c r="Q11" i="7"/>
  <c r="P11" i="7"/>
  <c r="Q10" i="7"/>
  <c r="P10" i="7"/>
  <c r="M10" i="7"/>
  <c r="Q7" i="7"/>
  <c r="P7" i="7"/>
  <c r="Q6" i="7"/>
  <c r="P6" i="7"/>
  <c r="Q5" i="7"/>
  <c r="P5" i="7"/>
  <c r="Q4" i="7"/>
  <c r="P4" i="7"/>
  <c r="M4" i="7"/>
  <c r="M3" i="7"/>
  <c r="L126" i="6"/>
  <c r="L118" i="6"/>
  <c r="L110" i="6"/>
  <c r="L102" i="6"/>
  <c r="L94" i="6"/>
  <c r="L86" i="6"/>
  <c r="L78" i="6"/>
  <c r="L70" i="6"/>
  <c r="L62" i="6"/>
  <c r="L54" i="6"/>
  <c r="L46" i="6"/>
  <c r="L38" i="6"/>
  <c r="L30" i="6"/>
  <c r="Z26" i="6"/>
  <c r="Z25" i="6"/>
  <c r="Z24" i="6"/>
  <c r="Z23" i="6"/>
  <c r="Z22" i="6"/>
  <c r="L22" i="6"/>
  <c r="Z21" i="6"/>
  <c r="Z20" i="6"/>
  <c r="Z19" i="6"/>
  <c r="Z18" i="6"/>
  <c r="Z17" i="6"/>
  <c r="Z16" i="6"/>
  <c r="Z15" i="6"/>
  <c r="L15" i="6"/>
  <c r="Z14" i="6"/>
  <c r="Z13" i="6"/>
  <c r="Z12" i="6"/>
  <c r="AE11" i="6"/>
  <c r="AD11" i="6"/>
  <c r="AC11" i="6"/>
  <c r="AB11" i="6"/>
  <c r="AA11" i="6"/>
  <c r="U11" i="6"/>
  <c r="S11" i="6"/>
  <c r="Q11" i="6"/>
  <c r="O11" i="6"/>
  <c r="B8" i="6"/>
  <c r="B7" i="6"/>
  <c r="B6" i="6"/>
  <c r="L6" i="6" s="1"/>
  <c r="B5" i="6"/>
  <c r="L5" i="6" s="1"/>
  <c r="L4" i="6"/>
  <c r="B4" i="6"/>
  <c r="L3" i="6"/>
  <c r="F154" i="5"/>
  <c r="E154" i="5"/>
  <c r="D154" i="5"/>
  <c r="C154" i="5"/>
  <c r="A154" i="5"/>
  <c r="J153" i="5"/>
  <c r="N153" i="5" s="1"/>
  <c r="R153" i="5" s="1"/>
  <c r="V153" i="5" s="1"/>
  <c r="F153" i="5"/>
  <c r="D153" i="5"/>
  <c r="A153" i="5"/>
  <c r="C153" i="5" s="1"/>
  <c r="R152" i="5"/>
  <c r="V152" i="5" s="1"/>
  <c r="J152" i="5"/>
  <c r="N152" i="5" s="1"/>
  <c r="F152" i="5"/>
  <c r="C152" i="5"/>
  <c r="A152" i="5"/>
  <c r="B152" i="5" s="1"/>
  <c r="F150" i="5"/>
  <c r="J150" i="5" s="1"/>
  <c r="N150" i="5" s="1"/>
  <c r="R150" i="5" s="1"/>
  <c r="V150" i="5" s="1"/>
  <c r="C150" i="5"/>
  <c r="A150" i="5"/>
  <c r="R149" i="5"/>
  <c r="V149" i="5" s="1"/>
  <c r="F149" i="5"/>
  <c r="J149" i="5" s="1"/>
  <c r="N149" i="5" s="1"/>
  <c r="E149" i="5"/>
  <c r="C149" i="5"/>
  <c r="A149" i="5"/>
  <c r="D149" i="5" s="1"/>
  <c r="R148" i="5"/>
  <c r="V148" i="5" s="1"/>
  <c r="F148" i="5"/>
  <c r="J148" i="5" s="1"/>
  <c r="N148" i="5" s="1"/>
  <c r="B148" i="5"/>
  <c r="A148" i="5"/>
  <c r="R145" i="5"/>
  <c r="V145" i="5" s="1"/>
  <c r="N145" i="5"/>
  <c r="J145" i="5"/>
  <c r="F145" i="5"/>
  <c r="E145" i="5"/>
  <c r="D145" i="5"/>
  <c r="C145" i="5"/>
  <c r="A145" i="5"/>
  <c r="F144" i="5"/>
  <c r="J144" i="5" s="1"/>
  <c r="N144" i="5" s="1"/>
  <c r="R144" i="5" s="1"/>
  <c r="V144" i="5" s="1"/>
  <c r="A144" i="5"/>
  <c r="F143" i="5"/>
  <c r="J143" i="5" s="1"/>
  <c r="N143" i="5" s="1"/>
  <c r="R143" i="5" s="1"/>
  <c r="V143" i="5" s="1"/>
  <c r="D143" i="5"/>
  <c r="C143" i="5"/>
  <c r="A143" i="5"/>
  <c r="N141" i="5"/>
  <c r="R141" i="5" s="1"/>
  <c r="V141" i="5" s="1"/>
  <c r="F141" i="5"/>
  <c r="J141" i="5" s="1"/>
  <c r="C141" i="5"/>
  <c r="A141" i="5"/>
  <c r="F140" i="5"/>
  <c r="J140" i="5" s="1"/>
  <c r="N140" i="5" s="1"/>
  <c r="R140" i="5" s="1"/>
  <c r="V140" i="5" s="1"/>
  <c r="E140" i="5"/>
  <c r="C140" i="5"/>
  <c r="A140" i="5"/>
  <c r="D140" i="5" s="1"/>
  <c r="N139" i="5"/>
  <c r="R139" i="5" s="1"/>
  <c r="V139" i="5" s="1"/>
  <c r="F139" i="5"/>
  <c r="J139" i="5" s="1"/>
  <c r="E139" i="5"/>
  <c r="B139" i="5"/>
  <c r="A139" i="5"/>
  <c r="R136" i="5"/>
  <c r="V136" i="5" s="1"/>
  <c r="N136" i="5"/>
  <c r="F136" i="5"/>
  <c r="J136" i="5" s="1"/>
  <c r="E136" i="5"/>
  <c r="D136" i="5"/>
  <c r="A136" i="5"/>
  <c r="C136" i="5" s="1"/>
  <c r="V135" i="5"/>
  <c r="J135" i="5"/>
  <c r="N135" i="5" s="1"/>
  <c r="R135" i="5" s="1"/>
  <c r="F135" i="5"/>
  <c r="E135" i="5"/>
  <c r="D135" i="5"/>
  <c r="C135" i="5"/>
  <c r="A135" i="5"/>
  <c r="J134" i="5"/>
  <c r="N134" i="5" s="1"/>
  <c r="R134" i="5" s="1"/>
  <c r="V134" i="5" s="1"/>
  <c r="F134" i="5"/>
  <c r="A134" i="5"/>
  <c r="V132" i="5"/>
  <c r="R132" i="5"/>
  <c r="N132" i="5"/>
  <c r="J132" i="5"/>
  <c r="F132" i="5"/>
  <c r="D132" i="5"/>
  <c r="A132" i="5"/>
  <c r="N131" i="5"/>
  <c r="R131" i="5" s="1"/>
  <c r="V131" i="5" s="1"/>
  <c r="J131" i="5"/>
  <c r="F131" i="5"/>
  <c r="D131" i="5"/>
  <c r="C131" i="5"/>
  <c r="A131" i="5"/>
  <c r="E131" i="5" s="1"/>
  <c r="R130" i="5"/>
  <c r="V130" i="5" s="1"/>
  <c r="F130" i="5"/>
  <c r="J130" i="5" s="1"/>
  <c r="N130" i="5" s="1"/>
  <c r="A130" i="5"/>
  <c r="F126" i="5"/>
  <c r="J126" i="5" s="1"/>
  <c r="D126" i="5"/>
  <c r="C126" i="5"/>
  <c r="A126" i="5"/>
  <c r="E126" i="5" s="1"/>
  <c r="J125" i="5"/>
  <c r="N125" i="5" s="1"/>
  <c r="R125" i="5" s="1"/>
  <c r="V125" i="5" s="1"/>
  <c r="F125" i="5"/>
  <c r="A125" i="5"/>
  <c r="V124" i="5"/>
  <c r="F124" i="5"/>
  <c r="J124" i="5" s="1"/>
  <c r="N124" i="5" s="1"/>
  <c r="R124" i="5" s="1"/>
  <c r="E124" i="5"/>
  <c r="D124" i="5"/>
  <c r="B124" i="5"/>
  <c r="A124" i="5"/>
  <c r="C124" i="5" s="1"/>
  <c r="J122" i="5"/>
  <c r="N122" i="5" s="1"/>
  <c r="R122" i="5" s="1"/>
  <c r="V122" i="5" s="1"/>
  <c r="F122" i="5"/>
  <c r="A122" i="5"/>
  <c r="J121" i="5"/>
  <c r="N121" i="5" s="1"/>
  <c r="R121" i="5" s="1"/>
  <c r="V121" i="5" s="1"/>
  <c r="F121" i="5"/>
  <c r="E121" i="5"/>
  <c r="D121" i="5"/>
  <c r="C121" i="5"/>
  <c r="A121" i="5"/>
  <c r="N120" i="5"/>
  <c r="R120" i="5" s="1"/>
  <c r="V120" i="5" s="1"/>
  <c r="J120" i="5"/>
  <c r="F120" i="5"/>
  <c r="E120" i="5"/>
  <c r="D120" i="5"/>
  <c r="C120" i="5"/>
  <c r="B120" i="5"/>
  <c r="A120" i="5"/>
  <c r="V117" i="5"/>
  <c r="F117" i="5"/>
  <c r="J117" i="5" s="1"/>
  <c r="N117" i="5" s="1"/>
  <c r="R117" i="5" s="1"/>
  <c r="E117" i="5"/>
  <c r="D117" i="5"/>
  <c r="C117" i="5"/>
  <c r="A117" i="5"/>
  <c r="R116" i="5"/>
  <c r="V116" i="5" s="1"/>
  <c r="N116" i="5"/>
  <c r="J116" i="5"/>
  <c r="F116" i="5"/>
  <c r="A116" i="5"/>
  <c r="J115" i="5"/>
  <c r="N115" i="5" s="1"/>
  <c r="F115" i="5"/>
  <c r="E115" i="5"/>
  <c r="D115" i="5"/>
  <c r="C115" i="5"/>
  <c r="B115" i="5"/>
  <c r="A115" i="5"/>
  <c r="F113" i="5"/>
  <c r="J113" i="5" s="1"/>
  <c r="N113" i="5" s="1"/>
  <c r="R113" i="5" s="1"/>
  <c r="V113" i="5" s="1"/>
  <c r="D113" i="5"/>
  <c r="A113" i="5"/>
  <c r="E113" i="5" s="1"/>
  <c r="V112" i="5"/>
  <c r="R112" i="5"/>
  <c r="N112" i="5"/>
  <c r="F112" i="5"/>
  <c r="J112" i="5" s="1"/>
  <c r="E112" i="5"/>
  <c r="D112" i="5"/>
  <c r="C112" i="5"/>
  <c r="A112" i="5"/>
  <c r="F111" i="5"/>
  <c r="J111" i="5" s="1"/>
  <c r="N111" i="5" s="1"/>
  <c r="R111" i="5" s="1"/>
  <c r="V111" i="5" s="1"/>
  <c r="C111" i="5"/>
  <c r="A111" i="5"/>
  <c r="F108" i="5"/>
  <c r="J108" i="5" s="1"/>
  <c r="N108" i="5" s="1"/>
  <c r="R108" i="5" s="1"/>
  <c r="V108" i="5" s="1"/>
  <c r="E108" i="5"/>
  <c r="D108" i="5"/>
  <c r="C108" i="5"/>
  <c r="A108" i="5"/>
  <c r="N107" i="5"/>
  <c r="R107" i="5" s="1"/>
  <c r="V107" i="5" s="1"/>
  <c r="J107" i="5"/>
  <c r="F107" i="5"/>
  <c r="D107" i="5"/>
  <c r="A107" i="5"/>
  <c r="N106" i="5"/>
  <c r="R106" i="5" s="1"/>
  <c r="V106" i="5" s="1"/>
  <c r="F106" i="5"/>
  <c r="J106" i="5" s="1"/>
  <c r="D106" i="5"/>
  <c r="B106" i="5"/>
  <c r="A106" i="5"/>
  <c r="C106" i="5" s="1"/>
  <c r="F104" i="5"/>
  <c r="J104" i="5" s="1"/>
  <c r="N104" i="5" s="1"/>
  <c r="R104" i="5" s="1"/>
  <c r="V104" i="5" s="1"/>
  <c r="D104" i="5"/>
  <c r="C104" i="5"/>
  <c r="A104" i="5"/>
  <c r="E104" i="5" s="1"/>
  <c r="R103" i="5"/>
  <c r="V103" i="5" s="1"/>
  <c r="N103" i="5"/>
  <c r="J103" i="5"/>
  <c r="F103" i="5"/>
  <c r="A103" i="5"/>
  <c r="V102" i="5"/>
  <c r="R102" i="5"/>
  <c r="N102" i="5"/>
  <c r="J102" i="5"/>
  <c r="F102" i="5"/>
  <c r="E102" i="5"/>
  <c r="D102" i="5"/>
  <c r="C102" i="5"/>
  <c r="B102" i="5"/>
  <c r="A102" i="5"/>
  <c r="N98" i="5"/>
  <c r="R98" i="5" s="1"/>
  <c r="V98" i="5" s="1"/>
  <c r="J98" i="5"/>
  <c r="F98" i="5"/>
  <c r="E98" i="5"/>
  <c r="C98" i="5"/>
  <c r="A98" i="5"/>
  <c r="D98" i="5" s="1"/>
  <c r="F97" i="5"/>
  <c r="J97" i="5" s="1"/>
  <c r="N97" i="5" s="1"/>
  <c r="R97" i="5" s="1"/>
  <c r="V97" i="5" s="1"/>
  <c r="C97" i="5"/>
  <c r="A97" i="5"/>
  <c r="F96" i="5"/>
  <c r="J96" i="5" s="1"/>
  <c r="N96" i="5" s="1"/>
  <c r="R96" i="5" s="1"/>
  <c r="V96" i="5" s="1"/>
  <c r="C96" i="5"/>
  <c r="A96" i="5"/>
  <c r="F94" i="5"/>
  <c r="J94" i="5" s="1"/>
  <c r="N94" i="5" s="1"/>
  <c r="R94" i="5" s="1"/>
  <c r="V94" i="5" s="1"/>
  <c r="C94" i="5"/>
  <c r="A94" i="5"/>
  <c r="J93" i="5"/>
  <c r="N93" i="5" s="1"/>
  <c r="R93" i="5" s="1"/>
  <c r="V93" i="5" s="1"/>
  <c r="F93" i="5"/>
  <c r="E93" i="5"/>
  <c r="D93" i="5"/>
  <c r="A93" i="5"/>
  <c r="C93" i="5" s="1"/>
  <c r="N92" i="5"/>
  <c r="R92" i="5" s="1"/>
  <c r="V92" i="5" s="1"/>
  <c r="J92" i="5"/>
  <c r="F92" i="5"/>
  <c r="B92" i="5"/>
  <c r="A92" i="5"/>
  <c r="R89" i="5"/>
  <c r="V89" i="5" s="1"/>
  <c r="N89" i="5"/>
  <c r="F89" i="5"/>
  <c r="J89" i="5" s="1"/>
  <c r="A89" i="5"/>
  <c r="R88" i="5"/>
  <c r="J88" i="5"/>
  <c r="N88" i="5" s="1"/>
  <c r="F88" i="5"/>
  <c r="D88" i="5"/>
  <c r="C88" i="5"/>
  <c r="A88" i="5"/>
  <c r="E88" i="5" s="1"/>
  <c r="R87" i="5"/>
  <c r="V87" i="5" s="1"/>
  <c r="J87" i="5"/>
  <c r="N87" i="5" s="1"/>
  <c r="F87" i="5"/>
  <c r="E87" i="5"/>
  <c r="B87" i="5"/>
  <c r="A87" i="5"/>
  <c r="F85" i="5"/>
  <c r="J85" i="5" s="1"/>
  <c r="N85" i="5" s="1"/>
  <c r="E85" i="5"/>
  <c r="C85" i="5"/>
  <c r="A85" i="5"/>
  <c r="D85" i="5" s="1"/>
  <c r="V84" i="5"/>
  <c r="F84" i="5"/>
  <c r="J84" i="5" s="1"/>
  <c r="N84" i="5" s="1"/>
  <c r="R84" i="5" s="1"/>
  <c r="A84" i="5"/>
  <c r="F83" i="5"/>
  <c r="J83" i="5" s="1"/>
  <c r="N83" i="5" s="1"/>
  <c r="R83" i="5" s="1"/>
  <c r="V83" i="5" s="1"/>
  <c r="B83" i="5"/>
  <c r="A83" i="5"/>
  <c r="R80" i="5"/>
  <c r="V80" i="5" s="1"/>
  <c r="N80" i="5"/>
  <c r="F80" i="5"/>
  <c r="J80" i="5" s="1"/>
  <c r="A80" i="5"/>
  <c r="J79" i="5"/>
  <c r="N79" i="5" s="1"/>
  <c r="R79" i="5" s="1"/>
  <c r="V79" i="5" s="1"/>
  <c r="F79" i="5"/>
  <c r="A79" i="5"/>
  <c r="J78" i="5"/>
  <c r="N78" i="5" s="1"/>
  <c r="R78" i="5" s="1"/>
  <c r="F78" i="5"/>
  <c r="E78" i="5"/>
  <c r="D78" i="5"/>
  <c r="C78" i="5"/>
  <c r="B78" i="5"/>
  <c r="A78" i="5"/>
  <c r="J76" i="5"/>
  <c r="F76" i="5"/>
  <c r="D76" i="5"/>
  <c r="C76" i="5"/>
  <c r="A76" i="5"/>
  <c r="E76" i="5" s="1"/>
  <c r="V75" i="5"/>
  <c r="R75" i="5"/>
  <c r="F75" i="5"/>
  <c r="J75" i="5" s="1"/>
  <c r="N75" i="5" s="1"/>
  <c r="E75" i="5"/>
  <c r="D75" i="5"/>
  <c r="C75" i="5"/>
  <c r="A75" i="5"/>
  <c r="F74" i="5"/>
  <c r="C74" i="5"/>
  <c r="B74" i="5"/>
  <c r="A74" i="5"/>
  <c r="E74" i="5" s="1"/>
  <c r="F70" i="5"/>
  <c r="J70" i="5" s="1"/>
  <c r="N70" i="5" s="1"/>
  <c r="R70" i="5" s="1"/>
  <c r="V70" i="5" s="1"/>
  <c r="D70" i="5"/>
  <c r="A70" i="5"/>
  <c r="F69" i="5"/>
  <c r="J69" i="5" s="1"/>
  <c r="N69" i="5" s="1"/>
  <c r="R69" i="5" s="1"/>
  <c r="V69" i="5" s="1"/>
  <c r="E69" i="5"/>
  <c r="C69" i="5"/>
  <c r="A69" i="5"/>
  <c r="D69" i="5" s="1"/>
  <c r="N68" i="5"/>
  <c r="R68" i="5" s="1"/>
  <c r="V68" i="5" s="1"/>
  <c r="F68" i="5"/>
  <c r="J68" i="5" s="1"/>
  <c r="E68" i="5"/>
  <c r="B68" i="5"/>
  <c r="A68" i="5"/>
  <c r="C68" i="5" s="1"/>
  <c r="F66" i="5"/>
  <c r="J66" i="5" s="1"/>
  <c r="N66" i="5" s="1"/>
  <c r="R66" i="5" s="1"/>
  <c r="V66" i="5" s="1"/>
  <c r="E66" i="5"/>
  <c r="C66" i="5"/>
  <c r="A66" i="5"/>
  <c r="D66" i="5" s="1"/>
  <c r="N65" i="5"/>
  <c r="R65" i="5" s="1"/>
  <c r="V65" i="5" s="1"/>
  <c r="F65" i="5"/>
  <c r="J65" i="5" s="1"/>
  <c r="D65" i="5"/>
  <c r="C65" i="5"/>
  <c r="A65" i="5"/>
  <c r="E65" i="5" s="1"/>
  <c r="J64" i="5"/>
  <c r="N64" i="5" s="1"/>
  <c r="R64" i="5" s="1"/>
  <c r="V64" i="5" s="1"/>
  <c r="F64" i="5"/>
  <c r="E64" i="5"/>
  <c r="A64" i="5"/>
  <c r="J61" i="5"/>
  <c r="N61" i="5" s="1"/>
  <c r="R61" i="5" s="1"/>
  <c r="V61" i="5" s="1"/>
  <c r="F61" i="5"/>
  <c r="A61" i="5"/>
  <c r="J60" i="5"/>
  <c r="N60" i="5" s="1"/>
  <c r="R60" i="5" s="1"/>
  <c r="V60" i="5" s="1"/>
  <c r="F60" i="5"/>
  <c r="E60" i="5"/>
  <c r="A60" i="5"/>
  <c r="D60" i="5" s="1"/>
  <c r="F59" i="5"/>
  <c r="J59" i="5" s="1"/>
  <c r="N59" i="5" s="1"/>
  <c r="R59" i="5" s="1"/>
  <c r="V59" i="5" s="1"/>
  <c r="A59" i="5"/>
  <c r="V57" i="5"/>
  <c r="J57" i="5"/>
  <c r="N57" i="5" s="1"/>
  <c r="R57" i="5" s="1"/>
  <c r="F57" i="5"/>
  <c r="A57" i="5"/>
  <c r="R56" i="5"/>
  <c r="V56" i="5" s="1"/>
  <c r="J56" i="5"/>
  <c r="N56" i="5" s="1"/>
  <c r="F56" i="5"/>
  <c r="C56" i="5"/>
  <c r="A56" i="5"/>
  <c r="D56" i="5" s="1"/>
  <c r="V55" i="5"/>
  <c r="F55" i="5"/>
  <c r="J55" i="5" s="1"/>
  <c r="N55" i="5" s="1"/>
  <c r="R55" i="5" s="1"/>
  <c r="B55" i="5"/>
  <c r="A55" i="5"/>
  <c r="N52" i="5"/>
  <c r="R52" i="5" s="1"/>
  <c r="V52" i="5" s="1"/>
  <c r="F52" i="5"/>
  <c r="J52" i="5" s="1"/>
  <c r="E52" i="5"/>
  <c r="A52" i="5"/>
  <c r="N51" i="5"/>
  <c r="R51" i="5" s="1"/>
  <c r="V51" i="5" s="1"/>
  <c r="F51" i="5"/>
  <c r="J51" i="5" s="1"/>
  <c r="E51" i="5"/>
  <c r="D51" i="5"/>
  <c r="A51" i="5"/>
  <c r="C51" i="5" s="1"/>
  <c r="J50" i="5"/>
  <c r="N50" i="5" s="1"/>
  <c r="R50" i="5" s="1"/>
  <c r="V50" i="5" s="1"/>
  <c r="F50" i="5"/>
  <c r="A50" i="5"/>
  <c r="V48" i="5"/>
  <c r="J48" i="5"/>
  <c r="N48" i="5" s="1"/>
  <c r="R48" i="5" s="1"/>
  <c r="F48" i="5"/>
  <c r="E48" i="5"/>
  <c r="D48" i="5"/>
  <c r="C48" i="5"/>
  <c r="A48" i="5"/>
  <c r="N47" i="5"/>
  <c r="R47" i="5" s="1"/>
  <c r="F47" i="5"/>
  <c r="J47" i="5" s="1"/>
  <c r="E47" i="5"/>
  <c r="D47" i="5"/>
  <c r="C47" i="5"/>
  <c r="A47" i="5"/>
  <c r="N46" i="5"/>
  <c r="R46" i="5" s="1"/>
  <c r="V46" i="5" s="1"/>
  <c r="J46" i="5"/>
  <c r="F46" i="5"/>
  <c r="A46" i="5"/>
  <c r="N42" i="5"/>
  <c r="R42" i="5" s="1"/>
  <c r="V42" i="5" s="1"/>
  <c r="J42" i="5"/>
  <c r="F42" i="5"/>
  <c r="E42" i="5"/>
  <c r="C42" i="5"/>
  <c r="A42" i="5"/>
  <c r="D42" i="5" s="1"/>
  <c r="J41" i="5"/>
  <c r="N41" i="5" s="1"/>
  <c r="R41" i="5" s="1"/>
  <c r="V41" i="5" s="1"/>
  <c r="F41" i="5"/>
  <c r="A41" i="5"/>
  <c r="J40" i="5"/>
  <c r="N40" i="5" s="1"/>
  <c r="R40" i="5" s="1"/>
  <c r="V40" i="5" s="1"/>
  <c r="F40" i="5"/>
  <c r="E40" i="5"/>
  <c r="C40" i="5"/>
  <c r="B40" i="5"/>
  <c r="A40" i="5"/>
  <c r="D40" i="5" s="1"/>
  <c r="F38" i="5"/>
  <c r="J38" i="5" s="1"/>
  <c r="N38" i="5" s="1"/>
  <c r="R38" i="5" s="1"/>
  <c r="E38" i="5"/>
  <c r="D38" i="5"/>
  <c r="C38" i="5"/>
  <c r="A38" i="5"/>
  <c r="J37" i="5"/>
  <c r="N37" i="5" s="1"/>
  <c r="R37" i="5" s="1"/>
  <c r="V37" i="5" s="1"/>
  <c r="F37" i="5"/>
  <c r="A37" i="5"/>
  <c r="F36" i="5"/>
  <c r="J36" i="5" s="1"/>
  <c r="N36" i="5" s="1"/>
  <c r="R36" i="5" s="1"/>
  <c r="V36" i="5" s="1"/>
  <c r="E36" i="5"/>
  <c r="D36" i="5"/>
  <c r="B36" i="5"/>
  <c r="A36" i="5"/>
  <c r="C36" i="5" s="1"/>
  <c r="N33" i="5"/>
  <c r="R33" i="5" s="1"/>
  <c r="V33" i="5" s="1"/>
  <c r="F33" i="5"/>
  <c r="J33" i="5" s="1"/>
  <c r="E33" i="5"/>
  <c r="D33" i="5"/>
  <c r="C33" i="5"/>
  <c r="A33" i="5"/>
  <c r="N32" i="5"/>
  <c r="F32" i="5"/>
  <c r="J32" i="5" s="1"/>
  <c r="E32" i="5"/>
  <c r="D32" i="5"/>
  <c r="C32" i="5"/>
  <c r="A32" i="5"/>
  <c r="J31" i="5"/>
  <c r="N31" i="5" s="1"/>
  <c r="R31" i="5" s="1"/>
  <c r="V31" i="5" s="1"/>
  <c r="F31" i="5"/>
  <c r="E31" i="5"/>
  <c r="C31" i="5"/>
  <c r="A31" i="5"/>
  <c r="N29" i="5"/>
  <c r="R29" i="5" s="1"/>
  <c r="V29" i="5" s="1"/>
  <c r="J29" i="5"/>
  <c r="F29" i="5"/>
  <c r="A29" i="5"/>
  <c r="N28" i="5"/>
  <c r="R28" i="5" s="1"/>
  <c r="V28" i="5" s="1"/>
  <c r="F28" i="5"/>
  <c r="J28" i="5" s="1"/>
  <c r="D28" i="5"/>
  <c r="C28" i="5"/>
  <c r="A28" i="5"/>
  <c r="E28" i="5" s="1"/>
  <c r="R27" i="5"/>
  <c r="V27" i="5" s="1"/>
  <c r="F27" i="5"/>
  <c r="J27" i="5" s="1"/>
  <c r="N27" i="5" s="1"/>
  <c r="E27" i="5"/>
  <c r="D27" i="5"/>
  <c r="C27" i="5"/>
  <c r="B27" i="5"/>
  <c r="A27" i="5"/>
  <c r="N24" i="5"/>
  <c r="R24" i="5" s="1"/>
  <c r="V24" i="5" s="1"/>
  <c r="J24" i="5"/>
  <c r="F24" i="5"/>
  <c r="C24" i="5"/>
  <c r="A24" i="5"/>
  <c r="F23" i="5"/>
  <c r="J23" i="5" s="1"/>
  <c r="N23" i="5" s="1"/>
  <c r="R23" i="5" s="1"/>
  <c r="E23" i="5"/>
  <c r="C23" i="5"/>
  <c r="A23" i="5"/>
  <c r="D23" i="5" s="1"/>
  <c r="V22" i="5"/>
  <c r="J22" i="5"/>
  <c r="N22" i="5" s="1"/>
  <c r="R22" i="5" s="1"/>
  <c r="F22" i="5"/>
  <c r="E22" i="5"/>
  <c r="D22" i="5"/>
  <c r="A22" i="5"/>
  <c r="N20" i="5"/>
  <c r="R20" i="5" s="1"/>
  <c r="V20" i="5" s="1"/>
  <c r="F20" i="5"/>
  <c r="J20" i="5" s="1"/>
  <c r="A20" i="5"/>
  <c r="F19" i="5"/>
  <c r="E19" i="5"/>
  <c r="D19" i="5"/>
  <c r="C19" i="5"/>
  <c r="A19" i="5"/>
  <c r="J18" i="5"/>
  <c r="N18" i="5" s="1"/>
  <c r="R18" i="5" s="1"/>
  <c r="F18" i="5"/>
  <c r="D18" i="5"/>
  <c r="C18" i="5"/>
  <c r="B18" i="5"/>
  <c r="A18" i="5"/>
  <c r="E18" i="5" s="1"/>
  <c r="A15" i="5"/>
  <c r="D14" i="5"/>
  <c r="D13" i="5"/>
  <c r="D12" i="5"/>
  <c r="D11" i="5"/>
  <c r="D10" i="5"/>
  <c r="B1" i="5"/>
  <c r="U108" i="4"/>
  <c r="T108" i="4"/>
  <c r="B108" i="4"/>
  <c r="A108" i="4"/>
  <c r="U107" i="4"/>
  <c r="T107" i="4"/>
  <c r="B107" i="4"/>
  <c r="A107" i="4"/>
  <c r="U106" i="4"/>
  <c r="T106" i="4"/>
  <c r="Z93" i="4" s="1"/>
  <c r="B106" i="4"/>
  <c r="A106" i="4"/>
  <c r="I98" i="4" s="1"/>
  <c r="U105" i="4"/>
  <c r="T105" i="4"/>
  <c r="B105" i="4"/>
  <c r="A105" i="4"/>
  <c r="U104" i="4"/>
  <c r="T104" i="4"/>
  <c r="B104" i="4"/>
  <c r="A104" i="4"/>
  <c r="U103" i="4"/>
  <c r="T103" i="4"/>
  <c r="B103" i="4"/>
  <c r="A103" i="4"/>
  <c r="I97" i="4" s="1"/>
  <c r="U102" i="4"/>
  <c r="T102" i="4"/>
  <c r="B102" i="4"/>
  <c r="A102" i="4"/>
  <c r="U101" i="4"/>
  <c r="T101" i="4"/>
  <c r="B101" i="4"/>
  <c r="A101" i="4"/>
  <c r="U100" i="4"/>
  <c r="T100" i="4"/>
  <c r="X93" i="4" s="1"/>
  <c r="B100" i="4"/>
  <c r="A100" i="4"/>
  <c r="U99" i="4"/>
  <c r="T99" i="4"/>
  <c r="B99" i="4"/>
  <c r="A99" i="4"/>
  <c r="U98" i="4"/>
  <c r="T98" i="4"/>
  <c r="B98" i="4"/>
  <c r="A98" i="4"/>
  <c r="U97" i="4"/>
  <c r="T97" i="4"/>
  <c r="W93" i="4" s="1"/>
  <c r="B97" i="4"/>
  <c r="A97" i="4"/>
  <c r="I95" i="4" s="1"/>
  <c r="U96" i="4"/>
  <c r="T96" i="4"/>
  <c r="I96" i="4"/>
  <c r="B96" i="4"/>
  <c r="A96" i="4"/>
  <c r="U95" i="4"/>
  <c r="T95" i="4"/>
  <c r="B95" i="4"/>
  <c r="A95" i="4"/>
  <c r="U94" i="4"/>
  <c r="T94" i="4"/>
  <c r="I94" i="4"/>
  <c r="B94" i="4"/>
  <c r="A94" i="4"/>
  <c r="Y93" i="4"/>
  <c r="V93" i="4"/>
  <c r="U87" i="4"/>
  <c r="T87" i="4"/>
  <c r="B87" i="4"/>
  <c r="A87" i="4"/>
  <c r="U86" i="4"/>
  <c r="T86" i="4"/>
  <c r="B86" i="4"/>
  <c r="A86" i="4"/>
  <c r="U85" i="4"/>
  <c r="T85" i="4"/>
  <c r="Z72" i="4" s="1"/>
  <c r="B85" i="4"/>
  <c r="A85" i="4"/>
  <c r="U84" i="4"/>
  <c r="T84" i="4"/>
  <c r="B84" i="4"/>
  <c r="A84" i="4"/>
  <c r="U83" i="4"/>
  <c r="T83" i="4"/>
  <c r="B83" i="4"/>
  <c r="A83" i="4"/>
  <c r="U82" i="4"/>
  <c r="T82" i="4"/>
  <c r="B82" i="4"/>
  <c r="A82" i="4"/>
  <c r="I76" i="4" s="1"/>
  <c r="U81" i="4"/>
  <c r="T81" i="4"/>
  <c r="B81" i="4"/>
  <c r="A81" i="4"/>
  <c r="U80" i="4"/>
  <c r="T80" i="4"/>
  <c r="B80" i="4"/>
  <c r="A80" i="4"/>
  <c r="U79" i="4"/>
  <c r="T79" i="4"/>
  <c r="X72" i="4" s="1"/>
  <c r="B79" i="4"/>
  <c r="A79" i="4"/>
  <c r="I75" i="4" s="1"/>
  <c r="U78" i="4"/>
  <c r="T78" i="4"/>
  <c r="B78" i="4"/>
  <c r="A78" i="4"/>
  <c r="U77" i="4"/>
  <c r="T77" i="4"/>
  <c r="I77" i="4"/>
  <c r="B77" i="4"/>
  <c r="A77" i="4"/>
  <c r="U76" i="4"/>
  <c r="T76" i="4"/>
  <c r="W72" i="4" s="1"/>
  <c r="B76" i="4"/>
  <c r="A76" i="4"/>
  <c r="U75" i="4"/>
  <c r="T75" i="4"/>
  <c r="B75" i="4"/>
  <c r="A75" i="4"/>
  <c r="U74" i="4"/>
  <c r="T74" i="4"/>
  <c r="I74" i="4"/>
  <c r="B74" i="4"/>
  <c r="A74" i="4"/>
  <c r="U73" i="4"/>
  <c r="T73" i="4"/>
  <c r="B73" i="4"/>
  <c r="A73" i="4"/>
  <c r="I73" i="4" s="1"/>
  <c r="Y72" i="4"/>
  <c r="V72" i="4"/>
  <c r="U68" i="4"/>
  <c r="T68" i="4"/>
  <c r="B68" i="4"/>
  <c r="A68" i="4"/>
  <c r="U67" i="4"/>
  <c r="T67" i="4"/>
  <c r="B67" i="4"/>
  <c r="A67" i="4"/>
  <c r="U66" i="4"/>
  <c r="T66" i="4"/>
  <c r="Z53" i="4" s="1"/>
  <c r="B66" i="4"/>
  <c r="A66" i="4"/>
  <c r="I58" i="4" s="1"/>
  <c r="U65" i="4"/>
  <c r="T65" i="4"/>
  <c r="B65" i="4"/>
  <c r="A65" i="4"/>
  <c r="U64" i="4"/>
  <c r="T64" i="4"/>
  <c r="B64" i="4"/>
  <c r="A64" i="4"/>
  <c r="U63" i="4"/>
  <c r="T63" i="4"/>
  <c r="Y53" i="4" s="1"/>
  <c r="B63" i="4"/>
  <c r="A63" i="4"/>
  <c r="I57" i="4" s="1"/>
  <c r="U62" i="4"/>
  <c r="T62" i="4"/>
  <c r="B62" i="4"/>
  <c r="A62" i="4"/>
  <c r="U61" i="4"/>
  <c r="T61" i="4"/>
  <c r="B61" i="4"/>
  <c r="A61" i="4"/>
  <c r="U60" i="4"/>
  <c r="T60" i="4"/>
  <c r="B60" i="4"/>
  <c r="A60" i="4"/>
  <c r="U59" i="4"/>
  <c r="T59" i="4"/>
  <c r="B59" i="4"/>
  <c r="A59" i="4"/>
  <c r="U58" i="4"/>
  <c r="T58" i="4"/>
  <c r="B58" i="4"/>
  <c r="A58" i="4"/>
  <c r="U57" i="4"/>
  <c r="T57" i="4"/>
  <c r="W53" i="4" s="1"/>
  <c r="B57" i="4"/>
  <c r="A57" i="4"/>
  <c r="U56" i="4"/>
  <c r="T56" i="4"/>
  <c r="I56" i="4"/>
  <c r="B56" i="4"/>
  <c r="A56" i="4"/>
  <c r="U55" i="4"/>
  <c r="T55" i="4"/>
  <c r="I55" i="4"/>
  <c r="B55" i="4"/>
  <c r="A55" i="4"/>
  <c r="U54" i="4"/>
  <c r="T54" i="4"/>
  <c r="I54" i="4"/>
  <c r="B54" i="4"/>
  <c r="A54" i="4"/>
  <c r="X53" i="4"/>
  <c r="V53" i="4"/>
  <c r="U48" i="4"/>
  <c r="T48" i="4"/>
  <c r="B48" i="4"/>
  <c r="A48" i="4"/>
  <c r="U47" i="4"/>
  <c r="T47" i="4"/>
  <c r="B47" i="4"/>
  <c r="A47" i="4"/>
  <c r="U46" i="4"/>
  <c r="T46" i="4"/>
  <c r="Z33" i="4" s="1"/>
  <c r="B46" i="4"/>
  <c r="A46" i="4"/>
  <c r="I38" i="4" s="1"/>
  <c r="U45" i="4"/>
  <c r="T45" i="4"/>
  <c r="B45" i="4"/>
  <c r="A45" i="4"/>
  <c r="U44" i="4"/>
  <c r="T44" i="4"/>
  <c r="B44" i="4"/>
  <c r="A44" i="4"/>
  <c r="U43" i="4"/>
  <c r="T43" i="4"/>
  <c r="B43" i="4"/>
  <c r="A43" i="4"/>
  <c r="I37" i="4" s="1"/>
  <c r="U42" i="4"/>
  <c r="T42" i="4"/>
  <c r="B42" i="4"/>
  <c r="A42" i="4"/>
  <c r="U41" i="4"/>
  <c r="T41" i="4"/>
  <c r="B41" i="4"/>
  <c r="A41" i="4"/>
  <c r="U40" i="4"/>
  <c r="T40" i="4"/>
  <c r="X33" i="4" s="1"/>
  <c r="B40" i="4"/>
  <c r="A40" i="4"/>
  <c r="U39" i="4"/>
  <c r="T39" i="4"/>
  <c r="B39" i="4"/>
  <c r="A39" i="4"/>
  <c r="U38" i="4"/>
  <c r="T38" i="4"/>
  <c r="B38" i="4"/>
  <c r="A38" i="4"/>
  <c r="U37" i="4"/>
  <c r="T37" i="4"/>
  <c r="W33" i="4" s="1"/>
  <c r="B37" i="4"/>
  <c r="A37" i="4"/>
  <c r="I35" i="4" s="1"/>
  <c r="U36" i="4"/>
  <c r="T36" i="4"/>
  <c r="I36" i="4"/>
  <c r="B36" i="4"/>
  <c r="A36" i="4"/>
  <c r="U35" i="4"/>
  <c r="T35" i="4"/>
  <c r="B35" i="4"/>
  <c r="A35" i="4"/>
  <c r="U34" i="4"/>
  <c r="T34" i="4"/>
  <c r="I34" i="4"/>
  <c r="B34" i="4"/>
  <c r="A34" i="4"/>
  <c r="Y33" i="4"/>
  <c r="V33" i="4"/>
  <c r="B28" i="4"/>
  <c r="A28" i="4"/>
  <c r="T28" i="4" s="1"/>
  <c r="B27" i="4"/>
  <c r="U27" i="4" s="1"/>
  <c r="A27" i="4"/>
  <c r="T27" i="4" s="1"/>
  <c r="U26" i="4"/>
  <c r="B26" i="4"/>
  <c r="A26" i="4"/>
  <c r="B25" i="4"/>
  <c r="B35" i="2" s="1"/>
  <c r="A25" i="4"/>
  <c r="T25" i="4" s="1"/>
  <c r="U24" i="4"/>
  <c r="B24" i="4"/>
  <c r="A24" i="4"/>
  <c r="T24" i="4" s="1"/>
  <c r="B23" i="4"/>
  <c r="A23" i="4"/>
  <c r="T23" i="4" s="1"/>
  <c r="U22" i="4"/>
  <c r="B22" i="4"/>
  <c r="B32" i="2" s="1"/>
  <c r="A22" i="4"/>
  <c r="T22" i="4" s="1"/>
  <c r="U21" i="4"/>
  <c r="T21" i="4"/>
  <c r="B21" i="4"/>
  <c r="A21" i="4"/>
  <c r="U20" i="4"/>
  <c r="T20" i="4"/>
  <c r="X13" i="4" s="1"/>
  <c r="B20" i="4"/>
  <c r="A20" i="4"/>
  <c r="I16" i="4" s="1"/>
  <c r="T19" i="4"/>
  <c r="B19" i="4"/>
  <c r="U19" i="4" s="1"/>
  <c r="A19" i="4"/>
  <c r="U18" i="4"/>
  <c r="B18" i="4"/>
  <c r="B28" i="2" s="1"/>
  <c r="A18" i="4"/>
  <c r="T18" i="4" s="1"/>
  <c r="I17" i="4"/>
  <c r="B17" i="4"/>
  <c r="U17" i="4" s="1"/>
  <c r="A17" i="4"/>
  <c r="T17" i="4" s="1"/>
  <c r="U16" i="4"/>
  <c r="T16" i="4"/>
  <c r="B16" i="4"/>
  <c r="A16" i="4"/>
  <c r="T15" i="4"/>
  <c r="I15" i="4"/>
  <c r="B15" i="4"/>
  <c r="A15" i="4"/>
  <c r="I14" i="4"/>
  <c r="B14" i="4"/>
  <c r="U14" i="4" s="1"/>
  <c r="A14" i="4"/>
  <c r="T14" i="4" s="1"/>
  <c r="V13" i="4" s="1"/>
  <c r="Y13" i="4"/>
  <c r="W13" i="4"/>
  <c r="C9" i="4"/>
  <c r="A9" i="4"/>
  <c r="C8" i="4"/>
  <c r="A8" i="4"/>
  <c r="C7" i="4"/>
  <c r="A7" i="4"/>
  <c r="C6" i="4"/>
  <c r="A1" i="4" s="1"/>
  <c r="A6" i="4"/>
  <c r="C5" i="4"/>
  <c r="A5" i="4"/>
  <c r="B36" i="2"/>
  <c r="B34" i="2"/>
  <c r="B31" i="2"/>
  <c r="B30" i="2"/>
  <c r="B27" i="2"/>
  <c r="B26" i="2"/>
  <c r="C8" i="2"/>
  <c r="C7" i="2"/>
  <c r="D230" i="3"/>
  <c r="E229" i="3"/>
  <c r="D229" i="3"/>
  <c r="C229" i="3"/>
  <c r="D228" i="3"/>
  <c r="E227" i="3"/>
  <c r="D227" i="3"/>
  <c r="C227" i="3"/>
  <c r="D226" i="3"/>
  <c r="E225" i="3"/>
  <c r="D225" i="3"/>
  <c r="C225" i="3"/>
  <c r="B225" i="3"/>
  <c r="D223" i="3"/>
  <c r="E222" i="3"/>
  <c r="D222" i="3"/>
  <c r="C222" i="3"/>
  <c r="D221" i="3"/>
  <c r="E220" i="3"/>
  <c r="D220" i="3"/>
  <c r="C220" i="3"/>
  <c r="D219" i="3"/>
  <c r="E218" i="3"/>
  <c r="D218" i="3"/>
  <c r="C218" i="3"/>
  <c r="B218" i="3"/>
  <c r="D216" i="3"/>
  <c r="E215" i="3"/>
  <c r="D215" i="3"/>
  <c r="C215" i="3"/>
  <c r="D214" i="3"/>
  <c r="E213" i="3"/>
  <c r="D213" i="3"/>
  <c r="C213" i="3"/>
  <c r="D212" i="3"/>
  <c r="E211" i="3"/>
  <c r="D211" i="3"/>
  <c r="C211" i="3"/>
  <c r="B211" i="3"/>
  <c r="D209" i="3"/>
  <c r="E208" i="3"/>
  <c r="D208" i="3"/>
  <c r="C208" i="3"/>
  <c r="D207" i="3"/>
  <c r="E206" i="3"/>
  <c r="D206" i="3"/>
  <c r="C206" i="3"/>
  <c r="D205" i="3"/>
  <c r="E204" i="3"/>
  <c r="D204" i="3"/>
  <c r="C204" i="3"/>
  <c r="B204" i="3"/>
  <c r="D202" i="3"/>
  <c r="E201" i="3"/>
  <c r="D201" i="3"/>
  <c r="C201" i="3"/>
  <c r="D200" i="3"/>
  <c r="E199" i="3"/>
  <c r="D199" i="3"/>
  <c r="C199" i="3"/>
  <c r="D198" i="3"/>
  <c r="E197" i="3"/>
  <c r="D197" i="3"/>
  <c r="C197" i="3"/>
  <c r="B197" i="3"/>
  <c r="D195" i="3"/>
  <c r="E194" i="3"/>
  <c r="D194" i="3"/>
  <c r="C194" i="3"/>
  <c r="D193" i="3"/>
  <c r="E192" i="3"/>
  <c r="D192" i="3"/>
  <c r="C192" i="3"/>
  <c r="D191" i="3"/>
  <c r="E190" i="3"/>
  <c r="D190" i="3"/>
  <c r="C190" i="3"/>
  <c r="B190" i="3"/>
  <c r="D187" i="3"/>
  <c r="E186" i="3"/>
  <c r="D186" i="3"/>
  <c r="C186" i="3"/>
  <c r="D185" i="3"/>
  <c r="E184" i="3"/>
  <c r="D184" i="3"/>
  <c r="C184" i="3"/>
  <c r="D183" i="3"/>
  <c r="E182" i="3"/>
  <c r="D182" i="3"/>
  <c r="C182" i="3"/>
  <c r="B182" i="3"/>
  <c r="D180" i="3"/>
  <c r="E179" i="3"/>
  <c r="D179" i="3"/>
  <c r="C179" i="3"/>
  <c r="D178" i="3"/>
  <c r="E177" i="3"/>
  <c r="D177" i="3"/>
  <c r="C177" i="3"/>
  <c r="D176" i="3"/>
  <c r="E175" i="3"/>
  <c r="D175" i="3"/>
  <c r="C175" i="3"/>
  <c r="B175" i="3"/>
  <c r="D173" i="3"/>
  <c r="E172" i="3"/>
  <c r="D172" i="3"/>
  <c r="C172" i="3"/>
  <c r="D171" i="3"/>
  <c r="E170" i="3"/>
  <c r="D170" i="3"/>
  <c r="C170" i="3"/>
  <c r="D169" i="3"/>
  <c r="E168" i="3"/>
  <c r="D168" i="3"/>
  <c r="C168" i="3"/>
  <c r="B168" i="3"/>
  <c r="D166" i="3"/>
  <c r="E165" i="3"/>
  <c r="D165" i="3"/>
  <c r="C165" i="3"/>
  <c r="D164" i="3"/>
  <c r="E163" i="3"/>
  <c r="D163" i="3"/>
  <c r="C163" i="3"/>
  <c r="D162" i="3"/>
  <c r="E161" i="3"/>
  <c r="D161" i="3"/>
  <c r="C161" i="3"/>
  <c r="B161" i="3"/>
  <c r="D159" i="3"/>
  <c r="E158" i="3"/>
  <c r="D158" i="3"/>
  <c r="C158" i="3"/>
  <c r="D157" i="3"/>
  <c r="E156" i="3"/>
  <c r="D156" i="3"/>
  <c r="C156" i="3"/>
  <c r="D155" i="3"/>
  <c r="E154" i="3"/>
  <c r="D154" i="3"/>
  <c r="C154" i="3"/>
  <c r="B154" i="3"/>
  <c r="D152" i="3"/>
  <c r="E151" i="3"/>
  <c r="D151" i="3"/>
  <c r="C151" i="3"/>
  <c r="D150" i="3"/>
  <c r="E149" i="3"/>
  <c r="D149" i="3"/>
  <c r="C149" i="3"/>
  <c r="D148" i="3"/>
  <c r="E147" i="3"/>
  <c r="D147" i="3"/>
  <c r="C147" i="3"/>
  <c r="B147" i="3"/>
  <c r="D144" i="3"/>
  <c r="E143" i="3"/>
  <c r="D143" i="3"/>
  <c r="C143" i="3"/>
  <c r="D142" i="3"/>
  <c r="E141" i="3"/>
  <c r="D141" i="3"/>
  <c r="C141" i="3"/>
  <c r="D140" i="3"/>
  <c r="E139" i="3"/>
  <c r="D139" i="3"/>
  <c r="C139" i="3"/>
  <c r="B139" i="3"/>
  <c r="D137" i="3"/>
  <c r="E136" i="3"/>
  <c r="D136" i="3"/>
  <c r="C136" i="3"/>
  <c r="D135" i="3"/>
  <c r="E134" i="3"/>
  <c r="D134" i="3"/>
  <c r="C134" i="3"/>
  <c r="D133" i="3"/>
  <c r="E132" i="3"/>
  <c r="D132" i="3"/>
  <c r="C132" i="3"/>
  <c r="B132" i="3"/>
  <c r="D130" i="3"/>
  <c r="E129" i="3"/>
  <c r="D129" i="3"/>
  <c r="C129" i="3"/>
  <c r="D128" i="3"/>
  <c r="E127" i="3"/>
  <c r="D127" i="3"/>
  <c r="C127" i="3"/>
  <c r="D126" i="3"/>
  <c r="E125" i="3"/>
  <c r="D125" i="3"/>
  <c r="C125" i="3"/>
  <c r="B125" i="3"/>
  <c r="D123" i="3"/>
  <c r="E122" i="3"/>
  <c r="D122" i="3"/>
  <c r="C122" i="3"/>
  <c r="D121" i="3"/>
  <c r="E120" i="3"/>
  <c r="D120" i="3"/>
  <c r="C120" i="3"/>
  <c r="D119" i="3"/>
  <c r="E118" i="3"/>
  <c r="D118" i="3"/>
  <c r="C118" i="3"/>
  <c r="B118" i="3"/>
  <c r="D116" i="3"/>
  <c r="E115" i="3"/>
  <c r="D115" i="3"/>
  <c r="C115" i="3"/>
  <c r="D114" i="3"/>
  <c r="E113" i="3"/>
  <c r="D113" i="3"/>
  <c r="C113" i="3"/>
  <c r="D112" i="3"/>
  <c r="E111" i="3"/>
  <c r="D111" i="3"/>
  <c r="C111" i="3"/>
  <c r="B111" i="3"/>
  <c r="D109" i="3"/>
  <c r="E108" i="3"/>
  <c r="D108" i="3"/>
  <c r="C108" i="3"/>
  <c r="D107" i="3"/>
  <c r="E106" i="3"/>
  <c r="D106" i="3"/>
  <c r="C106" i="3"/>
  <c r="D105" i="3"/>
  <c r="E104" i="3"/>
  <c r="D104" i="3"/>
  <c r="C104" i="3"/>
  <c r="B104" i="3"/>
  <c r="D101" i="3"/>
  <c r="E100" i="3"/>
  <c r="D100" i="3"/>
  <c r="C100" i="3"/>
  <c r="D99" i="3"/>
  <c r="E98" i="3"/>
  <c r="D98" i="3"/>
  <c r="C98" i="3"/>
  <c r="D97" i="3"/>
  <c r="E96" i="3"/>
  <c r="D96" i="3"/>
  <c r="C96" i="3"/>
  <c r="B96" i="3"/>
  <c r="D94" i="3"/>
  <c r="E93" i="3"/>
  <c r="D93" i="3"/>
  <c r="C93" i="3"/>
  <c r="D92" i="3"/>
  <c r="E91" i="3"/>
  <c r="D91" i="3"/>
  <c r="C91" i="3"/>
  <c r="D90" i="3"/>
  <c r="E89" i="3"/>
  <c r="D89" i="3"/>
  <c r="C89" i="3"/>
  <c r="B89" i="3"/>
  <c r="D87" i="3"/>
  <c r="E86" i="3"/>
  <c r="D86" i="3"/>
  <c r="C86" i="3"/>
  <c r="D85" i="3"/>
  <c r="E84" i="3"/>
  <c r="D84" i="3"/>
  <c r="C84" i="3"/>
  <c r="D83" i="3"/>
  <c r="E82" i="3"/>
  <c r="D82" i="3"/>
  <c r="C82" i="3"/>
  <c r="B82" i="3"/>
  <c r="D80" i="3"/>
  <c r="E79" i="3"/>
  <c r="D79" i="3"/>
  <c r="C79" i="3"/>
  <c r="D78" i="3"/>
  <c r="E77" i="3"/>
  <c r="D77" i="3"/>
  <c r="C77" i="3"/>
  <c r="D76" i="3"/>
  <c r="E75" i="3"/>
  <c r="D75" i="3"/>
  <c r="C75" i="3"/>
  <c r="B75" i="3"/>
  <c r="D73" i="3"/>
  <c r="E72" i="3"/>
  <c r="D72" i="3"/>
  <c r="C72" i="3"/>
  <c r="D71" i="3"/>
  <c r="E70" i="3"/>
  <c r="D70" i="3"/>
  <c r="C70" i="3"/>
  <c r="D69" i="3"/>
  <c r="E68" i="3"/>
  <c r="D68" i="3"/>
  <c r="C68" i="3"/>
  <c r="B68" i="3"/>
  <c r="D66" i="3"/>
  <c r="E65" i="3"/>
  <c r="D65" i="3"/>
  <c r="C65" i="3"/>
  <c r="D64" i="3"/>
  <c r="E63" i="3"/>
  <c r="D63" i="3"/>
  <c r="C63" i="3"/>
  <c r="D62" i="3"/>
  <c r="E61" i="3"/>
  <c r="D61" i="3"/>
  <c r="C61" i="3"/>
  <c r="B61" i="3"/>
  <c r="D58" i="3"/>
  <c r="E57" i="3"/>
  <c r="D57" i="3"/>
  <c r="C57" i="3"/>
  <c r="D56" i="3"/>
  <c r="E55" i="3"/>
  <c r="D55" i="3"/>
  <c r="C55" i="3"/>
  <c r="D54" i="3"/>
  <c r="E53" i="3"/>
  <c r="D53" i="3"/>
  <c r="C53" i="3"/>
  <c r="B53" i="3"/>
  <c r="D51" i="3"/>
  <c r="E50" i="3"/>
  <c r="D50" i="3"/>
  <c r="C50" i="3"/>
  <c r="D49" i="3"/>
  <c r="E48" i="3"/>
  <c r="D48" i="3"/>
  <c r="C48" i="3"/>
  <c r="D47" i="3"/>
  <c r="E46" i="3"/>
  <c r="D46" i="3"/>
  <c r="C46" i="3"/>
  <c r="B46" i="3"/>
  <c r="D44" i="3"/>
  <c r="E43" i="3"/>
  <c r="D43" i="3"/>
  <c r="C43" i="3"/>
  <c r="D42" i="3"/>
  <c r="E41" i="3"/>
  <c r="D41" i="3"/>
  <c r="C41" i="3"/>
  <c r="D40" i="3"/>
  <c r="E39" i="3"/>
  <c r="D39" i="3"/>
  <c r="C39" i="3"/>
  <c r="B39" i="3"/>
  <c r="D37" i="3"/>
  <c r="E36" i="3"/>
  <c r="D36" i="3"/>
  <c r="C36" i="3"/>
  <c r="D35" i="3"/>
  <c r="E34" i="3"/>
  <c r="D34" i="3"/>
  <c r="C34" i="3"/>
  <c r="D33" i="3"/>
  <c r="E32" i="3"/>
  <c r="D32" i="3"/>
  <c r="C32" i="3"/>
  <c r="B32" i="3"/>
  <c r="D30" i="3"/>
  <c r="E29" i="3"/>
  <c r="D29" i="3"/>
  <c r="C29" i="3"/>
  <c r="D28" i="3"/>
  <c r="E27" i="3"/>
  <c r="D27" i="3"/>
  <c r="C27" i="3"/>
  <c r="D26" i="3"/>
  <c r="E25" i="3"/>
  <c r="D25" i="3"/>
  <c r="C25" i="3"/>
  <c r="B25" i="3"/>
  <c r="D23" i="3"/>
  <c r="E22" i="3"/>
  <c r="D22" i="3"/>
  <c r="C22" i="3"/>
  <c r="D21" i="3"/>
  <c r="E20" i="3"/>
  <c r="D20" i="3"/>
  <c r="C20" i="3"/>
  <c r="D19" i="3"/>
  <c r="E18" i="3"/>
  <c r="D18" i="3"/>
  <c r="C18" i="3"/>
  <c r="B18" i="3"/>
  <c r="B1" i="3"/>
  <c r="R31" i="9" a="1"/>
  <c r="P31" i="9" a="1"/>
  <c r="N31" i="9" a="1"/>
  <c r="L31" i="9" a="1"/>
  <c r="J31" i="9" a="1"/>
  <c r="H31" i="9" a="1"/>
  <c r="F31" i="9" a="1"/>
  <c r="D31" i="9" a="1"/>
  <c r="B31" i="9" a="1"/>
  <c r="R24" i="9" a="1"/>
  <c r="Q31" i="9" a="1"/>
  <c r="O31" i="9" a="1"/>
  <c r="M31" i="9" a="1"/>
  <c r="K31" i="9" a="1"/>
  <c r="I31" i="9" a="1"/>
  <c r="G31" i="9" a="1"/>
  <c r="E31" i="9" a="1"/>
  <c r="C31" i="9" a="1"/>
  <c r="A31" i="9" a="1"/>
  <c r="Q24" i="9" a="1"/>
  <c r="J24" i="9" a="1"/>
  <c r="R17" i="9" a="1"/>
  <c r="H17" i="9" a="1"/>
  <c r="P10" i="9" a="1"/>
  <c r="F10" i="9" a="1"/>
  <c r="N3" i="9" a="1"/>
  <c r="D3" i="9" a="1"/>
  <c r="P24" i="9" a="1"/>
  <c r="E24" i="9" a="1"/>
  <c r="L17" i="9" a="1"/>
  <c r="A17" i="9" a="1"/>
  <c r="H10" i="9" a="1"/>
  <c r="O3" i="9" a="1"/>
  <c r="C3" i="9" a="1"/>
  <c r="O24" i="9" a="1"/>
  <c r="N24" i="9" a="1"/>
  <c r="M24" i="9" a="1"/>
  <c r="B24" i="9" a="1"/>
  <c r="I17" i="9" a="1"/>
  <c r="O10" i="9" a="1"/>
  <c r="D10" i="9" a="1"/>
  <c r="K3" i="9" a="1"/>
  <c r="L24" i="9" a="1"/>
  <c r="A24" i="9" a="1"/>
  <c r="G17" i="9" a="1"/>
  <c r="N10" i="9" a="1"/>
  <c r="C10" i="9" a="1"/>
  <c r="J3" i="9" a="1"/>
  <c r="K24" i="9" a="1"/>
  <c r="Q17" i="9" a="1"/>
  <c r="F17" i="9" a="1"/>
  <c r="I24" i="9" a="1"/>
  <c r="P17" i="9" a="1"/>
  <c r="E17" i="9" a="1"/>
  <c r="L10" i="9" a="1"/>
  <c r="A10" i="9" a="1"/>
  <c r="H3" i="9" a="1"/>
  <c r="H24" i="9" a="1"/>
  <c r="O17" i="9" a="1"/>
  <c r="G24" i="9" a="1"/>
  <c r="F24" i="9" a="1"/>
  <c r="R10" i="9" a="1"/>
  <c r="Q3" i="9" a="1"/>
  <c r="D17" i="9" a="1"/>
  <c r="E10" i="9" a="1"/>
  <c r="E3" i="9" a="1"/>
  <c r="D24" i="9" a="1"/>
  <c r="K10" i="9" a="1"/>
  <c r="G3" i="9" a="1"/>
  <c r="C24" i="9" a="1"/>
  <c r="J10" i="9" a="1"/>
  <c r="F3" i="9" a="1"/>
  <c r="N17" i="9" a="1"/>
  <c r="I10" i="9" a="1"/>
  <c r="B3" i="9" a="1"/>
  <c r="M17" i="9" a="1"/>
  <c r="G10" i="9" a="1"/>
  <c r="A3" i="9" a="1"/>
  <c r="K17" i="9" a="1"/>
  <c r="B10" i="9" a="1"/>
  <c r="J17" i="9" a="1"/>
  <c r="R3" i="9" a="1"/>
  <c r="G112" i="5"/>
  <c r="C17" i="9" a="1"/>
  <c r="P3" i="9" a="1"/>
  <c r="B17" i="9" a="1"/>
  <c r="M3" i="9" a="1"/>
  <c r="Q10" i="9" a="1"/>
  <c r="L3" i="9" a="1"/>
  <c r="M10" i="9" a="1"/>
  <c r="I3" i="9" a="1"/>
  <c r="O149" i="5"/>
  <c r="K139" i="5"/>
  <c r="W131" i="5"/>
  <c r="G149" i="5"/>
  <c r="K112" i="5"/>
  <c r="K93" i="5"/>
  <c r="K88" i="5"/>
  <c r="K87" i="5"/>
  <c r="K149" i="5"/>
  <c r="G93" i="5"/>
  <c r="G76" i="5"/>
  <c r="K98" i="5"/>
  <c r="G87" i="5"/>
  <c r="K28" i="5"/>
  <c r="G197" i="3"/>
  <c r="G175" i="3"/>
  <c r="G158" i="3"/>
  <c r="G154" i="3"/>
  <c r="G201" i="3"/>
  <c r="G113" i="3"/>
  <c r="G77" i="3"/>
  <c r="W51" i="5"/>
  <c r="W31" i="5"/>
  <c r="G28" i="5"/>
  <c r="O48" i="5"/>
  <c r="G182" i="3"/>
  <c r="G165" i="3"/>
  <c r="G51" i="5"/>
  <c r="W33" i="5"/>
  <c r="G213" i="3"/>
  <c r="G186" i="3"/>
  <c r="G149" i="3"/>
  <c r="G136" i="3"/>
  <c r="O33" i="5"/>
  <c r="K27" i="5"/>
  <c r="G177" i="3"/>
  <c r="S120" i="5"/>
  <c r="G32" i="5"/>
  <c r="G27" i="5"/>
  <c r="G220" i="3"/>
  <c r="G204" i="3"/>
  <c r="G199" i="3"/>
  <c r="G172" i="3"/>
  <c r="G120" i="3"/>
  <c r="G108" i="3"/>
  <c r="G84" i="3"/>
  <c r="G33" i="5"/>
  <c r="K32" i="5"/>
  <c r="G194" i="3"/>
  <c r="G143" i="3"/>
  <c r="G139" i="3"/>
  <c r="G132" i="3"/>
  <c r="G72" i="3"/>
  <c r="G68" i="3"/>
  <c r="G61" i="3"/>
  <c r="K33" i="5"/>
  <c r="O121" i="5"/>
  <c r="K76" i="5"/>
  <c r="S66" i="5"/>
  <c r="K60" i="5"/>
  <c r="K48" i="5"/>
  <c r="S33" i="5"/>
  <c r="G215" i="3"/>
  <c r="G211" i="3"/>
  <c r="G190" i="3"/>
  <c r="O108" i="5"/>
  <c r="W98" i="5"/>
  <c r="O66" i="5"/>
  <c r="G40" i="5"/>
  <c r="W28" i="5"/>
  <c r="W22" i="5"/>
  <c r="G151" i="3"/>
  <c r="G55" i="3"/>
  <c r="G46" i="3"/>
  <c r="G32" i="3"/>
  <c r="G27" i="3"/>
  <c r="G156" i="3"/>
  <c r="G129" i="3"/>
  <c r="G86" i="3"/>
  <c r="G65" i="3"/>
  <c r="G225" i="3"/>
  <c r="G118" i="3"/>
  <c r="G96" i="3"/>
  <c r="G75" i="3"/>
  <c r="W65" i="5"/>
  <c r="G229" i="3"/>
  <c r="G208" i="3"/>
  <c r="G79" i="3"/>
  <c r="G39" i="3"/>
  <c r="G179" i="3"/>
  <c r="W87" i="5"/>
  <c r="G115" i="3"/>
  <c r="G147" i="3"/>
  <c r="G125" i="3"/>
  <c r="G104" i="3"/>
  <c r="O40" i="5"/>
  <c r="G134" i="3"/>
  <c r="G22" i="3"/>
  <c r="G91" i="3"/>
  <c r="G70" i="3"/>
  <c r="W60" i="5"/>
  <c r="G122" i="3"/>
  <c r="G53" i="3"/>
  <c r="G93" i="3"/>
  <c r="G161" i="3"/>
  <c r="G100" i="3"/>
  <c r="G168" i="3"/>
  <c r="G41" i="3"/>
  <c r="G141" i="3"/>
  <c r="G82" i="3"/>
  <c r="G50" i="3"/>
  <c r="O27" i="5"/>
  <c r="G192" i="3"/>
  <c r="G170" i="3"/>
  <c r="G127" i="3"/>
  <c r="G106" i="3"/>
  <c r="G63" i="3"/>
  <c r="G48" i="3"/>
  <c r="G43" i="3"/>
  <c r="G34" i="3"/>
  <c r="W48" i="5"/>
  <c r="G218" i="3"/>
  <c r="G111" i="3"/>
  <c r="G89" i="3"/>
  <c r="G57" i="3"/>
  <c r="G20" i="3"/>
  <c r="W66" i="5"/>
  <c r="G227" i="3"/>
  <c r="G222" i="3"/>
  <c r="G206" i="3"/>
  <c r="G184" i="3"/>
  <c r="G163" i="3"/>
  <c r="G98" i="3"/>
  <c r="G36" i="3"/>
  <c r="G25" i="3"/>
  <c r="G29" i="3"/>
  <c r="G18" i="3"/>
  <c r="C39" i="2" l="1"/>
  <c r="H18" i="3"/>
  <c r="C44" i="2"/>
  <c r="C42" i="2"/>
  <c r="C47" i="2"/>
  <c r="H36" i="3"/>
  <c r="F15" i="4" s="1"/>
  <c r="C73" i="2"/>
  <c r="C100" i="2"/>
  <c r="H163" i="3"/>
  <c r="E24" i="4" s="1"/>
  <c r="C109" i="2"/>
  <c r="H206" i="3"/>
  <c r="E27" i="4" s="1"/>
  <c r="C118" i="2"/>
  <c r="H222" i="3"/>
  <c r="F28" i="4" s="1"/>
  <c r="C125" i="2"/>
  <c r="C127" i="2"/>
  <c r="C40" i="2"/>
  <c r="H20" i="3"/>
  <c r="E14" i="4" s="1"/>
  <c r="C56" i="2"/>
  <c r="H89" i="3"/>
  <c r="C69" i="2"/>
  <c r="C78" i="2"/>
  <c r="C123" i="2"/>
  <c r="H218" i="3"/>
  <c r="H34" i="3"/>
  <c r="E15" i="4" s="1"/>
  <c r="C46" i="2"/>
  <c r="C50" i="2"/>
  <c r="C52" i="2"/>
  <c r="H48" i="3"/>
  <c r="E16" i="4" s="1"/>
  <c r="C58" i="2"/>
  <c r="H63" i="3"/>
  <c r="E17" i="4" s="1"/>
  <c r="H106" i="3"/>
  <c r="E20" i="4" s="1"/>
  <c r="C76" i="2"/>
  <c r="C85" i="2"/>
  <c r="C103" i="2"/>
  <c r="H192" i="3"/>
  <c r="E26" i="4" s="1"/>
  <c r="C112" i="2"/>
  <c r="C53" i="2"/>
  <c r="H50" i="3"/>
  <c r="F16" i="4" s="1"/>
  <c r="C66" i="2"/>
  <c r="C91" i="2"/>
  <c r="C49" i="2"/>
  <c r="C102" i="2"/>
  <c r="C74" i="2"/>
  <c r="C99" i="2"/>
  <c r="H161" i="3"/>
  <c r="H93" i="3"/>
  <c r="F19" i="4" s="1"/>
  <c r="C71" i="2"/>
  <c r="C54" i="2"/>
  <c r="C83" i="2"/>
  <c r="H122" i="3"/>
  <c r="F21" i="4" s="1"/>
  <c r="C61" i="2"/>
  <c r="C70" i="2"/>
  <c r="H91" i="3"/>
  <c r="E19" i="4" s="1"/>
  <c r="H22" i="3"/>
  <c r="F14" i="4" s="1"/>
  <c r="C41" i="2"/>
  <c r="C88" i="2"/>
  <c r="H134" i="3"/>
  <c r="E22" i="4" s="1"/>
  <c r="H104" i="3"/>
  <c r="C75" i="2"/>
  <c r="C84" i="2"/>
  <c r="C93" i="2"/>
  <c r="H147" i="3"/>
  <c r="C80" i="2"/>
  <c r="C107" i="2"/>
  <c r="H179" i="3"/>
  <c r="F25" i="4" s="1"/>
  <c r="C48" i="2"/>
  <c r="C65" i="2"/>
  <c r="H79" i="3"/>
  <c r="F18" i="4" s="1"/>
  <c r="H208" i="3"/>
  <c r="F27" i="4" s="1"/>
  <c r="C119" i="2"/>
  <c r="C128" i="2"/>
  <c r="C63" i="2"/>
  <c r="H75" i="3"/>
  <c r="C72" i="2"/>
  <c r="H118" i="3"/>
  <c r="C81" i="2"/>
  <c r="C126" i="2"/>
  <c r="C59" i="2"/>
  <c r="H65" i="3"/>
  <c r="F17" i="4" s="1"/>
  <c r="C68" i="2"/>
  <c r="C86" i="2"/>
  <c r="C97" i="2"/>
  <c r="C43" i="2"/>
  <c r="H32" i="3"/>
  <c r="C45" i="2"/>
  <c r="C51" i="2"/>
  <c r="H46" i="3"/>
  <c r="C55" i="2"/>
  <c r="C95" i="2"/>
  <c r="H151" i="3"/>
  <c r="F23" i="4" s="1"/>
  <c r="C111" i="2"/>
  <c r="H190" i="3"/>
  <c r="C120" i="2"/>
  <c r="C122" i="2"/>
  <c r="C57" i="2"/>
  <c r="H61" i="3"/>
  <c r="C60" i="2"/>
  <c r="C62" i="2"/>
  <c r="C87" i="2"/>
  <c r="H132" i="3"/>
  <c r="C90" i="2"/>
  <c r="C92" i="2"/>
  <c r="C113" i="2"/>
  <c r="H194" i="3"/>
  <c r="F26" i="4" s="1"/>
  <c r="C67" i="2"/>
  <c r="C77" i="2"/>
  <c r="H108" i="3"/>
  <c r="F20" i="4" s="1"/>
  <c r="C82" i="2"/>
  <c r="H120" i="3"/>
  <c r="E21" i="4" s="1"/>
  <c r="C104" i="2"/>
  <c r="C115" i="2"/>
  <c r="C117" i="2"/>
  <c r="H204" i="3"/>
  <c r="H220" i="3"/>
  <c r="E28" i="4" s="1"/>
  <c r="C124" i="2"/>
  <c r="C106" i="2"/>
  <c r="H177" i="3"/>
  <c r="E25" i="4" s="1"/>
  <c r="H136" i="3"/>
  <c r="F22" i="4" s="1"/>
  <c r="C89" i="2"/>
  <c r="C94" i="2"/>
  <c r="H149" i="3"/>
  <c r="E23" i="4" s="1"/>
  <c r="C110" i="2"/>
  <c r="C121" i="2"/>
  <c r="H165" i="3"/>
  <c r="F24" i="4" s="1"/>
  <c r="C101" i="2"/>
  <c r="C108" i="2"/>
  <c r="H28" i="5"/>
  <c r="H77" i="3"/>
  <c r="E18" i="4" s="1"/>
  <c r="C64" i="2"/>
  <c r="C79" i="2"/>
  <c r="C116" i="2"/>
  <c r="C96" i="2"/>
  <c r="C98" i="2"/>
  <c r="C105" i="2"/>
  <c r="H175" i="3"/>
  <c r="C114" i="2"/>
  <c r="L28" i="5"/>
  <c r="E35" i="4" s="1"/>
  <c r="I6" i="9"/>
  <c r="I5" i="9"/>
  <c r="I4" i="9"/>
  <c r="I3" i="9"/>
  <c r="M13" i="9"/>
  <c r="M12" i="9"/>
  <c r="M11" i="9"/>
  <c r="M10" i="9"/>
  <c r="L6" i="9"/>
  <c r="L5" i="9"/>
  <c r="L4" i="9"/>
  <c r="L3" i="9"/>
  <c r="Q13" i="9"/>
  <c r="Q12" i="9"/>
  <c r="Q11" i="9"/>
  <c r="Q10" i="9"/>
  <c r="M6" i="9"/>
  <c r="M5" i="9"/>
  <c r="M4" i="9"/>
  <c r="M3" i="9"/>
  <c r="B20" i="9"/>
  <c r="B19" i="9"/>
  <c r="B18" i="9"/>
  <c r="B17" i="9"/>
  <c r="P6" i="9"/>
  <c r="P5" i="9"/>
  <c r="P4" i="9"/>
  <c r="P3" i="9"/>
  <c r="C20" i="9"/>
  <c r="C19" i="9"/>
  <c r="C18" i="9"/>
  <c r="C17" i="9"/>
  <c r="R6" i="9"/>
  <c r="R5" i="9"/>
  <c r="R4" i="9"/>
  <c r="R3" i="9"/>
  <c r="J20" i="9"/>
  <c r="J19" i="9"/>
  <c r="J18" i="9"/>
  <c r="J17" i="9"/>
  <c r="B13" i="9"/>
  <c r="B12" i="9"/>
  <c r="B11" i="9"/>
  <c r="B10" i="9"/>
  <c r="K20" i="9"/>
  <c r="K19" i="9"/>
  <c r="K18" i="9"/>
  <c r="K17" i="9"/>
  <c r="A6" i="9"/>
  <c r="A5" i="9"/>
  <c r="A4" i="9"/>
  <c r="A3" i="9"/>
  <c r="G13" i="9"/>
  <c r="G12" i="9"/>
  <c r="G11" i="9"/>
  <c r="G10" i="9"/>
  <c r="M20" i="9"/>
  <c r="M19" i="9"/>
  <c r="M18" i="9"/>
  <c r="M17" i="9"/>
  <c r="B6" i="9"/>
  <c r="B5" i="9"/>
  <c r="B4" i="9"/>
  <c r="B3" i="9"/>
  <c r="I13" i="9"/>
  <c r="I12" i="9"/>
  <c r="I11" i="9"/>
  <c r="I10" i="9"/>
  <c r="N20" i="9"/>
  <c r="N19" i="9"/>
  <c r="N18" i="9"/>
  <c r="N17" i="9"/>
  <c r="F6" i="9"/>
  <c r="F5" i="9"/>
  <c r="F4" i="9"/>
  <c r="F3" i="9"/>
  <c r="J13" i="9"/>
  <c r="J12" i="9"/>
  <c r="J11" i="9"/>
  <c r="J10" i="9"/>
  <c r="C27" i="9"/>
  <c r="C26" i="9"/>
  <c r="C25" i="9"/>
  <c r="C24" i="9"/>
  <c r="G6" i="9"/>
  <c r="G5" i="9"/>
  <c r="G4" i="9"/>
  <c r="G3" i="9"/>
  <c r="K13" i="9"/>
  <c r="K12" i="9"/>
  <c r="K11" i="9"/>
  <c r="K10" i="9"/>
  <c r="D27" i="9"/>
  <c r="D26" i="9"/>
  <c r="D25" i="9"/>
  <c r="D24" i="9"/>
  <c r="E6" i="9"/>
  <c r="E5" i="9"/>
  <c r="E4" i="9"/>
  <c r="E3" i="9"/>
  <c r="E13" i="9"/>
  <c r="E12" i="9"/>
  <c r="E11" i="9"/>
  <c r="E10" i="9"/>
  <c r="D20" i="9"/>
  <c r="D19" i="9"/>
  <c r="D18" i="9"/>
  <c r="D17" i="9"/>
  <c r="Q6" i="9"/>
  <c r="Q5" i="9"/>
  <c r="Q4" i="9"/>
  <c r="Q3" i="9"/>
  <c r="R13" i="9"/>
  <c r="R12" i="9"/>
  <c r="R11" i="9"/>
  <c r="R10" i="9"/>
  <c r="F27" i="9"/>
  <c r="F26" i="9"/>
  <c r="F25" i="9"/>
  <c r="F24" i="9"/>
  <c r="G27" i="9"/>
  <c r="G26" i="9"/>
  <c r="G25" i="9"/>
  <c r="G24" i="9"/>
  <c r="O20" i="9"/>
  <c r="O19" i="9"/>
  <c r="O18" i="9"/>
  <c r="O17" i="9"/>
  <c r="H27" i="9"/>
  <c r="H26" i="9"/>
  <c r="H25" i="9"/>
  <c r="H24" i="9"/>
  <c r="H6" i="9"/>
  <c r="H5" i="9"/>
  <c r="H4" i="9"/>
  <c r="H3" i="9"/>
  <c r="A13" i="9"/>
  <c r="A12" i="9"/>
  <c r="A11" i="9"/>
  <c r="A10" i="9"/>
  <c r="L13" i="9"/>
  <c r="L12" i="9"/>
  <c r="L11" i="9"/>
  <c r="L10" i="9"/>
  <c r="E20" i="9"/>
  <c r="E19" i="9"/>
  <c r="E18" i="9"/>
  <c r="E17" i="9"/>
  <c r="P20" i="9"/>
  <c r="P19" i="9"/>
  <c r="P18" i="9"/>
  <c r="P17" i="9"/>
  <c r="I27" i="9"/>
  <c r="I26" i="9"/>
  <c r="I25" i="9"/>
  <c r="I24" i="9"/>
  <c r="F20" i="9"/>
  <c r="F19" i="9"/>
  <c r="F18" i="9"/>
  <c r="F17" i="9"/>
  <c r="Q20" i="9"/>
  <c r="Q19" i="9"/>
  <c r="Q18" i="9"/>
  <c r="Q17" i="9"/>
  <c r="K27" i="9"/>
  <c r="K26" i="9"/>
  <c r="K25" i="9"/>
  <c r="K24" i="9"/>
  <c r="J6" i="9"/>
  <c r="J5" i="9"/>
  <c r="J4" i="9"/>
  <c r="J3" i="9"/>
  <c r="C13" i="9"/>
  <c r="C12" i="9"/>
  <c r="C11" i="9"/>
  <c r="C10" i="9"/>
  <c r="N13" i="9"/>
  <c r="N12" i="9"/>
  <c r="N11" i="9"/>
  <c r="N10" i="9"/>
  <c r="G20" i="9"/>
  <c r="G19" i="9"/>
  <c r="G18" i="9"/>
  <c r="G17" i="9"/>
  <c r="A27" i="9"/>
  <c r="A26" i="9"/>
  <c r="A25" i="9"/>
  <c r="A24" i="9"/>
  <c r="L27" i="9"/>
  <c r="L26" i="9"/>
  <c r="L25" i="9"/>
  <c r="L24" i="9"/>
  <c r="K6" i="9"/>
  <c r="K5" i="9"/>
  <c r="K4" i="9"/>
  <c r="K3" i="9"/>
  <c r="D13" i="9"/>
  <c r="D12" i="9"/>
  <c r="D11" i="9"/>
  <c r="D10" i="9"/>
  <c r="O13" i="9"/>
  <c r="O12" i="9"/>
  <c r="O11" i="9"/>
  <c r="O10" i="9"/>
  <c r="I20" i="9"/>
  <c r="I19" i="9"/>
  <c r="I18" i="9"/>
  <c r="I17" i="9"/>
  <c r="B27" i="9"/>
  <c r="B26" i="9"/>
  <c r="B25" i="9"/>
  <c r="B24" i="9"/>
  <c r="M27" i="9"/>
  <c r="M26" i="9"/>
  <c r="M25" i="9"/>
  <c r="M24" i="9"/>
  <c r="N27" i="9"/>
  <c r="N26" i="9"/>
  <c r="N25" i="9"/>
  <c r="N24" i="9"/>
  <c r="O27" i="9"/>
  <c r="O26" i="9"/>
  <c r="O25" i="9"/>
  <c r="O24" i="9"/>
  <c r="C6" i="9"/>
  <c r="C5" i="9"/>
  <c r="C4" i="9"/>
  <c r="C3" i="9"/>
  <c r="O6" i="9"/>
  <c r="O5" i="9"/>
  <c r="O4" i="9"/>
  <c r="O3" i="9"/>
  <c r="H13" i="9"/>
  <c r="H12" i="9"/>
  <c r="H11" i="9"/>
  <c r="H10" i="9"/>
  <c r="A20" i="9"/>
  <c r="A19" i="9"/>
  <c r="A18" i="9"/>
  <c r="A17" i="9"/>
  <c r="L20" i="9"/>
  <c r="L19" i="9"/>
  <c r="L18" i="9"/>
  <c r="L17" i="9"/>
  <c r="E27" i="9"/>
  <c r="E26" i="9"/>
  <c r="E25" i="9"/>
  <c r="E24" i="9"/>
  <c r="P27" i="9"/>
  <c r="P26" i="9"/>
  <c r="P25" i="9"/>
  <c r="P24" i="9"/>
  <c r="D6" i="9"/>
  <c r="D5" i="9"/>
  <c r="D4" i="9"/>
  <c r="D3" i="9"/>
  <c r="N6" i="9"/>
  <c r="N5" i="9"/>
  <c r="N4" i="9"/>
  <c r="N3" i="9"/>
  <c r="F13" i="9"/>
  <c r="F12" i="9"/>
  <c r="F11" i="9"/>
  <c r="F10" i="9"/>
  <c r="P13" i="9"/>
  <c r="P12" i="9"/>
  <c r="P11" i="9"/>
  <c r="P10" i="9"/>
  <c r="H20" i="9"/>
  <c r="H19" i="9"/>
  <c r="H18" i="9"/>
  <c r="H17" i="9"/>
  <c r="R20" i="9"/>
  <c r="R19" i="9"/>
  <c r="R18" i="9"/>
  <c r="R17" i="9"/>
  <c r="J27" i="9"/>
  <c r="J26" i="9"/>
  <c r="J25" i="9"/>
  <c r="J24" i="9"/>
  <c r="Q27" i="9"/>
  <c r="Q26" i="9"/>
  <c r="Q25" i="9"/>
  <c r="Q24" i="9"/>
  <c r="A34" i="9"/>
  <c r="A33" i="9"/>
  <c r="A32" i="9"/>
  <c r="A31" i="9"/>
  <c r="C34" i="9"/>
  <c r="C33" i="9"/>
  <c r="C32" i="9"/>
  <c r="C31" i="9"/>
  <c r="E34" i="9"/>
  <c r="E33" i="9"/>
  <c r="E32" i="9"/>
  <c r="E31" i="9"/>
  <c r="G34" i="9"/>
  <c r="G33" i="9"/>
  <c r="G32" i="9"/>
  <c r="G31" i="9"/>
  <c r="I34" i="9"/>
  <c r="I33" i="9"/>
  <c r="I32" i="9"/>
  <c r="I31" i="9"/>
  <c r="K34" i="9"/>
  <c r="K33" i="9"/>
  <c r="K32" i="9"/>
  <c r="K31" i="9"/>
  <c r="M34" i="9"/>
  <c r="M33" i="9"/>
  <c r="M32" i="9"/>
  <c r="M31" i="9"/>
  <c r="O34" i="9"/>
  <c r="O33" i="9"/>
  <c r="O32" i="9"/>
  <c r="O31" i="9"/>
  <c r="Q34" i="9"/>
  <c r="Q33" i="9"/>
  <c r="Q32" i="9"/>
  <c r="Q31" i="9"/>
  <c r="R27" i="9"/>
  <c r="R26" i="9"/>
  <c r="R25" i="9"/>
  <c r="R24" i="9"/>
  <c r="B34" i="9"/>
  <c r="B33" i="9"/>
  <c r="B32" i="9"/>
  <c r="B31" i="9"/>
  <c r="D34" i="9"/>
  <c r="D33" i="9"/>
  <c r="D32" i="9"/>
  <c r="D31" i="9"/>
  <c r="F34" i="9"/>
  <c r="F33" i="9"/>
  <c r="F32" i="9"/>
  <c r="F31" i="9"/>
  <c r="H34" i="9"/>
  <c r="H33" i="9"/>
  <c r="H32" i="9"/>
  <c r="H31" i="9"/>
  <c r="J34" i="9"/>
  <c r="J33" i="9"/>
  <c r="J32" i="9"/>
  <c r="J31" i="9"/>
  <c r="L34" i="9"/>
  <c r="L33" i="9"/>
  <c r="L32" i="9"/>
  <c r="L31" i="9"/>
  <c r="N34" i="9"/>
  <c r="N33" i="9"/>
  <c r="N32" i="9"/>
  <c r="N31" i="9"/>
  <c r="P34" i="9"/>
  <c r="P33" i="9"/>
  <c r="P32" i="9"/>
  <c r="P31" i="9"/>
  <c r="R34" i="9"/>
  <c r="R33" i="9"/>
  <c r="R32" i="9"/>
  <c r="R31" i="9"/>
  <c r="V23" i="5"/>
  <c r="V38" i="5"/>
  <c r="V78" i="5"/>
  <c r="U15" i="4"/>
  <c r="B25" i="2"/>
  <c r="V18" i="5"/>
  <c r="V47" i="5"/>
  <c r="V88" i="5"/>
  <c r="E59" i="5"/>
  <c r="D59" i="5"/>
  <c r="B59" i="5"/>
  <c r="B24" i="2"/>
  <c r="U25" i="4"/>
  <c r="B31" i="5"/>
  <c r="D31" i="5"/>
  <c r="C59" i="5"/>
  <c r="N76" i="5"/>
  <c r="R76" i="5" s="1"/>
  <c r="V76" i="5" s="1"/>
  <c r="C122" i="5"/>
  <c r="E122" i="5"/>
  <c r="D122" i="5"/>
  <c r="B37" i="2"/>
  <c r="B33" i="2"/>
  <c r="U23" i="4"/>
  <c r="E29" i="5"/>
  <c r="C29" i="5"/>
  <c r="E41" i="5"/>
  <c r="C41" i="5"/>
  <c r="E57" i="5"/>
  <c r="D57" i="5"/>
  <c r="J74" i="5"/>
  <c r="T26" i="4"/>
  <c r="Z13" i="4" s="1"/>
  <c r="I18" i="4"/>
  <c r="C22" i="5"/>
  <c r="B22" i="5"/>
  <c r="D29" i="5"/>
  <c r="D41" i="5"/>
  <c r="D55" i="5"/>
  <c r="E55" i="5"/>
  <c r="C55" i="5"/>
  <c r="C57" i="5"/>
  <c r="D61" i="5"/>
  <c r="E61" i="5"/>
  <c r="C61" i="5"/>
  <c r="C79" i="5"/>
  <c r="E79" i="5"/>
  <c r="D79" i="5"/>
  <c r="C20" i="5"/>
  <c r="E20" i="5"/>
  <c r="D20" i="5"/>
  <c r="R32" i="5"/>
  <c r="B46" i="5"/>
  <c r="E46" i="5"/>
  <c r="C46" i="5"/>
  <c r="D46" i="5"/>
  <c r="B50" i="5"/>
  <c r="C50" i="5"/>
  <c r="D50" i="5"/>
  <c r="E50" i="5"/>
  <c r="E70" i="5"/>
  <c r="C70" i="5"/>
  <c r="R85" i="5"/>
  <c r="A14" i="5"/>
  <c r="B38" i="2"/>
  <c r="U28" i="4"/>
  <c r="A16" i="5"/>
  <c r="J19" i="5"/>
  <c r="C60" i="5"/>
  <c r="D134" i="5"/>
  <c r="C134" i="5"/>
  <c r="E134" i="5"/>
  <c r="B134" i="5"/>
  <c r="E37" i="5"/>
  <c r="C37" i="5"/>
  <c r="B29" i="2"/>
  <c r="D37" i="5"/>
  <c r="D52" i="5"/>
  <c r="C52" i="5"/>
  <c r="B64" i="5"/>
  <c r="C64" i="5"/>
  <c r="D64" i="5"/>
  <c r="C80" i="5"/>
  <c r="E80" i="5"/>
  <c r="D80" i="5"/>
  <c r="C84" i="5"/>
  <c r="E84" i="5"/>
  <c r="D84" i="5"/>
  <c r="E24" i="5"/>
  <c r="D24" i="5"/>
  <c r="N126" i="5"/>
  <c r="R115" i="5"/>
  <c r="E125" i="5"/>
  <c r="C125" i="5"/>
  <c r="D125" i="5"/>
  <c r="C130" i="5"/>
  <c r="D130" i="5"/>
  <c r="E130" i="5"/>
  <c r="B130" i="5"/>
  <c r="D116" i="5"/>
  <c r="C116" i="5"/>
  <c r="D92" i="5"/>
  <c r="C92" i="5"/>
  <c r="D96" i="5"/>
  <c r="B96" i="5"/>
  <c r="E96" i="5"/>
  <c r="E116" i="5"/>
  <c r="D83" i="5"/>
  <c r="E83" i="5"/>
  <c r="C83" i="5"/>
  <c r="E92" i="5"/>
  <c r="C103" i="5"/>
  <c r="E103" i="5"/>
  <c r="D103" i="5"/>
  <c r="C107" i="5"/>
  <c r="E107" i="5"/>
  <c r="D148" i="5"/>
  <c r="C148" i="5"/>
  <c r="E148" i="5"/>
  <c r="J154" i="5"/>
  <c r="M2" i="7"/>
  <c r="M1" i="7" s="1"/>
  <c r="E56" i="5"/>
  <c r="D68" i="5"/>
  <c r="C144" i="5"/>
  <c r="D144" i="5"/>
  <c r="D94" i="5"/>
  <c r="E94" i="5"/>
  <c r="D97" i="5"/>
  <c r="E97" i="5"/>
  <c r="D111" i="5"/>
  <c r="E111" i="5"/>
  <c r="B111" i="5"/>
  <c r="C113" i="5"/>
  <c r="C132" i="5"/>
  <c r="E132" i="5"/>
  <c r="E144" i="5"/>
  <c r="E141" i="5"/>
  <c r="D141" i="5"/>
  <c r="B143" i="5"/>
  <c r="E143" i="5"/>
  <c r="D152" i="5"/>
  <c r="E153" i="5"/>
  <c r="D87" i="5"/>
  <c r="C87" i="5"/>
  <c r="C89" i="5"/>
  <c r="D89" i="5"/>
  <c r="E89" i="5"/>
  <c r="E152" i="5"/>
  <c r="D74" i="5"/>
  <c r="E106" i="5"/>
  <c r="D150" i="5"/>
  <c r="E150" i="5"/>
  <c r="C139" i="5"/>
  <c r="D139" i="5"/>
  <c r="S18" i="5"/>
  <c r="W52" i="5"/>
  <c r="G69" i="5"/>
  <c r="K36" i="5"/>
  <c r="O135" i="5"/>
  <c r="G23" i="5"/>
  <c r="S64" i="5"/>
  <c r="O18" i="5"/>
  <c r="O23" i="5"/>
  <c r="K66" i="5"/>
  <c r="W124" i="5"/>
  <c r="O68" i="5"/>
  <c r="S136" i="5"/>
  <c r="O139" i="5"/>
  <c r="K47" i="5"/>
  <c r="G36" i="5"/>
  <c r="G131" i="5"/>
  <c r="W145" i="5"/>
  <c r="G115" i="5"/>
  <c r="O32" i="5"/>
  <c r="S68" i="5"/>
  <c r="S31" i="5"/>
  <c r="K40" i="5"/>
  <c r="K102" i="5"/>
  <c r="W136" i="5"/>
  <c r="O51" i="5"/>
  <c r="S139" i="5"/>
  <c r="K108" i="5"/>
  <c r="G38" i="5"/>
  <c r="O131" i="5"/>
  <c r="S145" i="5"/>
  <c r="S93" i="5"/>
  <c r="O113" i="5"/>
  <c r="S47" i="5"/>
  <c r="G52" i="5"/>
  <c r="K75" i="5"/>
  <c r="K135" i="5"/>
  <c r="O78" i="5"/>
  <c r="W117" i="5"/>
  <c r="G154" i="5"/>
  <c r="K131" i="5"/>
  <c r="S23" i="5"/>
  <c r="W64" i="5"/>
  <c r="O75" i="5"/>
  <c r="S48" i="5"/>
  <c r="W135" i="5"/>
  <c r="K31" i="5"/>
  <c r="W68" i="5"/>
  <c r="S22" i="5"/>
  <c r="W40" i="5"/>
  <c r="W102" i="5"/>
  <c r="O22" i="5"/>
  <c r="K78" i="5"/>
  <c r="G18" i="5"/>
  <c r="S117" i="5"/>
  <c r="G139" i="5"/>
  <c r="K51" i="5"/>
  <c r="S108" i="5"/>
  <c r="G47" i="5"/>
  <c r="K113" i="5"/>
  <c r="S38" i="5"/>
  <c r="O42" i="5"/>
  <c r="K64" i="5"/>
  <c r="G75" i="5"/>
  <c r="S52" i="5"/>
  <c r="S135" i="5"/>
  <c r="O31" i="5"/>
  <c r="K68" i="5"/>
  <c r="G22" i="5"/>
  <c r="G68" i="5"/>
  <c r="S40" i="5"/>
  <c r="G102" i="5"/>
  <c r="G78" i="5"/>
  <c r="O115" i="5"/>
  <c r="S140" i="5"/>
  <c r="O117" i="5"/>
  <c r="O140" i="5"/>
  <c r="O87" i="5"/>
  <c r="G108" i="5"/>
  <c r="S51" i="5"/>
  <c r="S113" i="5"/>
  <c r="W113" i="5"/>
  <c r="G88" i="5"/>
  <c r="O60" i="5"/>
  <c r="G48" i="5"/>
  <c r="W36" i="5"/>
  <c r="O120" i="5"/>
  <c r="G113" i="5"/>
  <c r="G98" i="5"/>
  <c r="G42" i="5"/>
  <c r="W88" i="5"/>
  <c r="G64" i="5"/>
  <c r="O36" i="5"/>
  <c r="S102" i="5"/>
  <c r="K85" i="5"/>
  <c r="K120" i="5"/>
  <c r="G140" i="5"/>
  <c r="S36" i="5"/>
  <c r="G126" i="5"/>
  <c r="O98" i="5"/>
  <c r="K104" i="5"/>
  <c r="K42" i="5"/>
  <c r="O64" i="5"/>
  <c r="W75" i="5"/>
  <c r="S60" i="5"/>
  <c r="G31" i="5"/>
  <c r="K22" i="5"/>
  <c r="W76" i="5"/>
  <c r="O102" i="5"/>
  <c r="G120" i="5"/>
  <c r="W140" i="5"/>
  <c r="G117" i="5"/>
  <c r="W108" i="5"/>
  <c r="O88" i="5"/>
  <c r="G60" i="5"/>
  <c r="G121" i="5"/>
  <c r="K117" i="5"/>
  <c r="W149" i="5"/>
  <c r="O76" i="5"/>
  <c r="S78" i="5"/>
  <c r="W42" i="5"/>
  <c r="S88" i="5"/>
  <c r="O69" i="5"/>
  <c r="K65" i="5"/>
  <c r="S75" i="5"/>
  <c r="G65" i="5"/>
  <c r="S124" i="5"/>
  <c r="G85" i="5"/>
  <c r="W120" i="5"/>
  <c r="K140" i="5"/>
  <c r="K121" i="5"/>
  <c r="G136" i="5"/>
  <c r="S131" i="5"/>
  <c r="G104" i="5"/>
  <c r="S149" i="5"/>
  <c r="S42" i="5"/>
  <c r="O28" i="5"/>
  <c r="W69" i="5"/>
  <c r="G74" i="5"/>
  <c r="K115" i="5"/>
  <c r="S87" i="5"/>
  <c r="O93" i="5"/>
  <c r="K145" i="5"/>
  <c r="S27" i="5"/>
  <c r="S65" i="5"/>
  <c r="O124" i="5"/>
  <c r="W121" i="5"/>
  <c r="K38" i="5"/>
  <c r="O136" i="5"/>
  <c r="S98" i="5"/>
  <c r="W112" i="5"/>
  <c r="S104" i="5"/>
  <c r="O112" i="5"/>
  <c r="G145" i="5"/>
  <c r="O52" i="5"/>
  <c r="W27" i="5"/>
  <c r="S69" i="5"/>
  <c r="K23" i="5"/>
  <c r="O85" i="5"/>
  <c r="O65" i="5"/>
  <c r="K124" i="5"/>
  <c r="K126" i="5"/>
  <c r="S121" i="5"/>
  <c r="O38" i="5"/>
  <c r="K136" i="5"/>
  <c r="W93" i="5"/>
  <c r="W104" i="5"/>
  <c r="W18" i="5"/>
  <c r="K52" i="5"/>
  <c r="S28" i="5"/>
  <c r="K69" i="5"/>
  <c r="G135" i="5"/>
  <c r="W23" i="5"/>
  <c r="G19" i="5"/>
  <c r="G66" i="5"/>
  <c r="G124" i="5"/>
  <c r="W139" i="5"/>
  <c r="O47" i="5"/>
  <c r="O104" i="5"/>
  <c r="K18" i="5"/>
  <c r="S112" i="5"/>
  <c r="O145" i="5"/>
  <c r="W47" i="5"/>
  <c r="W78" i="5"/>
  <c r="W38" i="5"/>
  <c r="X38" i="5" l="1"/>
  <c r="F96" i="4" s="1"/>
  <c r="X47" i="5"/>
  <c r="E97" i="4" s="1"/>
  <c r="L18" i="5"/>
  <c r="P104" i="5"/>
  <c r="F63" i="4" s="1"/>
  <c r="P47" i="5"/>
  <c r="E57" i="4" s="1"/>
  <c r="H19" i="5"/>
  <c r="L48" i="5"/>
  <c r="F37" i="4" s="1"/>
  <c r="X18" i="5"/>
  <c r="X104" i="5"/>
  <c r="F103" i="4" s="1"/>
  <c r="P38" i="5"/>
  <c r="F56" i="4" s="1"/>
  <c r="P65" i="5"/>
  <c r="E59" i="4" s="1"/>
  <c r="X27" i="5"/>
  <c r="P48" i="5"/>
  <c r="F57" i="4" s="1"/>
  <c r="T104" i="5"/>
  <c r="F82" i="4" s="1"/>
  <c r="L38" i="5"/>
  <c r="F36" i="4" s="1"/>
  <c r="T65" i="5"/>
  <c r="E78" i="4" s="1"/>
  <c r="T27" i="5"/>
  <c r="H74" i="5"/>
  <c r="X65" i="5"/>
  <c r="E99" i="4" s="1"/>
  <c r="P28" i="5"/>
  <c r="E55" i="4" s="1"/>
  <c r="H104" i="5"/>
  <c r="T131" i="5"/>
  <c r="E85" i="4" s="1"/>
  <c r="X120" i="5"/>
  <c r="T120" i="5"/>
  <c r="H65" i="5"/>
  <c r="L65" i="5"/>
  <c r="E39" i="4" s="1"/>
  <c r="H120" i="5"/>
  <c r="H27" i="5"/>
  <c r="P64" i="5"/>
  <c r="L104" i="5"/>
  <c r="F43" i="4" s="1"/>
  <c r="T36" i="5"/>
  <c r="L120" i="5"/>
  <c r="P36" i="5"/>
  <c r="H64" i="5"/>
  <c r="H113" i="5"/>
  <c r="P120" i="5"/>
  <c r="X36" i="5"/>
  <c r="H48" i="5"/>
  <c r="X113" i="5"/>
  <c r="F104" i="4" s="1"/>
  <c r="T113" i="5"/>
  <c r="F83" i="4" s="1"/>
  <c r="P27" i="5"/>
  <c r="L64" i="5"/>
  <c r="T38" i="5"/>
  <c r="F75" i="4" s="1"/>
  <c r="L113" i="5"/>
  <c r="F44" i="4" s="1"/>
  <c r="H47" i="5"/>
  <c r="H18" i="5"/>
  <c r="L27" i="5"/>
  <c r="X131" i="5"/>
  <c r="E106" i="4" s="1"/>
  <c r="T48" i="5"/>
  <c r="F76" i="4" s="1"/>
  <c r="X64" i="5"/>
  <c r="L131" i="5"/>
  <c r="E46" i="4" s="1"/>
  <c r="T47" i="5"/>
  <c r="E76" i="4" s="1"/>
  <c r="P113" i="5"/>
  <c r="F64" i="4" s="1"/>
  <c r="P131" i="5"/>
  <c r="E66" i="4" s="1"/>
  <c r="H38" i="5"/>
  <c r="H131" i="5"/>
  <c r="H36" i="5"/>
  <c r="L47" i="5"/>
  <c r="E37" i="4" s="1"/>
  <c r="P18" i="5"/>
  <c r="T64" i="5"/>
  <c r="L36" i="5"/>
  <c r="X48" i="5"/>
  <c r="F97" i="4" s="1"/>
  <c r="T18" i="5"/>
  <c r="R126" i="5"/>
  <c r="D22" i="4"/>
  <c r="J132" i="3"/>
  <c r="J89" i="3"/>
  <c r="D19" i="4"/>
  <c r="N19" i="5"/>
  <c r="N74" i="5"/>
  <c r="D25" i="4"/>
  <c r="J175" i="3"/>
  <c r="J118" i="3"/>
  <c r="D21" i="4"/>
  <c r="V85" i="5"/>
  <c r="J161" i="3"/>
  <c r="D24" i="4"/>
  <c r="J190" i="3"/>
  <c r="D26" i="4"/>
  <c r="D15" i="4"/>
  <c r="J32" i="3"/>
  <c r="D18" i="4"/>
  <c r="J75" i="3"/>
  <c r="D23" i="4"/>
  <c r="J147" i="3"/>
  <c r="J61" i="3"/>
  <c r="D17" i="4"/>
  <c r="D28" i="4"/>
  <c r="J218" i="3"/>
  <c r="N154" i="5"/>
  <c r="V115" i="5"/>
  <c r="J18" i="3"/>
  <c r="D14" i="4"/>
  <c r="J204" i="3"/>
  <c r="D27" i="4"/>
  <c r="V32" i="5"/>
  <c r="J46" i="3"/>
  <c r="D16" i="4"/>
  <c r="D20" i="4"/>
  <c r="J104" i="3"/>
  <c r="S84" i="5"/>
  <c r="G50" i="5"/>
  <c r="O153" i="5"/>
  <c r="W96" i="5"/>
  <c r="O55" i="5"/>
  <c r="G29" i="5"/>
  <c r="K150" i="5"/>
  <c r="W89" i="5"/>
  <c r="O134" i="5"/>
  <c r="S106" i="5"/>
  <c r="K80" i="5"/>
  <c r="K70" i="5"/>
  <c r="G56" i="5"/>
  <c r="S143" i="5"/>
  <c r="W97" i="5"/>
  <c r="O24" i="5"/>
  <c r="K122" i="5"/>
  <c r="O130" i="5"/>
  <c r="W41" i="5"/>
  <c r="O141" i="5"/>
  <c r="S111" i="5"/>
  <c r="S103" i="5"/>
  <c r="W32" i="5"/>
  <c r="K41" i="5"/>
  <c r="O111" i="5"/>
  <c r="O103" i="5"/>
  <c r="O50" i="5"/>
  <c r="K59" i="5"/>
  <c r="O89" i="5"/>
  <c r="W80" i="5"/>
  <c r="S132" i="5"/>
  <c r="W143" i="5"/>
  <c r="S24" i="5"/>
  <c r="S130" i="5"/>
  <c r="S141" i="5"/>
  <c r="G103" i="5"/>
  <c r="O92" i="5"/>
  <c r="O59" i="5"/>
  <c r="S134" i="5"/>
  <c r="O132" i="5"/>
  <c r="K143" i="5"/>
  <c r="G24" i="5"/>
  <c r="W115" i="5"/>
  <c r="W103" i="5"/>
  <c r="W37" i="5"/>
  <c r="W92" i="5"/>
  <c r="S59" i="5"/>
  <c r="K125" i="5"/>
  <c r="K144" i="5"/>
  <c r="G70" i="5"/>
  <c r="K79" i="5"/>
  <c r="S107" i="5"/>
  <c r="G41" i="5"/>
  <c r="G111" i="5"/>
  <c r="G37" i="5"/>
  <c r="K74" i="5"/>
  <c r="W85" i="5"/>
  <c r="G144" i="5"/>
  <c r="W83" i="5"/>
  <c r="G132" i="5"/>
  <c r="G152" i="5"/>
  <c r="O46" i="5"/>
  <c r="G61" i="5"/>
  <c r="K94" i="5"/>
  <c r="O116" i="5"/>
  <c r="O37" i="5"/>
  <c r="W20" i="5"/>
  <c r="S29" i="5"/>
  <c r="S85" i="5"/>
  <c r="O83" i="5"/>
  <c r="W79" i="5"/>
  <c r="W107" i="5"/>
  <c r="K154" i="5"/>
  <c r="W94" i="5"/>
  <c r="W116" i="5"/>
  <c r="O126" i="5"/>
  <c r="S153" i="5"/>
  <c r="K20" i="5"/>
  <c r="G125" i="5"/>
  <c r="K83" i="5"/>
  <c r="K57" i="5"/>
  <c r="K107" i="5"/>
  <c r="K153" i="5"/>
  <c r="O29" i="5"/>
  <c r="W125" i="5"/>
  <c r="S80" i="5"/>
  <c r="O57" i="5"/>
  <c r="O56" i="5"/>
  <c r="K152" i="5"/>
  <c r="G46" i="5"/>
  <c r="S61" i="5"/>
  <c r="G94" i="5"/>
  <c r="S116" i="5"/>
  <c r="O84" i="5"/>
  <c r="W153" i="5"/>
  <c r="S55" i="5"/>
  <c r="K134" i="5"/>
  <c r="S83" i="5"/>
  <c r="K56" i="5"/>
  <c r="O97" i="5"/>
  <c r="W24" i="5"/>
  <c r="W130" i="5"/>
  <c r="S76" i="5"/>
  <c r="G148" i="5"/>
  <c r="K84" i="5"/>
  <c r="S50" i="5"/>
  <c r="G153" i="5"/>
  <c r="O96" i="5"/>
  <c r="G55" i="5"/>
  <c r="W59" i="5"/>
  <c r="O150" i="5"/>
  <c r="K89" i="5"/>
  <c r="G134" i="5"/>
  <c r="O106" i="5"/>
  <c r="G80" i="5"/>
  <c r="S70" i="5"/>
  <c r="W56" i="5"/>
  <c r="O143" i="5"/>
  <c r="S97" i="5"/>
  <c r="K24" i="5"/>
  <c r="G122" i="5"/>
  <c r="K130" i="5"/>
  <c r="W141" i="5"/>
  <c r="S32" i="5"/>
  <c r="G84" i="5"/>
  <c r="K92" i="5"/>
  <c r="W55" i="5"/>
  <c r="G150" i="5"/>
  <c r="W134" i="5"/>
  <c r="K106" i="5"/>
  <c r="O70" i="5"/>
  <c r="G79" i="5"/>
  <c r="K97" i="5"/>
  <c r="S122" i="5"/>
  <c r="S41" i="5"/>
  <c r="K111" i="5"/>
  <c r="K37" i="5"/>
  <c r="K19" i="5"/>
  <c r="K55" i="5"/>
  <c r="W150" i="5"/>
  <c r="G89" i="5"/>
  <c r="S144" i="5"/>
  <c r="W70" i="5"/>
  <c r="O79" i="5"/>
  <c r="G97" i="5"/>
  <c r="W122" i="5"/>
  <c r="O41" i="5"/>
  <c r="K141" i="5"/>
  <c r="W111" i="5"/>
  <c r="O20" i="5"/>
  <c r="S150" i="5"/>
  <c r="K132" i="5"/>
  <c r="S152" i="5"/>
  <c r="W46" i="5"/>
  <c r="S115" i="5"/>
  <c r="S94" i="5"/>
  <c r="K103" i="5"/>
  <c r="G92" i="5"/>
  <c r="S20" i="5"/>
  <c r="G59" i="5"/>
  <c r="O125" i="5"/>
  <c r="W57" i="5"/>
  <c r="S79" i="5"/>
  <c r="O107" i="5"/>
  <c r="O148" i="5"/>
  <c r="S92" i="5"/>
  <c r="S125" i="5"/>
  <c r="W144" i="5"/>
  <c r="S57" i="5"/>
  <c r="W132" i="5"/>
  <c r="O152" i="5"/>
  <c r="S46" i="5"/>
  <c r="W61" i="5"/>
  <c r="W148" i="5"/>
  <c r="S37" i="5"/>
  <c r="S96" i="5"/>
  <c r="W29" i="5"/>
  <c r="O144" i="5"/>
  <c r="S56" i="5"/>
  <c r="W152" i="5"/>
  <c r="K46" i="5"/>
  <c r="K61" i="5"/>
  <c r="O94" i="5"/>
  <c r="K148" i="5"/>
  <c r="G116" i="5"/>
  <c r="W84" i="5"/>
  <c r="W50" i="5"/>
  <c r="G96" i="5"/>
  <c r="G20" i="5"/>
  <c r="G106" i="5"/>
  <c r="G83" i="5"/>
  <c r="G107" i="5"/>
  <c r="G130" i="5"/>
  <c r="S148" i="5"/>
  <c r="K50" i="5"/>
  <c r="K96" i="5"/>
  <c r="K29" i="5"/>
  <c r="S89" i="5"/>
  <c r="W106" i="5"/>
  <c r="O80" i="5"/>
  <c r="G57" i="5"/>
  <c r="G143" i="5"/>
  <c r="O122" i="5"/>
  <c r="O61" i="5"/>
  <c r="G141" i="5"/>
  <c r="K116" i="5"/>
  <c r="L112" i="5" l="1"/>
  <c r="E44" i="4" s="1"/>
  <c r="H141" i="5"/>
  <c r="P122" i="5"/>
  <c r="F65" i="4" s="1"/>
  <c r="H139" i="5"/>
  <c r="H57" i="5"/>
  <c r="P76" i="5"/>
  <c r="F60" i="4" s="1"/>
  <c r="X102" i="5"/>
  <c r="L29" i="5"/>
  <c r="F35" i="4" s="1"/>
  <c r="T148" i="5"/>
  <c r="H130" i="5"/>
  <c r="H83" i="5"/>
  <c r="H102" i="5"/>
  <c r="H20" i="5"/>
  <c r="I18" i="5" s="1"/>
  <c r="X84" i="5"/>
  <c r="E101" i="4" s="1"/>
  <c r="H112" i="5"/>
  <c r="L148" i="5"/>
  <c r="P94" i="5"/>
  <c r="F62" i="4" s="1"/>
  <c r="L46" i="5"/>
  <c r="T56" i="5"/>
  <c r="E77" i="4" s="1"/>
  <c r="P140" i="5"/>
  <c r="E67" i="4" s="1"/>
  <c r="X29" i="5"/>
  <c r="F95" i="4" s="1"/>
  <c r="T37" i="5"/>
  <c r="E75" i="4" s="1"/>
  <c r="X148" i="5"/>
  <c r="T46" i="5"/>
  <c r="X132" i="5"/>
  <c r="F106" i="4" s="1"/>
  <c r="T57" i="5"/>
  <c r="F77" i="4" s="1"/>
  <c r="X140" i="5"/>
  <c r="E107" i="4" s="1"/>
  <c r="T121" i="5"/>
  <c r="E84" i="4" s="1"/>
  <c r="T92" i="5"/>
  <c r="P148" i="5"/>
  <c r="T75" i="5"/>
  <c r="E79" i="4" s="1"/>
  <c r="X57" i="5"/>
  <c r="F98" i="4" s="1"/>
  <c r="P121" i="5"/>
  <c r="E65" i="4" s="1"/>
  <c r="T20" i="5"/>
  <c r="F73" i="4" s="1"/>
  <c r="H92" i="5"/>
  <c r="L103" i="5"/>
  <c r="E43" i="4" s="1"/>
  <c r="T94" i="5"/>
  <c r="F81" i="4" s="1"/>
  <c r="X46" i="5"/>
  <c r="L132" i="5"/>
  <c r="F46" i="4" s="1"/>
  <c r="P20" i="5"/>
  <c r="F54" i="4" s="1"/>
  <c r="X111" i="5"/>
  <c r="L141" i="5"/>
  <c r="F47" i="4" s="1"/>
  <c r="H93" i="5"/>
  <c r="P75" i="5"/>
  <c r="E60" i="4" s="1"/>
  <c r="X66" i="5"/>
  <c r="F99" i="4" s="1"/>
  <c r="T140" i="5"/>
  <c r="E86" i="4" s="1"/>
  <c r="H85" i="5"/>
  <c r="L55" i="5"/>
  <c r="L19" i="5"/>
  <c r="E34" i="4" s="1"/>
  <c r="L37" i="5"/>
  <c r="E36" i="4" s="1"/>
  <c r="L111" i="5"/>
  <c r="L93" i="5"/>
  <c r="E42" i="4" s="1"/>
  <c r="H75" i="5"/>
  <c r="P66" i="5"/>
  <c r="F59" i="4" s="1"/>
  <c r="L102" i="5"/>
  <c r="H150" i="5"/>
  <c r="X55" i="5"/>
  <c r="L92" i="5"/>
  <c r="H84" i="5"/>
  <c r="T28" i="5"/>
  <c r="E74" i="4" s="1"/>
  <c r="X141" i="5"/>
  <c r="F107" i="4" s="1"/>
  <c r="L130" i="5"/>
  <c r="H122" i="5"/>
  <c r="T93" i="5"/>
  <c r="E81" i="4" s="1"/>
  <c r="P139" i="5"/>
  <c r="X56" i="5"/>
  <c r="E98" i="4" s="1"/>
  <c r="T66" i="5"/>
  <c r="F78" i="4" s="1"/>
  <c r="H76" i="5"/>
  <c r="P102" i="5"/>
  <c r="L85" i="5"/>
  <c r="F41" i="4" s="1"/>
  <c r="H55" i="5"/>
  <c r="H149" i="5"/>
  <c r="L84" i="5"/>
  <c r="E41" i="4" s="1"/>
  <c r="H148" i="5"/>
  <c r="T76" i="5"/>
  <c r="F79" i="4" s="1"/>
  <c r="X130" i="5"/>
  <c r="P93" i="5"/>
  <c r="E62" i="4" s="1"/>
  <c r="L56" i="5"/>
  <c r="E38" i="4" s="1"/>
  <c r="T83" i="5"/>
  <c r="T55" i="5"/>
  <c r="X149" i="5"/>
  <c r="E108" i="4" s="1"/>
  <c r="P84" i="5"/>
  <c r="E61" i="4" s="1"/>
  <c r="T112" i="5"/>
  <c r="E83" i="4" s="1"/>
  <c r="H94" i="5"/>
  <c r="H46" i="5"/>
  <c r="I46" i="5" s="1"/>
  <c r="P56" i="5"/>
  <c r="E58" i="4" s="1"/>
  <c r="P57" i="5"/>
  <c r="F58" i="4" s="1"/>
  <c r="X121" i="5"/>
  <c r="E105" i="4" s="1"/>
  <c r="P29" i="5"/>
  <c r="F55" i="4" s="1"/>
  <c r="L149" i="5"/>
  <c r="E48" i="4" s="1"/>
  <c r="L57" i="5"/>
  <c r="F38" i="4" s="1"/>
  <c r="L83" i="5"/>
  <c r="H121" i="5"/>
  <c r="L20" i="5"/>
  <c r="F34" i="4" s="1"/>
  <c r="T149" i="5"/>
  <c r="E87" i="4" s="1"/>
  <c r="X112" i="5"/>
  <c r="E104" i="4" s="1"/>
  <c r="X94" i="5"/>
  <c r="F102" i="4" s="1"/>
  <c r="X75" i="5"/>
  <c r="E100" i="4" s="1"/>
  <c r="P83" i="5"/>
  <c r="T85" i="5"/>
  <c r="F80" i="4" s="1"/>
  <c r="T29" i="5"/>
  <c r="F74" i="4" s="1"/>
  <c r="X20" i="5"/>
  <c r="F94" i="4" s="1"/>
  <c r="P37" i="5"/>
  <c r="E56" i="4" s="1"/>
  <c r="P112" i="5"/>
  <c r="E64" i="4" s="1"/>
  <c r="L94" i="5"/>
  <c r="F42" i="4" s="1"/>
  <c r="P46" i="5"/>
  <c r="H132" i="5"/>
  <c r="X83" i="5"/>
  <c r="H140" i="5"/>
  <c r="X85" i="5"/>
  <c r="F101" i="4" s="1"/>
  <c r="L74" i="5"/>
  <c r="H37" i="5"/>
  <c r="I36" i="5" s="1"/>
  <c r="H111" i="5"/>
  <c r="L75" i="5"/>
  <c r="E40" i="4" s="1"/>
  <c r="H66" i="5"/>
  <c r="I64" i="5" s="1"/>
  <c r="L140" i="5"/>
  <c r="E47" i="4" s="1"/>
  <c r="L121" i="5"/>
  <c r="E45" i="4" s="1"/>
  <c r="X92" i="5"/>
  <c r="X37" i="5"/>
  <c r="E96" i="4" s="1"/>
  <c r="X103" i="5"/>
  <c r="E103" i="4" s="1"/>
  <c r="L139" i="5"/>
  <c r="P132" i="5"/>
  <c r="F66" i="4" s="1"/>
  <c r="P92" i="5"/>
  <c r="H103" i="5"/>
  <c r="T141" i="5"/>
  <c r="F86" i="4" s="1"/>
  <c r="T130" i="5"/>
  <c r="X139" i="5"/>
  <c r="T132" i="5"/>
  <c r="F85" i="4" s="1"/>
  <c r="X76" i="5"/>
  <c r="F100" i="4" s="1"/>
  <c r="P85" i="5"/>
  <c r="F61" i="4" s="1"/>
  <c r="P103" i="5"/>
  <c r="E63" i="4" s="1"/>
  <c r="P111" i="5"/>
  <c r="X28" i="5"/>
  <c r="E95" i="4" s="1"/>
  <c r="T103" i="5"/>
  <c r="E82" i="4" s="1"/>
  <c r="T111" i="5"/>
  <c r="P141" i="5"/>
  <c r="F67" i="4" s="1"/>
  <c r="P130" i="5"/>
  <c r="L122" i="5"/>
  <c r="F45" i="4" s="1"/>
  <c r="X93" i="5"/>
  <c r="E102" i="4" s="1"/>
  <c r="T139" i="5"/>
  <c r="H56" i="5"/>
  <c r="L66" i="5"/>
  <c r="F39" i="4" s="1"/>
  <c r="L76" i="5"/>
  <c r="F40" i="4" s="1"/>
  <c r="T102" i="5"/>
  <c r="L150" i="5"/>
  <c r="F48" i="4" s="1"/>
  <c r="H29" i="5"/>
  <c r="I27" i="5" s="1"/>
  <c r="P55" i="5"/>
  <c r="P149" i="5"/>
  <c r="E68" i="4" s="1"/>
  <c r="T84" i="5"/>
  <c r="E80" i="4" s="1"/>
  <c r="D45" i="4"/>
  <c r="B19" i="6"/>
  <c r="AE19" i="6" s="1"/>
  <c r="C21" i="4"/>
  <c r="G21" i="4" s="1"/>
  <c r="B13" i="6"/>
  <c r="AE13" i="6" s="1"/>
  <c r="C15" i="4"/>
  <c r="B22" i="6"/>
  <c r="AE22" i="6" s="1"/>
  <c r="C24" i="4"/>
  <c r="D75" i="4"/>
  <c r="D34" i="4"/>
  <c r="V126" i="5"/>
  <c r="D99" i="4"/>
  <c r="D96" i="4"/>
  <c r="B18" i="6"/>
  <c r="AE18" i="6" s="1"/>
  <c r="C20" i="4"/>
  <c r="G20" i="4" s="1"/>
  <c r="B12" i="6"/>
  <c r="AE12" i="6" s="1"/>
  <c r="C14" i="4"/>
  <c r="B26" i="6"/>
  <c r="AE26" i="6" s="1"/>
  <c r="C28" i="4"/>
  <c r="B16" i="6"/>
  <c r="AE16" i="6" s="1"/>
  <c r="C18" i="4"/>
  <c r="B24" i="6"/>
  <c r="AE24" i="6" s="1"/>
  <c r="C26" i="4"/>
  <c r="B20" i="6"/>
  <c r="AE20" i="6" s="1"/>
  <c r="C22" i="4"/>
  <c r="G22" i="4" s="1"/>
  <c r="D36" i="4"/>
  <c r="B14" i="6"/>
  <c r="AE14" i="6" s="1"/>
  <c r="C16" i="4"/>
  <c r="D78" i="4"/>
  <c r="D35" i="4"/>
  <c r="D84" i="4"/>
  <c r="D95" i="4"/>
  <c r="B21" i="6"/>
  <c r="AE21" i="6" s="1"/>
  <c r="C23" i="4"/>
  <c r="D54" i="4"/>
  <c r="B25" i="6"/>
  <c r="AE25" i="6" s="1"/>
  <c r="C27" i="4"/>
  <c r="R154" i="5"/>
  <c r="B15" i="6"/>
  <c r="AE15" i="6" s="1"/>
  <c r="C17" i="4"/>
  <c r="B23" i="6"/>
  <c r="AE23" i="6" s="1"/>
  <c r="C25" i="4"/>
  <c r="B17" i="6"/>
  <c r="AE17" i="6" s="1"/>
  <c r="C19" i="4"/>
  <c r="D73" i="4"/>
  <c r="D39" i="4"/>
  <c r="D65" i="4"/>
  <c r="D59" i="4"/>
  <c r="D94" i="4"/>
  <c r="R74" i="5"/>
  <c r="D55" i="4"/>
  <c r="R19" i="5"/>
  <c r="D56" i="4"/>
  <c r="D105" i="4"/>
  <c r="D74" i="4"/>
  <c r="O74" i="5"/>
  <c r="O154" i="5"/>
  <c r="W126" i="5"/>
  <c r="S126" i="5"/>
  <c r="O19" i="5"/>
  <c r="I120" i="5" l="1"/>
  <c r="M27" i="5"/>
  <c r="C35" i="4" s="1"/>
  <c r="Q27" i="5"/>
  <c r="E13" i="6" s="1"/>
  <c r="I74" i="5"/>
  <c r="M36" i="5"/>
  <c r="C14" i="6" s="1"/>
  <c r="Q36" i="5"/>
  <c r="E14" i="6" s="1"/>
  <c r="Q64" i="5"/>
  <c r="E17" i="6" s="1"/>
  <c r="M64" i="5"/>
  <c r="C17" i="6" s="1"/>
  <c r="U36" i="5"/>
  <c r="C75" i="4" s="1"/>
  <c r="I130" i="5"/>
  <c r="M120" i="5"/>
  <c r="C23" i="6" s="1"/>
  <c r="Y27" i="5"/>
  <c r="C95" i="4" s="1"/>
  <c r="U64" i="5"/>
  <c r="G17" i="6" s="1"/>
  <c r="M18" i="5"/>
  <c r="C34" i="4" s="1"/>
  <c r="P19" i="5"/>
  <c r="T122" i="5"/>
  <c r="X122" i="5"/>
  <c r="P150" i="5"/>
  <c r="F68" i="4" s="1"/>
  <c r="P74" i="5"/>
  <c r="U139" i="5"/>
  <c r="D86" i="4"/>
  <c r="Y92" i="5"/>
  <c r="D102" i="4"/>
  <c r="D101" i="4"/>
  <c r="Y83" i="5"/>
  <c r="Q102" i="5"/>
  <c r="D63" i="4"/>
  <c r="V15" i="4"/>
  <c r="C25" i="2"/>
  <c r="G15" i="4"/>
  <c r="U111" i="5"/>
  <c r="D83" i="4"/>
  <c r="D68" i="4"/>
  <c r="V19" i="5"/>
  <c r="G17" i="4"/>
  <c r="J15" i="4"/>
  <c r="C20" i="2" s="1"/>
  <c r="C27" i="2"/>
  <c r="W17" i="4"/>
  <c r="C38" i="2"/>
  <c r="Z28" i="4"/>
  <c r="G28" i="4"/>
  <c r="U102" i="5"/>
  <c r="D82" i="4"/>
  <c r="I148" i="5"/>
  <c r="Q139" i="5"/>
  <c r="D67" i="4"/>
  <c r="M102" i="5"/>
  <c r="D43" i="4"/>
  <c r="D81" i="4"/>
  <c r="U92" i="5"/>
  <c r="C37" i="2"/>
  <c r="Z27" i="4"/>
  <c r="G27" i="4"/>
  <c r="V16" i="4"/>
  <c r="C26" i="2"/>
  <c r="G16" i="4"/>
  <c r="D87" i="4"/>
  <c r="Q120" i="5"/>
  <c r="X21" i="4"/>
  <c r="C31" i="2"/>
  <c r="Q92" i="5"/>
  <c r="D62" i="4"/>
  <c r="I111" i="5"/>
  <c r="Y46" i="5"/>
  <c r="Z46" i="5" s="1"/>
  <c r="D97" i="4"/>
  <c r="D37" i="4"/>
  <c r="M46" i="5"/>
  <c r="I55" i="5"/>
  <c r="U27" i="5"/>
  <c r="V14" i="4"/>
  <c r="J14" i="4"/>
  <c r="G14" i="4"/>
  <c r="C24" i="2"/>
  <c r="Q111" i="5"/>
  <c r="D64" i="4"/>
  <c r="M83" i="5"/>
  <c r="D41" i="4"/>
  <c r="Y102" i="5"/>
  <c r="D103" i="4"/>
  <c r="V154" i="5"/>
  <c r="U55" i="5"/>
  <c r="D77" i="4"/>
  <c r="I92" i="5"/>
  <c r="M139" i="5"/>
  <c r="D47" i="4"/>
  <c r="D40" i="4"/>
  <c r="M74" i="5"/>
  <c r="M130" i="5"/>
  <c r="D46" i="4"/>
  <c r="V74" i="5"/>
  <c r="D76" i="4"/>
  <c r="U46" i="5"/>
  <c r="I139" i="5"/>
  <c r="D108" i="4"/>
  <c r="Q83" i="5"/>
  <c r="D61" i="4"/>
  <c r="U83" i="5"/>
  <c r="D80" i="4"/>
  <c r="M111" i="5"/>
  <c r="D44" i="4"/>
  <c r="G19" i="4"/>
  <c r="W19" i="4"/>
  <c r="C29" i="2"/>
  <c r="G26" i="4"/>
  <c r="Z26" i="4"/>
  <c r="J18" i="4"/>
  <c r="C23" i="2" s="1"/>
  <c r="C36" i="2"/>
  <c r="I102" i="5"/>
  <c r="M148" i="5"/>
  <c r="D48" i="4"/>
  <c r="X22" i="4"/>
  <c r="C32" i="2"/>
  <c r="J16" i="4"/>
  <c r="C21" i="2" s="1"/>
  <c r="C30" i="2"/>
  <c r="X20" i="4"/>
  <c r="Y36" i="5"/>
  <c r="Z36" i="5" s="1"/>
  <c r="C34" i="2"/>
  <c r="Y24" i="4"/>
  <c r="G24" i="4"/>
  <c r="Q55" i="5"/>
  <c r="D58" i="4"/>
  <c r="Q130" i="5"/>
  <c r="D66" i="4"/>
  <c r="Y139" i="5"/>
  <c r="D107" i="4"/>
  <c r="M92" i="5"/>
  <c r="D42" i="4"/>
  <c r="D104" i="4"/>
  <c r="Y111" i="5"/>
  <c r="Y25" i="4"/>
  <c r="G25" i="4"/>
  <c r="C35" i="2"/>
  <c r="J17" i="4"/>
  <c r="C22" i="2" s="1"/>
  <c r="Y23" i="4"/>
  <c r="G23" i="4"/>
  <c r="C33" i="2"/>
  <c r="C28" i="2"/>
  <c r="W18" i="4"/>
  <c r="G18" i="4"/>
  <c r="Y64" i="5"/>
  <c r="Z64" i="5" s="1"/>
  <c r="U130" i="5"/>
  <c r="D85" i="4"/>
  <c r="D57" i="4"/>
  <c r="Q46" i="5"/>
  <c r="Y130" i="5"/>
  <c r="D106" i="4"/>
  <c r="D98" i="4"/>
  <c r="Y55" i="5"/>
  <c r="M55" i="5"/>
  <c r="D38" i="4"/>
  <c r="I83" i="5"/>
  <c r="W19" i="5"/>
  <c r="S19" i="5"/>
  <c r="S154" i="5"/>
  <c r="S74" i="5"/>
  <c r="W154" i="5"/>
  <c r="W74" i="5"/>
  <c r="C13" i="6" l="1"/>
  <c r="AD13" i="6" s="1"/>
  <c r="C55" i="4"/>
  <c r="V55" i="4" s="1"/>
  <c r="Z139" i="5"/>
  <c r="Z130" i="5"/>
  <c r="Z111" i="5"/>
  <c r="Z102" i="5"/>
  <c r="Z92" i="5"/>
  <c r="Z83" i="5"/>
  <c r="G14" i="6"/>
  <c r="H14" i="6" s="1"/>
  <c r="C59" i="4"/>
  <c r="G59" i="4" s="1"/>
  <c r="C39" i="4"/>
  <c r="G39" i="4" s="1"/>
  <c r="C36" i="4"/>
  <c r="G36" i="4" s="1"/>
  <c r="C56" i="4"/>
  <c r="V56" i="4" s="1"/>
  <c r="Z55" i="5"/>
  <c r="C78" i="4"/>
  <c r="G78" i="4" s="1"/>
  <c r="C45" i="4"/>
  <c r="Y45" i="4" s="1"/>
  <c r="C12" i="6"/>
  <c r="D12" i="6" s="1"/>
  <c r="I13" i="6"/>
  <c r="AA13" i="6" s="1"/>
  <c r="Z27" i="5"/>
  <c r="Q148" i="5"/>
  <c r="E26" i="6" s="1"/>
  <c r="X74" i="5"/>
  <c r="X150" i="5"/>
  <c r="T74" i="5"/>
  <c r="T150" i="5"/>
  <c r="T19" i="5"/>
  <c r="X19" i="5"/>
  <c r="G15" i="6"/>
  <c r="C76" i="4"/>
  <c r="I21" i="6"/>
  <c r="C103" i="4"/>
  <c r="I15" i="6"/>
  <c r="C97" i="4"/>
  <c r="G24" i="6"/>
  <c r="C85" i="4"/>
  <c r="F13" i="6"/>
  <c r="AC13" i="6"/>
  <c r="E25" i="6"/>
  <c r="C67" i="4"/>
  <c r="I17" i="6"/>
  <c r="C99" i="4"/>
  <c r="E24" i="6"/>
  <c r="C66" i="4"/>
  <c r="D23" i="6"/>
  <c r="AD23" i="6"/>
  <c r="G13" i="6"/>
  <c r="C74" i="4"/>
  <c r="E23" i="6"/>
  <c r="C65" i="4"/>
  <c r="I16" i="6"/>
  <c r="C98" i="4"/>
  <c r="AC14" i="6"/>
  <c r="F14" i="6"/>
  <c r="E16" i="6"/>
  <c r="C58" i="4"/>
  <c r="C24" i="6"/>
  <c r="C46" i="4"/>
  <c r="G21" i="6"/>
  <c r="C82" i="4"/>
  <c r="C18" i="6"/>
  <c r="C40" i="4"/>
  <c r="G40" i="4" s="1"/>
  <c r="I24" i="6"/>
  <c r="C106" i="4"/>
  <c r="E15" i="6"/>
  <c r="C57" i="4"/>
  <c r="C20" i="6"/>
  <c r="C42" i="4"/>
  <c r="I14" i="6"/>
  <c r="C96" i="4"/>
  <c r="C25" i="6"/>
  <c r="C47" i="4"/>
  <c r="V95" i="4"/>
  <c r="G95" i="4"/>
  <c r="I20" i="6"/>
  <c r="C102" i="4"/>
  <c r="G19" i="6"/>
  <c r="C80" i="4"/>
  <c r="E22" i="6"/>
  <c r="C64" i="4"/>
  <c r="G35" i="4"/>
  <c r="V35" i="4"/>
  <c r="V34" i="4"/>
  <c r="G34" i="4"/>
  <c r="C16" i="6"/>
  <c r="C38" i="4"/>
  <c r="E19" i="6"/>
  <c r="C61" i="4"/>
  <c r="G16" i="6"/>
  <c r="C77" i="4"/>
  <c r="C15" i="6"/>
  <c r="C37" i="4"/>
  <c r="I22" i="6"/>
  <c r="C104" i="4"/>
  <c r="C26" i="6"/>
  <c r="C48" i="4"/>
  <c r="C22" i="6"/>
  <c r="C44" i="4"/>
  <c r="V75" i="4"/>
  <c r="G75" i="4"/>
  <c r="C19" i="6"/>
  <c r="C41" i="4"/>
  <c r="AD17" i="6"/>
  <c r="D17" i="6"/>
  <c r="C21" i="6"/>
  <c r="C43" i="4"/>
  <c r="I25" i="6"/>
  <c r="C107" i="4"/>
  <c r="H17" i="6"/>
  <c r="AB17" i="6"/>
  <c r="D14" i="6"/>
  <c r="AD14" i="6"/>
  <c r="E20" i="6"/>
  <c r="C62" i="4"/>
  <c r="AC17" i="6"/>
  <c r="F17" i="6"/>
  <c r="G22" i="6"/>
  <c r="C83" i="4"/>
  <c r="G25" i="6"/>
  <c r="C86" i="4"/>
  <c r="Q74" i="5"/>
  <c r="D60" i="4"/>
  <c r="F105" i="4"/>
  <c r="Y120" i="5"/>
  <c r="Z120" i="5" s="1"/>
  <c r="E21" i="6"/>
  <c r="C63" i="4"/>
  <c r="F84" i="4"/>
  <c r="U120" i="5"/>
  <c r="C19" i="2"/>
  <c r="J19" i="4"/>
  <c r="C18" i="2" s="1"/>
  <c r="G20" i="6"/>
  <c r="C81" i="4"/>
  <c r="I19" i="6"/>
  <c r="C101" i="4"/>
  <c r="E54" i="4"/>
  <c r="Q18" i="5"/>
  <c r="D13" i="6" l="1"/>
  <c r="G55" i="4"/>
  <c r="X102" i="4"/>
  <c r="G102" i="4"/>
  <c r="W39" i="4"/>
  <c r="X101" i="4"/>
  <c r="G101" i="4"/>
  <c r="X81" i="4"/>
  <c r="G81" i="4"/>
  <c r="X80" i="4"/>
  <c r="G80" i="4"/>
  <c r="X62" i="4"/>
  <c r="G62" i="4"/>
  <c r="X61" i="4"/>
  <c r="G61" i="4"/>
  <c r="X42" i="4"/>
  <c r="G42" i="4"/>
  <c r="X41" i="4"/>
  <c r="G41" i="4"/>
  <c r="G56" i="4"/>
  <c r="V36" i="4"/>
  <c r="J34" i="4"/>
  <c r="W59" i="4"/>
  <c r="AB14" i="6"/>
  <c r="W78" i="4"/>
  <c r="G45" i="4"/>
  <c r="AD12" i="6"/>
  <c r="J13" i="6"/>
  <c r="K13" i="6"/>
  <c r="C68" i="4"/>
  <c r="G68" i="4" s="1"/>
  <c r="G82" i="4"/>
  <c r="Y82" i="4"/>
  <c r="J16" i="6"/>
  <c r="AA16" i="6"/>
  <c r="K16" i="6"/>
  <c r="AB15" i="6"/>
  <c r="H15" i="6"/>
  <c r="F26" i="6"/>
  <c r="AC26" i="6"/>
  <c r="G65" i="4"/>
  <c r="Y65" i="4"/>
  <c r="Z85" i="4"/>
  <c r="G85" i="4"/>
  <c r="G48" i="4"/>
  <c r="Z48" i="4"/>
  <c r="H16" i="6"/>
  <c r="AB16" i="6"/>
  <c r="G64" i="4"/>
  <c r="Y64" i="4"/>
  <c r="H21" i="6"/>
  <c r="AB21" i="6"/>
  <c r="E94" i="4"/>
  <c r="Y18" i="5"/>
  <c r="AB20" i="6"/>
  <c r="H20" i="6"/>
  <c r="E18" i="6"/>
  <c r="C60" i="4"/>
  <c r="G60" i="4" s="1"/>
  <c r="AD26" i="6"/>
  <c r="D26" i="6"/>
  <c r="G66" i="4"/>
  <c r="Z66" i="4"/>
  <c r="E73" i="4"/>
  <c r="U18" i="5"/>
  <c r="AD24" i="6"/>
  <c r="D24" i="6"/>
  <c r="F87" i="4"/>
  <c r="U148" i="5"/>
  <c r="D16" i="6"/>
  <c r="AD16" i="6"/>
  <c r="J57" i="4"/>
  <c r="G63" i="4"/>
  <c r="Y63" i="4"/>
  <c r="Y83" i="4"/>
  <c r="G83" i="4"/>
  <c r="Y43" i="4"/>
  <c r="J37" i="4"/>
  <c r="G43" i="4"/>
  <c r="K22" i="6"/>
  <c r="AA22" i="6"/>
  <c r="J22" i="6"/>
  <c r="AD25" i="6"/>
  <c r="D25" i="6"/>
  <c r="K24" i="6"/>
  <c r="AA24" i="6"/>
  <c r="J24" i="6"/>
  <c r="G67" i="4"/>
  <c r="Z67" i="4"/>
  <c r="J21" i="6"/>
  <c r="K21" i="6"/>
  <c r="AA21" i="6"/>
  <c r="AC21" i="6"/>
  <c r="F21" i="6"/>
  <c r="AB22" i="6"/>
  <c r="H22" i="6"/>
  <c r="D21" i="6"/>
  <c r="AD21" i="6"/>
  <c r="G37" i="4"/>
  <c r="W37" i="4"/>
  <c r="J35" i="4"/>
  <c r="G96" i="4"/>
  <c r="V96" i="4"/>
  <c r="X40" i="4"/>
  <c r="J36" i="4"/>
  <c r="G98" i="4"/>
  <c r="W98" i="4"/>
  <c r="V74" i="4"/>
  <c r="G74" i="4"/>
  <c r="F25" i="6"/>
  <c r="AC25" i="6"/>
  <c r="F22" i="6"/>
  <c r="AC22" i="6"/>
  <c r="D20" i="6"/>
  <c r="AD20" i="6"/>
  <c r="AC23" i="6"/>
  <c r="F23" i="6"/>
  <c r="H24" i="6"/>
  <c r="AB24" i="6"/>
  <c r="AC19" i="6"/>
  <c r="F19" i="6"/>
  <c r="G57" i="4"/>
  <c r="J55" i="4"/>
  <c r="W57" i="4"/>
  <c r="J95" i="4"/>
  <c r="W97" i="4"/>
  <c r="G97" i="4"/>
  <c r="G107" i="4"/>
  <c r="Z107" i="4"/>
  <c r="D19" i="6"/>
  <c r="AD19" i="6"/>
  <c r="W38" i="4"/>
  <c r="G38" i="4"/>
  <c r="H19" i="6"/>
  <c r="AB19" i="6"/>
  <c r="AC15" i="6"/>
  <c r="F15" i="6"/>
  <c r="W58" i="4"/>
  <c r="G58" i="4"/>
  <c r="G23" i="6"/>
  <c r="C84" i="4"/>
  <c r="G86" i="4"/>
  <c r="Z86" i="4"/>
  <c r="F20" i="6"/>
  <c r="AC20" i="6"/>
  <c r="G104" i="4"/>
  <c r="Y104" i="4"/>
  <c r="I23" i="6"/>
  <c r="C105" i="4"/>
  <c r="J97" i="4" s="1"/>
  <c r="G44" i="4"/>
  <c r="Y44" i="4"/>
  <c r="D15" i="6"/>
  <c r="AD15" i="6"/>
  <c r="AA20" i="6"/>
  <c r="K20" i="6"/>
  <c r="J20" i="6"/>
  <c r="AD18" i="6"/>
  <c r="D18" i="6"/>
  <c r="AB13" i="6"/>
  <c r="H13" i="6"/>
  <c r="G76" i="4"/>
  <c r="J74" i="4"/>
  <c r="W76" i="4"/>
  <c r="J19" i="6"/>
  <c r="AA19" i="6"/>
  <c r="K19" i="6"/>
  <c r="AD22" i="6"/>
  <c r="D22" i="6"/>
  <c r="Z46" i="4"/>
  <c r="J38" i="4"/>
  <c r="G46" i="4"/>
  <c r="F24" i="6"/>
  <c r="AC24" i="6"/>
  <c r="U74" i="5"/>
  <c r="D79" i="4"/>
  <c r="AC16" i="6"/>
  <c r="F16" i="6"/>
  <c r="G99" i="4"/>
  <c r="W99" i="4"/>
  <c r="AA15" i="6"/>
  <c r="J15" i="6"/>
  <c r="K15" i="6"/>
  <c r="F108" i="4"/>
  <c r="Y148" i="5"/>
  <c r="Z148" i="5" s="1"/>
  <c r="G77" i="4"/>
  <c r="W77" i="4"/>
  <c r="K14" i="6"/>
  <c r="J14" i="6"/>
  <c r="AA14" i="6"/>
  <c r="C28" i="6"/>
  <c r="E12" i="6"/>
  <c r="C54" i="4"/>
  <c r="AB25" i="6"/>
  <c r="H25" i="6"/>
  <c r="AA25" i="6"/>
  <c r="J25" i="6"/>
  <c r="K25" i="6"/>
  <c r="G47" i="4"/>
  <c r="Z47" i="4"/>
  <c r="Z106" i="4"/>
  <c r="G106" i="4"/>
  <c r="K17" i="6"/>
  <c r="AA17" i="6"/>
  <c r="J17" i="6"/>
  <c r="G103" i="4"/>
  <c r="Y103" i="4"/>
  <c r="Y74" i="5"/>
  <c r="Z74" i="5" s="1"/>
  <c r="D100" i="4"/>
  <c r="J58" i="4" l="1"/>
  <c r="Z68" i="4"/>
  <c r="J39" i="4"/>
  <c r="F18" i="6"/>
  <c r="AC18" i="6"/>
  <c r="G54" i="4"/>
  <c r="V54" i="4"/>
  <c r="J54" i="4"/>
  <c r="I26" i="6"/>
  <c r="C108" i="4"/>
  <c r="G18" i="6"/>
  <c r="C79" i="4"/>
  <c r="G79" i="4" s="1"/>
  <c r="G12" i="6"/>
  <c r="C73" i="4"/>
  <c r="I12" i="6"/>
  <c r="C94" i="4"/>
  <c r="Z18" i="5"/>
  <c r="E28" i="6"/>
  <c r="AC12" i="6"/>
  <c r="F12" i="6"/>
  <c r="G84" i="4"/>
  <c r="Y84" i="4"/>
  <c r="J76" i="4"/>
  <c r="Y105" i="4"/>
  <c r="G105" i="4"/>
  <c r="AB23" i="6"/>
  <c r="H23" i="6"/>
  <c r="K23" i="6"/>
  <c r="AA23" i="6"/>
  <c r="J23" i="6"/>
  <c r="C100" i="4"/>
  <c r="G100" i="4" s="1"/>
  <c r="I18" i="6"/>
  <c r="G26" i="6"/>
  <c r="C87" i="4"/>
  <c r="X60" i="4"/>
  <c r="J56" i="4"/>
  <c r="Z108" i="4" l="1"/>
  <c r="G108" i="4"/>
  <c r="J98" i="4"/>
  <c r="J26" i="6"/>
  <c r="AA26" i="6"/>
  <c r="K26" i="6"/>
  <c r="X100" i="4"/>
  <c r="J96" i="4"/>
  <c r="AB18" i="6"/>
  <c r="H18" i="6"/>
  <c r="J94" i="4"/>
  <c r="G94" i="4"/>
  <c r="V94" i="4"/>
  <c r="J59" i="4"/>
  <c r="Z87" i="4"/>
  <c r="G87" i="4"/>
  <c r="J77" i="4"/>
  <c r="AA12" i="6"/>
  <c r="J12" i="6"/>
  <c r="I28" i="6"/>
  <c r="K12" i="6"/>
  <c r="AB26" i="6"/>
  <c r="H26" i="6"/>
  <c r="G73" i="4"/>
  <c r="V73" i="4"/>
  <c r="J73" i="4"/>
  <c r="H12" i="6"/>
  <c r="AB12" i="6"/>
  <c r="G28" i="6"/>
  <c r="AA18" i="6"/>
  <c r="J18" i="6"/>
  <c r="K18" i="6"/>
  <c r="X79" i="4"/>
  <c r="J75" i="4"/>
  <c r="J78" i="4" l="1"/>
  <c r="K28" i="6"/>
  <c r="J99" i="4"/>
  <c r="K29" i="6" l="1"/>
  <c r="C29" i="6"/>
  <c r="E29" i="6"/>
  <c r="I29" i="6"/>
  <c r="G29" i="6"/>
</calcChain>
</file>

<file path=xl/sharedStrings.xml><?xml version="1.0" encoding="utf-8"?>
<sst xmlns="http://schemas.openxmlformats.org/spreadsheetml/2006/main" count="1650" uniqueCount="629">
  <si>
    <t>Instructions</t>
  </si>
  <si>
    <t>Interview an individual based on the questions below organized according to SAMM Business Functions and Security Practices.</t>
  </si>
  <si>
    <t>Select the best answer from the multiple choice drop down selections in the answer column.</t>
  </si>
  <si>
    <t>Document additional information such as how and why in the "Interview Notes" column.</t>
  </si>
  <si>
    <t>The formulas in hidden columns F-H will calculate the scores and update the Rating boxes and other worksheets as needed.</t>
  </si>
  <si>
    <t>Once the interview is complete, go to the "Scorecard" sheet and follow instructions.</t>
  </si>
  <si>
    <t>Organization:</t>
  </si>
  <si>
    <t>Team/Application:</t>
  </si>
  <si>
    <t>Interview Date:</t>
  </si>
  <si>
    <t xml:space="preserve">Team Lead: </t>
  </si>
  <si>
    <t>Contributors:</t>
  </si>
  <si>
    <t>Governance</t>
  </si>
  <si>
    <t>Stream</t>
  </si>
  <si>
    <t>Level</t>
  </si>
  <si>
    <t>Strategy &amp; Metrics</t>
  </si>
  <si>
    <t>Answer</t>
  </si>
  <si>
    <t>Interview Notes</t>
  </si>
  <si>
    <t>Rating</t>
  </si>
  <si>
    <t>G-SM-A-1-1</t>
  </si>
  <si>
    <t>G-SM-A-2-1</t>
  </si>
  <si>
    <t>G-SM-A-3-1</t>
  </si>
  <si>
    <t>G-SM-B-1-1</t>
  </si>
  <si>
    <t>G-SM-B-2-1</t>
  </si>
  <si>
    <t>G-SM-B-3-1</t>
  </si>
  <si>
    <t>Policy &amp; Compliance</t>
  </si>
  <si>
    <t>G-PC-A-1-1</t>
  </si>
  <si>
    <t>G-PC-A-2-1</t>
  </si>
  <si>
    <t>G-PC-A-3-1</t>
  </si>
  <si>
    <t>G-PC-B-1-1</t>
  </si>
  <si>
    <t>G-PC-B-2-1</t>
  </si>
  <si>
    <t>G-PC-B-3-1</t>
  </si>
  <si>
    <t>Education &amp; Guidance</t>
  </si>
  <si>
    <t>G-EG-A-1-1</t>
  </si>
  <si>
    <t>G-EG-A-2-1</t>
  </si>
  <si>
    <t>G-EG-A-3-1</t>
  </si>
  <si>
    <t>G-EG-B-1-1</t>
  </si>
  <si>
    <t>G-EG-B-2-1</t>
  </si>
  <si>
    <t>G-EG-B-3-1</t>
  </si>
  <si>
    <t>Design</t>
  </si>
  <si>
    <t>Threat Assessment</t>
  </si>
  <si>
    <t>D-TA-A-1-1</t>
  </si>
  <si>
    <t>D-TA-A-2-1</t>
  </si>
  <si>
    <t>D-TA-A-3-1</t>
  </si>
  <si>
    <t>D-TA-B-1-1</t>
  </si>
  <si>
    <t>D-TA-B-2-1</t>
  </si>
  <si>
    <t>D-TA-B-3-1</t>
  </si>
  <si>
    <t>Security Requirements</t>
  </si>
  <si>
    <t>D-SR-A-1-1</t>
  </si>
  <si>
    <t>D-SR-A-2-1</t>
  </si>
  <si>
    <t>D-SR-A-3-1</t>
  </si>
  <si>
    <t>D-SR-B-1-1</t>
  </si>
  <si>
    <t>D-SR-B-2-1</t>
  </si>
  <si>
    <t>D-SR-B-3-1</t>
  </si>
  <si>
    <t>Secure Architecture</t>
  </si>
  <si>
    <t>D-SA-A-1-1</t>
  </si>
  <si>
    <t>D-SA-A-2-1</t>
  </si>
  <si>
    <t>D-SA-A-3-1</t>
  </si>
  <si>
    <t>D-SA-B-1-1</t>
  </si>
  <si>
    <t>D-SA-B-2-1</t>
  </si>
  <si>
    <t>D-SA-B-3-1</t>
  </si>
  <si>
    <t>Implementation</t>
  </si>
  <si>
    <t>Secure Build</t>
  </si>
  <si>
    <t>I-SB-A-1-1</t>
  </si>
  <si>
    <t>I-SB-A-2-1</t>
  </si>
  <si>
    <t>I-SB-A-3-1</t>
  </si>
  <si>
    <t>I-SB-B-1-1</t>
  </si>
  <si>
    <t>I-SB-B-2-1</t>
  </si>
  <si>
    <t>I-SB-B-3-1</t>
  </si>
  <si>
    <t>Secure Deployment</t>
  </si>
  <si>
    <t>I-SD-A-1-1</t>
  </si>
  <si>
    <t>I-SD-A-2-1</t>
  </si>
  <si>
    <t>I-SD-A-3-1</t>
  </si>
  <si>
    <t>I-SD-B-1-1</t>
  </si>
  <si>
    <t>I-SD-B-2-1</t>
  </si>
  <si>
    <t>I-SD-B-3-1</t>
  </si>
  <si>
    <t>Defect Management</t>
  </si>
  <si>
    <t>I-DM-A-1-1</t>
  </si>
  <si>
    <t>I-DM-A-2-1</t>
  </si>
  <si>
    <t>I-DM-A-3-1</t>
  </si>
  <si>
    <t>I-DM-B-1-1</t>
  </si>
  <si>
    <t>I-DM-B-2-1</t>
  </si>
  <si>
    <t>I-DM-B-3-1</t>
  </si>
  <si>
    <t>Verification</t>
  </si>
  <si>
    <t>Architecture Assessment</t>
  </si>
  <si>
    <t>V-AA-A-1-1</t>
  </si>
  <si>
    <t>V-AA-A-2-1</t>
  </si>
  <si>
    <t>V-AA-A-3-1</t>
  </si>
  <si>
    <t>V-AA-B-1-1</t>
  </si>
  <si>
    <t>V-AA-B-2-1</t>
  </si>
  <si>
    <t>V-AA-B-3-1</t>
  </si>
  <si>
    <t>Requirements Testing</t>
  </si>
  <si>
    <t>V-RT-A-1-1</t>
  </si>
  <si>
    <t>V-RT-A-2-1</t>
  </si>
  <si>
    <t>V-RT-A-3-1</t>
  </si>
  <si>
    <t>V-RT-B-1-1</t>
  </si>
  <si>
    <t>V-RT-B-2-1</t>
  </si>
  <si>
    <t>V-RT-B-3-1</t>
  </si>
  <si>
    <t>Security Testing</t>
  </si>
  <si>
    <t>V-ST-A-1-1</t>
  </si>
  <si>
    <t>V-ST-A-2-1</t>
  </si>
  <si>
    <t>V-ST-A-3-1</t>
  </si>
  <si>
    <t>V-ST-B-1-1</t>
  </si>
  <si>
    <t>V-ST-B-2-1</t>
  </si>
  <si>
    <t>V-ST-B-3-1</t>
  </si>
  <si>
    <t>Operations</t>
  </si>
  <si>
    <t>Incident Management</t>
  </si>
  <si>
    <t>O-IM-A-1-1</t>
  </si>
  <si>
    <t>O-IM-A-2-1</t>
  </si>
  <si>
    <t>O-IM-A-3-1</t>
  </si>
  <si>
    <t>O-IM-B-1-1</t>
  </si>
  <si>
    <t>O-IM-B-2-1</t>
  </si>
  <si>
    <t>O-IM-B-3-1</t>
  </si>
  <si>
    <t>Environment Management</t>
  </si>
  <si>
    <t>O-EM-A-1-1</t>
  </si>
  <si>
    <t>O-EM-A-2-1</t>
  </si>
  <si>
    <t>O-EM-A-3-1</t>
  </si>
  <si>
    <t>O-EM-B-1-1</t>
  </si>
  <si>
    <t>O-EM-B-2-1</t>
  </si>
  <si>
    <t>O-EM-B-3-1</t>
  </si>
  <si>
    <t>Operational Management</t>
  </si>
  <si>
    <t>O-OM-A-1-1</t>
  </si>
  <si>
    <t>O-OM-A-2-1</t>
  </si>
  <si>
    <t>O-OM-A-3-1</t>
  </si>
  <si>
    <t>O-OM-B-1-1</t>
  </si>
  <si>
    <t>O-OM-B-2-1</t>
  </si>
  <si>
    <t>O-OM-B-3-1</t>
  </si>
  <si>
    <t xml:space="preserve">OWASP Software Assurance Maturity Model (SAMM) </t>
  </si>
  <si>
    <t>Version:</t>
  </si>
  <si>
    <t>Description:</t>
  </si>
  <si>
    <t>Our mission is to provide an effective and measurable way for all types of organizations to analyze and improve their software security posture. We want to raise awareness and educate organizations on how to design, develop, and deploy secure software through our self-assessment model.</t>
  </si>
  <si>
    <t>License:</t>
  </si>
  <si>
    <t>Creative Commons Attribution-ShareAlike 4.0 License</t>
  </si>
  <si>
    <t>This work is licensed under the Creative Commons Attribution-Share Alike 3.0 License. To view a copy of this license, visit http://creativecommons.org/licenses/by-sa/3.0/legalcode; or, (b) send a letter to Creative Commons, 171 2nd Street, Suite 300, San Francisco, California, 94105, USA.</t>
  </si>
  <si>
    <t>Element:</t>
  </si>
  <si>
    <t>Toolbox for v2.0</t>
  </si>
  <si>
    <t>Authors:</t>
  </si>
  <si>
    <t>Yan Kravchenko, multiple core team members</t>
  </si>
  <si>
    <t>The SAMM project team</t>
  </si>
  <si>
    <t>Toolbox for v1.5</t>
  </si>
  <si>
    <t>Brian Glas</t>
  </si>
  <si>
    <t>Roadmap Chart Template v1.0</t>
  </si>
  <si>
    <t>Author:</t>
  </si>
  <si>
    <t>Colin Watson</t>
  </si>
  <si>
    <t>Aidan Lynch</t>
  </si>
  <si>
    <t>Interview Template v1.0</t>
  </si>
  <si>
    <t>Author(s):</t>
  </si>
  <si>
    <t>Nick Coblentz, Eoin Keary, and Seba Deleersnyder</t>
  </si>
  <si>
    <t>SAMM</t>
  </si>
  <si>
    <t>The Software Assurance Maturity Model (SAMM) was created by Pravir Chandra and is now an Open Web Application Security Project (OWASP) project.</t>
  </si>
  <si>
    <t>SAMM is licensed under the Creative Commons Attribution-Share Alike 4.0 License</t>
  </si>
  <si>
    <t>https://owaspsamm.org/</t>
  </si>
  <si>
    <t>This worksheet is for importing the data from this workbook into the SAMM Benchmarking system. Please complete the demographic data, all other data will auto-populate.</t>
  </si>
  <si>
    <t>To import this worksheet into your current SAMM worksheet follow these steps:
1. Have this workbook and your completed workbook open.
2. Right-clck the benchmark worksheet and choose "Move or Copy"
3. Change the workbook name to your SAMM workbook
4. Click Interview and check the box to make a copy
5. Once copied, open the Benchmark worksheet in your SAMM workbook
6. Click on the Formulas menu, and click "Show Formulas"
7. Ctrl-F and chose replace, enter in "[SAMM_spreadsheet]" and Replace All
8. Uncheck "Show Formulas", this should ensure that the auto linking is relative to your SAMM workbook.
9. Verify the scoring is represented in the table below.
10. Complete the demographic drop down selections.
11. Delete the company name if you desire before submission (it's not saved in the database either way)
12. Upload your file to https://bit.ly/sammbenchmarksubmission 
13. An automated process will move the file into a secure Azure Blob for processing and remove the file.
14. Confirm the file is no longer visible in the folder you uploaded to after approximately 5 minutes.
15. If you have any issues or questions please email brian.glas@owasp.org</t>
  </si>
  <si>
    <t>Benchmark Lookups</t>
  </si>
  <si>
    <t>Type of Assessment</t>
  </si>
  <si>
    <t>Scope</t>
  </si>
  <si>
    <t>Region</t>
  </si>
  <si>
    <t>Industry</t>
  </si>
  <si>
    <t>Developers</t>
  </si>
  <si>
    <t>App Security</t>
  </si>
  <si>
    <t>Champions</t>
  </si>
  <si>
    <t>SDL</t>
  </si>
  <si>
    <t>Please complete this section</t>
  </si>
  <si>
    <t>Do not insert or delete lines</t>
  </si>
  <si>
    <t>Description</t>
  </si>
  <si>
    <t>Self-Assessment</t>
  </si>
  <si>
    <t>Company</t>
  </si>
  <si>
    <t>Africa</t>
  </si>
  <si>
    <t>Multiple</t>
  </si>
  <si>
    <t>1-100</t>
  </si>
  <si>
    <t>1-5</t>
  </si>
  <si>
    <t>0</t>
  </si>
  <si>
    <t>Waterfall</t>
  </si>
  <si>
    <t>Third-Party Assessment</t>
  </si>
  <si>
    <t>Organization</t>
  </si>
  <si>
    <t>Asia-Pacific</t>
  </si>
  <si>
    <t>Government</t>
  </si>
  <si>
    <t>101-1000</t>
  </si>
  <si>
    <t>6-10</t>
  </si>
  <si>
    <t>1-20</t>
  </si>
  <si>
    <t>AgileFall</t>
  </si>
  <si>
    <t>Version of SAMM</t>
  </si>
  <si>
    <t>Automatic from the Attribution Page</t>
  </si>
  <si>
    <t>Team</t>
  </si>
  <si>
    <t>Europe</t>
  </si>
  <si>
    <t>Critical Infrastructure</t>
  </si>
  <si>
    <t>1001-10000</t>
  </si>
  <si>
    <t>11-20</t>
  </si>
  <si>
    <t>21-50</t>
  </si>
  <si>
    <t>Agile</t>
  </si>
  <si>
    <t>Date of Assessment</t>
  </si>
  <si>
    <t>Automatic from the Interview Page</t>
  </si>
  <si>
    <t>Latin America</t>
  </si>
  <si>
    <t>Defense</t>
  </si>
  <si>
    <t>10000+</t>
  </si>
  <si>
    <t>20+</t>
  </si>
  <si>
    <t>51-100</t>
  </si>
  <si>
    <t>Other</t>
  </si>
  <si>
    <t>Choose the type of assessment</t>
  </si>
  <si>
    <t>North America</t>
  </si>
  <si>
    <t>Aerospace</t>
  </si>
  <si>
    <t>100+</t>
  </si>
  <si>
    <t>Scope of Assessment</t>
  </si>
  <si>
    <t>Scope can be full org, a department/business unit/etc, or an individual team</t>
  </si>
  <si>
    <t>Global</t>
  </si>
  <si>
    <t>Automotive</t>
  </si>
  <si>
    <t>Geographic Region</t>
  </si>
  <si>
    <t>Select the best region</t>
  </si>
  <si>
    <t>Manufacturing</t>
  </si>
  <si>
    <t>Primary Industry</t>
  </si>
  <si>
    <t>Select the best fit for primary industry</t>
  </si>
  <si>
    <t>Healthcare</t>
  </si>
  <si>
    <t>Company Level of Developers</t>
  </si>
  <si>
    <t>How many developers within the company (estimated)</t>
  </si>
  <si>
    <t>Finance</t>
  </si>
  <si>
    <t>Company Level of App Security</t>
  </si>
  <si>
    <t>How many application security personnel in the company (estimated)</t>
  </si>
  <si>
    <t>Fintech</t>
  </si>
  <si>
    <t>Company Security Champions</t>
  </si>
  <si>
    <t>How many security champions in the company (estimated)</t>
  </si>
  <si>
    <t>IoT</t>
  </si>
  <si>
    <t>Target Level of Developers</t>
  </si>
  <si>
    <t>How many developers within the scope of the assessment (estimated)</t>
  </si>
  <si>
    <t>Cloud</t>
  </si>
  <si>
    <t>Primary SDL Methodology</t>
  </si>
  <si>
    <t>Primary software development methodology</t>
  </si>
  <si>
    <t>ISV</t>
  </si>
  <si>
    <t>Composite Score</t>
  </si>
  <si>
    <t>Automatic from the Scorecard Sheet</t>
  </si>
  <si>
    <t>Retail</t>
  </si>
  <si>
    <t>Governance Score</t>
  </si>
  <si>
    <t>Design Score</t>
  </si>
  <si>
    <t>Implementation Score</t>
  </si>
  <si>
    <t>Verification Score</t>
  </si>
  <si>
    <t>Operations Score</t>
  </si>
  <si>
    <t>Automatic from the Interview Sheet</t>
  </si>
  <si>
    <t>Notes:
Data in this worksheet is automatically imported from the Interview and Roadmap worksheets and will automatically update when changed in the respective worksheets.  This is mostly a read-only worksheet, changes should be made in Interview or Roadmap worksheets.</t>
  </si>
  <si>
    <t>Current Maturity Score</t>
  </si>
  <si>
    <t>Maturity</t>
  </si>
  <si>
    <t>Business Functions</t>
  </si>
  <si>
    <t>Security Practices</t>
  </si>
  <si>
    <t>Score</t>
  </si>
  <si>
    <t>Translated Value</t>
  </si>
  <si>
    <t>Overall</t>
  </si>
  <si>
    <t>Phase 1 Maturity Score</t>
  </si>
  <si>
    <t>Phase 2 Maturity Score</t>
  </si>
  <si>
    <t>Phase 3 Maturity Score</t>
  </si>
  <si>
    <t>Phase 4 Maturity Score</t>
  </si>
  <si>
    <t>Current</t>
  </si>
  <si>
    <t>Phase 1</t>
  </si>
  <si>
    <t>Phase 2</t>
  </si>
  <si>
    <t>Phase 3</t>
  </si>
  <si>
    <t>Phase 4</t>
  </si>
  <si>
    <t>Gap vs Current</t>
  </si>
  <si>
    <t>Software Assurance Maturity Model (SAMM) Roadmap</t>
  </si>
  <si>
    <t>Date</t>
  </si>
  <si>
    <t>Team Lead:</t>
  </si>
  <si>
    <t>Source Data</t>
  </si>
  <si>
    <t>As-Is</t>
  </si>
  <si>
    <t>To-Be</t>
  </si>
  <si>
    <t>Security Practice</t>
  </si>
  <si>
    <t>Security Practices/Phase</t>
  </si>
  <si>
    <t>Start</t>
  </si>
  <si>
    <t>After 1</t>
  </si>
  <si>
    <t>After 2</t>
  </si>
  <si>
    <t>May</t>
  </si>
  <si>
    <t>After 4</t>
  </si>
  <si>
    <t>Current GAP</t>
  </si>
  <si>
    <t>SAMM velocity:</t>
  </si>
  <si>
    <t>Valid Maturity Levels</t>
  </si>
  <si>
    <t>Notes:
Data in this worksheet is used to feed the Interview worksheet and Roadmap worksheet and provides answers and values.  
Please do not edit without understanding the potential impact to the SAMM model as it will alter the scoring model.
There are currently seven categories of answers, the colors/numbers in column I indicate which questions in which Business Function are using that specific answer category.</t>
  </si>
  <si>
    <t>Rating Scale</t>
  </si>
  <si>
    <t>Yes</t>
  </si>
  <si>
    <t>A</t>
  </si>
  <si>
    <t>No</t>
  </si>
  <si>
    <t>2+</t>
  </si>
  <si>
    <t>Yes, it's less than a year old</t>
  </si>
  <si>
    <t>Yes, it's a number of years old</t>
  </si>
  <si>
    <t>1+</t>
  </si>
  <si>
    <t>Yes, it's a pretty mature program</t>
  </si>
  <si>
    <t>0+</t>
  </si>
  <si>
    <t>B</t>
  </si>
  <si>
    <t>2,3,6,9</t>
  </si>
  <si>
    <t>Yes, some of them are aware</t>
  </si>
  <si>
    <t>4,15</t>
  </si>
  <si>
    <t>Yes, approx. half of them are aware</t>
  </si>
  <si>
    <t>1,3,5,12</t>
  </si>
  <si>
    <t>Yes, most of them are aware</t>
  </si>
  <si>
    <t>C</t>
  </si>
  <si>
    <t>4,5,7,12,13,14,16,17,18</t>
  </si>
  <si>
    <t>1,2,3,6,7,8,10,11,12,15,19</t>
  </si>
  <si>
    <t>Yes, a small percentage are/do</t>
  </si>
  <si>
    <t>1,2,3,5,8,10,13,14,17,18</t>
  </si>
  <si>
    <t>Yes, at least half of them are/do</t>
  </si>
  <si>
    <t>6,7,9,11,14,15,16,17</t>
  </si>
  <si>
    <t>Yes, the majority of them are/do</t>
  </si>
  <si>
    <t>D</t>
  </si>
  <si>
    <t>8,15,20</t>
  </si>
  <si>
    <t>Yes, we did it once</t>
  </si>
  <si>
    <t>Yes, we do it every few years</t>
  </si>
  <si>
    <t>Yes, we do it at least annually</t>
  </si>
  <si>
    <t>E</t>
  </si>
  <si>
    <t>No, it is not applicable</t>
  </si>
  <si>
    <t>Yes, but on an adhoc basis</t>
  </si>
  <si>
    <t>F</t>
  </si>
  <si>
    <t>11,19</t>
  </si>
  <si>
    <t>9,14,17</t>
  </si>
  <si>
    <t>Yes, teams write/run their own</t>
  </si>
  <si>
    <t>Yes, there is a standard set</t>
  </si>
  <si>
    <t>Yes, the standard set is integrated</t>
  </si>
  <si>
    <t>G</t>
  </si>
  <si>
    <t>16,18</t>
  </si>
  <si>
    <t>Yes, localized to business areas</t>
  </si>
  <si>
    <t>6,7,9,11,12,16,19</t>
  </si>
  <si>
    <t>Yes, across the organization</t>
  </si>
  <si>
    <t>4,8,10,13</t>
  </si>
  <si>
    <t>Yes, across the organization and required</t>
  </si>
  <si>
    <t>H</t>
  </si>
  <si>
    <t>ID</t>
  </si>
  <si>
    <t>Business Function</t>
  </si>
  <si>
    <t>Activity</t>
  </si>
  <si>
    <t>Question</t>
  </si>
  <si>
    <t>Guidance</t>
  </si>
  <si>
    <t>Answer Option</t>
  </si>
  <si>
    <t>Architecture Design</t>
  </si>
  <si>
    <t>Do teams use security principles during design?</t>
  </si>
  <si>
    <t>You have an agreed upon checklist of security principles
 You store your checklist in an accessible location
 Relevant stakeholders understand security principles</t>
  </si>
  <si>
    <t>Technology Management</t>
  </si>
  <si>
    <t>Do you evaluate the security quality of important technologies used for development?</t>
  </si>
  <si>
    <t>You have a list of the most important technologies used in, or in support of, each application
 You identify and track technological risks
 You ensure the risks to these technologies are in line with the organizational baseline</t>
  </si>
  <si>
    <t>Do you use shared security services during design?</t>
  </si>
  <si>
    <t>You have a documented list of reusable security services, available to relevant stakeholders
 You have reviewed the baseline security posture for each selected service
 Your designers are trained to integrate each selected service following available guidance</t>
  </si>
  <si>
    <t>Do you have a list of recommended technologies for the organization?</t>
  </si>
  <si>
    <t>The list is based on technologies used in the software portfolio
 Lead architects and developers review and approve the list
 You share the list across the organization
 You review and update the list at least yearly</t>
  </si>
  <si>
    <t>Do you base your design on available reference architectures?</t>
  </si>
  <si>
    <t>You have one or more approved reference architectures documented and available to stakeholders
 You improve the reference architectures continuously based on insights and best practices
 You provide a set of components, libraries, and tools to implement each reference architecture</t>
  </si>
  <si>
    <t>Do you enforce the use of recommended technologies within the organization?</t>
  </si>
  <si>
    <t>You monitor applications regularly for the correct use of the recommended technologies
 You solve violations against the list accoranding to organizational policies
 You take action if the number of violations falls outside the yearly objectives</t>
  </si>
  <si>
    <t>Software Requirements</t>
  </si>
  <si>
    <t>Do project teams specify security requirements during development?</t>
  </si>
  <si>
    <t>Teams derive security requirements from functional requirements and customer or organization concerns
 Security requirements are specific, measurable, and reasonable
 Security requirements are in line with the organizational baseline</t>
  </si>
  <si>
    <t>Supplier Security</t>
  </si>
  <si>
    <t>Do stakeholders review vendor collaborations for security requirements and methodology?</t>
  </si>
  <si>
    <t>You consider including specific security requirements, activities, and processes when creating third-party agreements
 A vendor questionnaire is available and used to assess the strengths and weaknesses of your suppliers</t>
  </si>
  <si>
    <t>Do you define, structure, and include prioritization in the artifacts of the security requirements gathering process?</t>
  </si>
  <si>
    <t>Security requirements take into consideration domain specific knowledge when applying policies and guidance to product development
 Domain experts are involved in the requirements definition process
 You have an agreed upon structured notation for security requirements
 Development teams have a security champion dedicated to reviewing security requirements and outcomes</t>
  </si>
  <si>
    <t>Do vendors meet the security responsibilities and quality measures of service level agreements defined by the organization?</t>
  </si>
  <si>
    <t>You discuss security requirements with the vendor when creating vendor agreements
 Vendor agreements provide specific guidance on security defect remediation within an agreed upon timeframe
 The organization has a templated agreement of responsibilities and service levels for key vendor security processes
 You measure key performance indicators</t>
  </si>
  <si>
    <t>Do you use a standard requirements framework to streamline the elicitation of security requirements?</t>
  </si>
  <si>
    <t>A security requirements framework is available for project teams
 The framework is categorized by common requirements and standards-based requirements
 The framework gives clear guidance on the quality of requirements and how to describe them
 The framework is adaptable to specific business requirements</t>
  </si>
  <si>
    <t>Are vendors aligned with standard security controls and software development tools and processes that the organization utilizes?</t>
  </si>
  <si>
    <t>The vendor has a secure SDLC that includes secure build, secure deployment, defect management, and incident management, meets the security expectations of your organization, and is able to demonstrate operating effectiveness of practices.
 You verify the solution meets quality and security objectives before every major release
 When standard verification processes are not available, you use compensating controls such as software composition analysis and independent penetration testing</t>
  </si>
  <si>
    <t>Application Risk Profile</t>
  </si>
  <si>
    <t>Do you classify applications according to business risk based on a simple and predefined set of questions?</t>
  </si>
  <si>
    <t>An agreed-upon risk classification exists
 The application team understands the risk classification
 The risk classification covers critical aspects of business risks the organization is facing
 The organization has an inventory for the applications in scope</t>
  </si>
  <si>
    <t>Threat Modeling</t>
  </si>
  <si>
    <t>Do you identify and manage architectural design flaws with threat modeling?</t>
  </si>
  <si>
    <t>You perform threat modeling for high-risk applications
 You use simple threat checklists, such as STRIDE
 You persist the outcome of a threat model for later use</t>
  </si>
  <si>
    <t>Do you use centralized and quantified application risk profiles to evaluate business risk?</t>
  </si>
  <si>
    <t>The application risk profile is in line with the organizational risk standard
 The application risk profile covers impact to security and privacy
 You validate the quality of the risk profile manually and/or automatically
 The application risk profiles are stored in a central inventory</t>
  </si>
  <si>
    <t>Do you use a standard methodology, aligned with your application risk levels?</t>
  </si>
  <si>
    <t>You train your architects, security champions, and other stakeholders on how to do practical threat modeling
 Your threat modeling methodology includes at least diagramming, threat identification, design flaw mitigations, and how to validate your threat model artifacts
 Changes in the application or business context trigger a review of the relevant threat models
 You capture the threat modeling artifacts with tools used by your application teams</t>
  </si>
  <si>
    <t>Do you regularly review and update the risk profiles for your applications?</t>
  </si>
  <si>
    <t>The organizational risk standard considers historical feedback to improve the evaluation method
 Significant changes in the application or business context trigger a review of the relevant risk profiles</t>
  </si>
  <si>
    <t>Do you regularly review and update the threat modeling methodology for your applications?</t>
  </si>
  <si>
    <t>The threat model methodology considers historical feedback for improvement
 You regularly (e.g., yearly) review the existing threat models to verify that no new threats are relevant for your applications
 You automate parts of your threat modeling process with threat modeling tools</t>
  </si>
  <si>
    <t>Education and Guidance</t>
  </si>
  <si>
    <t>Training and Awareness</t>
  </si>
  <si>
    <t>Do you require employees involved with application development to take SDLC training?</t>
  </si>
  <si>
    <t>Training is repeatable, consistent, and available to anyone involved with software development lifecycle
 Training includes relevant content from the latest OWASP Top 10 and includes concepts such as Least Privilege, Defense-in-Depth, Fail Secure (Safe), Complete Mediation, Session Management, Open Design, and Psychological Acceptability
 Training requires a sign-off or an acknowledgement from attendees
 You have reviewed the training content within the last 12 months, and have completed any required updates
 All new covered staff are required to complete training during their onboarding process
 Existing covered staff are required to complete training when content is added/revised, or complete refresher training at least every 24 months, whichever comes first</t>
  </si>
  <si>
    <t>Organization and Culture</t>
  </si>
  <si>
    <t>Have you identified a Security Champion for each development team?</t>
  </si>
  <si>
    <t>Security Champions receive appropriate training
 Application Security and Development teams receive periodic briefings from Security Champions on the overall status of security initiatives and fixes
 The Security Champion reviews the results of external testing before adding to the application backlog</t>
  </si>
  <si>
    <t>Is training customized for individual roles such as developers, testers, or security champions?</t>
  </si>
  <si>
    <t>Training includes all topics from maturity level 1, and adds more specific tools, techniques, and demonstrations
 Training is mandatory for all employees and contractors
 Training includes input from in-house SMEs and trainees
 Training includes demonstrations of tools and techniques developed in-house
 You use feedback to enhance and make future training more relevant</t>
  </si>
  <si>
    <t>Does the organization have a Secure Software Center of Excellence (SSCE)?</t>
  </si>
  <si>
    <t>The SSCE has a charter defining its role in the organization
 Development teams review all significant architectural changes with the SSCE
 The SSCE publishes SDLC standards and guidelines related to Application Security
 Product Champions are responsible for promoting the use of specific security tools</t>
  </si>
  <si>
    <t>Have you implemented a Learning Management System or equivalent to track employee training and certification processes?</t>
  </si>
  <si>
    <t>A Learning Management System (LMS) is used to track trainings and certifications
 Training is based on internal standards, policies, and procedures
 You use certification programs or attendance records to determine access to development systems and resources</t>
  </si>
  <si>
    <t>Is there a centralized portal where developers and application security professionals from different teams and business units are able to communicate and share information?</t>
  </si>
  <si>
    <t>The organization promotes use of a single portal across different teams and business units
 The portal is used for timely information such as notification of security incidents, tool updates, architectural standard changes, and other related announcements
 The portal is widely recognized by developers and architects as a centralized repository of the organization-specific application security information
 All content is considered persistent and searchable
 The portal provides access to application-specific security metrics</t>
  </si>
  <si>
    <t>Policy and Compliance</t>
  </si>
  <si>
    <t>Policy and Standards</t>
  </si>
  <si>
    <t>Do you have and apply a common set of policies and standards throughout your organization?</t>
  </si>
  <si>
    <t>You have adapted existing standards appropriate for the organization’s industry to account for domain-specific considerations
 Your standards are aligned with your policies and incorporate technology-specific implementation guidance</t>
  </si>
  <si>
    <t>Compliance Management</t>
  </si>
  <si>
    <t>Do you have a complete picture of your external compliance obligations?</t>
  </si>
  <si>
    <t>You have identified all sources of external compliance obligations
 You have captured and reconciled compliance obligations from all sources</t>
  </si>
  <si>
    <t>Do you publish the organization's policies as test scripts or run-books for easy interpretation by development teams?</t>
  </si>
  <si>
    <t>You create verification checklists and test scripts where applicable, aligned with the policy's requirements and the implementation guidance in the associated standards
 You create versions adapted to each development methodology and technology the organization uses</t>
  </si>
  <si>
    <t>Do you have a standard set of security requirements and verification procedures addressing the organization's external compliance obligations?</t>
  </si>
  <si>
    <t>You map each external compliance obligation to a well-defined set of application requirements
 You define verification procedures, including automated tests, to verify compliance with compliance-related requirements</t>
  </si>
  <si>
    <t>Do you regularly report on policy and standard compliance, and use that information to guide compliance improvement efforts?</t>
  </si>
  <si>
    <t>You have procedures (automated, if possible) to regularly generate compliance reports
 You deliver compliance reports to all relevant stakeholders
 Stakeholders use the reported compliance status information to identify areas for improvement</t>
  </si>
  <si>
    <t>Do you regularly report on adherence to external compliance obligations and use that information to guide efforts to close compliance gaps?</t>
  </si>
  <si>
    <t>You have established, well-defined compliance metrics
 You measure and report on applications' compliance metrics regularly
 Stakeholders use the reported compliance status information to identify compliance gaps and prioritize gap remediation efforts</t>
  </si>
  <si>
    <t>Strategy and Metrics</t>
  </si>
  <si>
    <t>Create and Promote</t>
  </si>
  <si>
    <t>Do you understand the enterprise-wide risk appetite for your applications?</t>
  </si>
  <si>
    <t>You capture the risk appetite of your organization's executive leadership
 The organization's leadership vet and approve the set of risks
 You identify the main business and technical threats to your assets and data
 You document risks and store them in an accessible location</t>
  </si>
  <si>
    <t>Measure and Improve</t>
  </si>
  <si>
    <t>Do you use a set of metrics to measure the effectiveness and efficiency of the application security program across applications?</t>
  </si>
  <si>
    <t>You document each metric, including a description of the sources, measurement coverage, and guidance on how to use it to explain application security trends
 Metrics include measures of efforts, results, and the environment measurement categories
 Most of the metrics are frequently measured, easy or inexpensive to gather, and expressed as a cardinal number or a percentage
 Application security and development teams publish metrics</t>
  </si>
  <si>
    <t>Do you have a strategic plan for application security and use it to make decisions?</t>
  </si>
  <si>
    <t>The plan reflects the organization's business priorities and risk appetite
 The plan includes measurable milestones and a budget
 The plan is consistent with the organization's business drivers and risks
 The plan lays out a roadmap for strategic and tactical initiatives
 You have buy-in from stakeholders, including development teams</t>
  </si>
  <si>
    <t>Did you define Key Performance Indicators (KPI) from available application security metrics?</t>
  </si>
  <si>
    <t>You defined KPIs after gathering enough information to establish realistic objectives
 You developed KPIs with the buy-in from the leadership and teams responsible for application security
 KPIs are available to the application teams and include acceptability thresholds and guidance in case teams need to take action
 Success of the application security program is clearly visible based on defined KPIs</t>
  </si>
  <si>
    <t>Do you regularly review and update the Strategic Plan for Application Security?</t>
  </si>
  <si>
    <t>You review and update the plan in response to significant changes in the business environment, the organization, or its risk appetite
 Plan update steps include reviewing the plan with all the stakeholders and updating the business drivers and strategies
 You adjust the plan and roadmap based on lessons learned from completed roadmap activities
 You publish progress information on roadmap activities, making sure they are available to all stakeholders</t>
  </si>
  <si>
    <t>Do you update the Application Security strategy and roadmap based on application security metrics and KPIs?</t>
  </si>
  <si>
    <t>You review KPIs at least yearly for their efficiency and effectiveness
 KPIs and application security metrics trigger most of the changes to the application security strategy</t>
  </si>
  <si>
    <t>Defect Tracking</t>
  </si>
  <si>
    <t>Do you track all known security defects in accessible locations?</t>
  </si>
  <si>
    <t>You can easily get an overview of all security defects impacting one application
 You have at least a rudimentary classification scheme in place
 The process includes a strategy for handling false positives and duplicate entries
 The defect management system covers defects from various sources and activities</t>
  </si>
  <si>
    <t>Metrics and Feedback</t>
  </si>
  <si>
    <t>Do you use basic metrics about recorded security defects to carry out quick win improvement activities?</t>
  </si>
  <si>
    <t>You analyzed your recorded metrics at least once in the last year
 At least basic information about this initiative is recorded and available
 You have identified and carried out at least one quick win activity based on the data</t>
  </si>
  <si>
    <t>Do you keep an overview of the state of security defects across the organization?</t>
  </si>
  <si>
    <t>A single severity scheme is applied to all defects across the organization
 The scheme includes SLAs for fixing particular severity classes
 You regularly report compliance to SLAs</t>
  </si>
  <si>
    <t>Do you improve your security assurance program upon standardized metrics?</t>
  </si>
  <si>
    <t>You document metrics for defect classification and categorization and keep them up to date
 Executive management regularly receives information about defects and has acted upon it in the last year
 You regularly share technical details about security defects among teams</t>
  </si>
  <si>
    <t>Do you enforce SLAs for fixing security defects?</t>
  </si>
  <si>
    <t>You automatically alert of SLA breaches and transfer respective defects to the risk management process
 You integrate relevant tooling (e.g. monitoring, build, deployment) with the defect management system</t>
  </si>
  <si>
    <t>Do you regularly evaluate the effectiveness of your security metrics so that its input helps drive your security strategy?</t>
  </si>
  <si>
    <t>You have analyzed the effectiveness of the security metrics at least once in the last year
 Where possible, you verify the correctness of the data automatically
 The metrics is aggregated with other sources like threat intelligence or incident management
 You derived at least one strategic activity from the metrics in the last year</t>
  </si>
  <si>
    <t>Build Process</t>
  </si>
  <si>
    <t>Is your full build process formally described?</t>
  </si>
  <si>
    <t>You have enough information to recreate the build processes
 Your build documentation up to date
 Your build documentation is stored in an accessible location
 Produced artifact checksums are created during build to support later verification
 You harden the tools that are used within the build process</t>
  </si>
  <si>
    <t>Software Dependencies</t>
  </si>
  <si>
    <t>Do you have solid knowledge about dependencies you're relying on?</t>
  </si>
  <si>
    <t>You have a current bill of materials (BOM) for every application
 You can quickly find out which applications are affected by a particular CVE
 You have analyzed, addressed, and documented findings from dependencies at least once in the last three months</t>
  </si>
  <si>
    <t>Is the build process fully automated?</t>
  </si>
  <si>
    <t>The build process itself doesn't require any human interaction
 Your build tools are hardened as per best practice and vendor guidance
 You encrypt the secrets required by the build tools and control access based on the principle of least privilege</t>
  </si>
  <si>
    <t>Do you handle 3rd party dependency risk by a formal process?</t>
  </si>
  <si>
    <t>You keep a list of approved dependencies that meet predefined criteria
 You automatically evaluate dependencies for new CVEs and alert responsible staff
 You automatically detect and alert to license changes with possible impact on legal application usage
 You track and alert to usage of unmaintained dependencies
 You reliably detect and remove unnecessary dependencies from the software</t>
  </si>
  <si>
    <t>Do you enforce automated security checks in your build processes?</t>
  </si>
  <si>
    <t>Builds fail if the application doesn't meet a predefined security baseline
 You have a maximum accepted severity for vulnerabilities
 You log warnings and failures in a centralized system
 You select and configure tools to evaluate each application against its security requirements at least once a year</t>
  </si>
  <si>
    <t>Do you prevent build of software if it's affected by vulnerabilities in dependencies?</t>
  </si>
  <si>
    <t>Your build system is connected to a system for tracking 3rd party dependency risk, causing build to fail unless the vulnerability is evaluated to be a false positive or the risk is explicitly accepted
 You scan your dependencies using a static analysis tool
 You report findings back to dependency authors using an established responsible disclosure process
 Using a new dependency not evaluated for security risks causes the build to fail</t>
  </si>
  <si>
    <t>Deployment Process</t>
  </si>
  <si>
    <t>Do you use repeatable deployment processes?</t>
  </si>
  <si>
    <t>You have enough information to run the deployment processes
 Your deployment documentation up to date
 Your deployment documentation is accessible to relevant stakeholders
 You ensure that only defined qualified personnel can trigger a deployment
 You harden the tools that are used within the deployment process</t>
  </si>
  <si>
    <t>Secret Management</t>
  </si>
  <si>
    <t>Do you limit access to application secrets according to the least privilege principle?</t>
  </si>
  <si>
    <t>You store production secrets protected in a secured location
 Developers do not have access to production secrets
 Production secrets are not available in non-production environments</t>
  </si>
  <si>
    <t>Are deployment processes automated and employing security checks?</t>
  </si>
  <si>
    <t>Deployment processes are automated on all stages
 Deployment includes automated security testing procedures
 You alert responsible staff to identified vulnerabilities
 You have logs available for your past deployments for a defined period of time</t>
  </si>
  <si>
    <t>Do you inject production secrets into configuration files during deployment?</t>
  </si>
  <si>
    <t>Source code files no longer contain active application secrets
 Under normal circumstances, no humans access secrets during deployment procedures
 You log and alert when abnormal secrets access is attempted</t>
  </si>
  <si>
    <t>Do you consistently validate the integrity of deployed artifacts?</t>
  </si>
  <si>
    <t>You prevent or roll back deployment if you detect an integrity breach
 The verification is done against signatures created during the build time
 If checking of signatures is not possible (e.g. externally build software), you introduce compensating measures</t>
  </si>
  <si>
    <t>Do you practice proper lifecycle management for application secrets?</t>
  </si>
  <si>
    <t>You generate and synchronize secrets using a vetted solution
 Secrets are different between different application instances
 Secrets are regularly updated</t>
  </si>
  <si>
    <t>Configuration Hardening</t>
  </si>
  <si>
    <t>Do you harden configurations for key components of your technology stacks?</t>
  </si>
  <si>
    <t>You have identified the key components in each technology stack used
 You have an established configuration standard for each key component</t>
  </si>
  <si>
    <t>Patching and Updating</t>
  </si>
  <si>
    <t>Do you identify and patch vulnerable components?</t>
  </si>
  <si>
    <t>You have an up-to-date list of components, including version information
 You regularly review public sources for vulnerabilities related to your components</t>
  </si>
  <si>
    <t>Do you have hardening baselines for your components?</t>
  </si>
  <si>
    <t>You have assigned an owner for each baseline
 The owner keeps their assigned baselines up to date
 You store baselines in an accessible location
 You train employees responsible for configurations in these baselines</t>
  </si>
  <si>
    <t>Do you follow an established process for updating components of your technology stacks?</t>
  </si>
  <si>
    <t>The process includes vendor information for third-party patches
 The process considers external sources to gather information about zero day attacks, and includes appropriate risk mitigation steps
 The process includes guidance for prioritizing component updates</t>
  </si>
  <si>
    <t>Do you monitor and enforce conformity with hardening baselines?</t>
  </si>
  <si>
    <t>You perform conformity checks regularly, preferably using automation
 You store conformity check results in an accessible location
 You follow an established process to address reported non-conformities
 You review each baseline at least annually, and update it when required</t>
  </si>
  <si>
    <t>Do you regularly evaluate components and review patch level status?</t>
  </si>
  <si>
    <t>You update the list with components and versions
 You identify and update missing updates according to existing SLA
 You review and update the process based on feedback from the people who perform patching</t>
  </si>
  <si>
    <t>Incident Detection</t>
  </si>
  <si>
    <t>Do you analyze log data for security incidents periodically?</t>
  </si>
  <si>
    <t>You have a contact point for the creation of security incidents
 You analyze data in accordance with the log data retention periods
 The frequency of this analysis is aligned with the criticality of your applications</t>
  </si>
  <si>
    <t>Incident Response</t>
  </si>
  <si>
    <t>Do you respond to detected incidents?</t>
  </si>
  <si>
    <t>You have a defined person or role for incident handling
 You document security incidents</t>
  </si>
  <si>
    <t>Do you follow a documented process for incident detection?</t>
  </si>
  <si>
    <t>The process has a dedicated owner
 You store process documentation in an accessible location
 The process considers an escalation path for further analysis
 You train employees responsible for incident detection in this process
 You have a checklist of potential attacks to simplify incident detection</t>
  </si>
  <si>
    <t>Do you use a repeatable process for incident handling?</t>
  </si>
  <si>
    <t>You have an agreed upon incident classification
 The process considers Root Cause Analysis for high severity incidents
 Employees responsible for incident response are trained in this process
 Forensic analysis tooling is available</t>
  </si>
  <si>
    <t>Do you review and update the incident detection process regularly?</t>
  </si>
  <si>
    <t>You perform reviews at least annually
 You update the checklist of potential attacks with external and internal data</t>
  </si>
  <si>
    <t>Do you have a dedicated incident response team available?</t>
  </si>
  <si>
    <t>The team performs Root Cause Analysis for all security incidents unless there is a specific reason not to do so
 You review and update the response process at least annually</t>
  </si>
  <si>
    <t>Data Protection</t>
  </si>
  <si>
    <t>Do you protect and handle information according to protection requirements for data stored and processed on each application?</t>
  </si>
  <si>
    <t>You know the data elements processed and stored by each application
 You know the type and sensitivity level of each identified data element
 You have controls to prevent propagation of unsanitized sensitive data from production to lower environments</t>
  </si>
  <si>
    <t>System Decommissioning / Legacy Management</t>
  </si>
  <si>
    <t>Do you identify and remove systems, applications, application dependencies, or services that are no longer used, have reached end of life, or are no longer actively developed or supported?</t>
  </si>
  <si>
    <t>You do not use unsupported applications or dependencies
 You manage customer/user migration from older versions for each product and customer/user group</t>
  </si>
  <si>
    <t>Do you maintain a data catalog, including types, sensitivity levels, and processing and storage locations?</t>
  </si>
  <si>
    <t>The data catalog is stored in an accessible location
 You know which data elements are subject to specific regulation
 You have controls for protecting and preserving data throughout its lifetime
 You have retention requirements for data, and you destroy backups in a timely manner after the relevant retention period ends</t>
  </si>
  <si>
    <t>Do you follow an established process for removing all associated resources, as part of decommissioning of unused systems, applications, application dependencies, or services?</t>
  </si>
  <si>
    <t>You document the status of support for all released versions of your products, in an accessible location
 The process includes replacement or upgrade of third-party applications, or application dependencies, that have reached end of life
 Operating environments do not contain orphaned accounts, firewall rules, or other configuration artifacts</t>
  </si>
  <si>
    <t>Do you regularly review and update the data catalog and your data protection policies and procedures?</t>
  </si>
  <si>
    <t>You have automated monitoring to detect attempted or actual violations of the Data Protection Policy
 You have tools for data loss prevention, access control and tracking, or anomalous behavior detection
 You periodically audit the operation of automated mechanisms, including backups and record deletions</t>
  </si>
  <si>
    <t>Do you regularly evaluate the lifecycle state and support status of every software asset and underlying infrastructure component, and estimate their end of life?</t>
  </si>
  <si>
    <t>Your end of life management process is agreed upon
 You inform customers and user groups of product timelines to prevent disruption of service or support
 You review the process at least annually</t>
  </si>
  <si>
    <t>Architecture Validation</t>
  </si>
  <si>
    <t>Do you review the application architecture for key security objectives on an ad-hoc basis?</t>
  </si>
  <si>
    <t>You have an agreed upon model of the overall software architecture
 You include components, interfaces, and integrations in the architecture model
 You verify the correct provision of general security mechanisms
 You log missing security controls as defects</t>
  </si>
  <si>
    <t>Architecture Mitigation</t>
  </si>
  <si>
    <t>Do you review the application architecture for mitigations of typical threats on an ad-hoc basis?</t>
  </si>
  <si>
    <t>You have an agreed upon model of the overall software architecture
 Security savvy staff conduct the review
 You consider different types of threats, including insider and data-related ones</t>
  </si>
  <si>
    <t>Do you regularly review the security mechanisms of your architecture?</t>
  </si>
  <si>
    <t>You review compliance with internal and external requirements
 You systematically review each interface in the system
 You use a formalized review method and structured validation
 You log missing security mechanisms as defects</t>
  </si>
  <si>
    <t>Do you regularly evaluate the threats to your architecture?</t>
  </si>
  <si>
    <t>You systematically review each threat identified in the Threat Assessment
 Trained or experienced people lead review exercise
 You identify mitigating design-level features for each identified threat
 You log unhandled threats as defects</t>
  </si>
  <si>
    <t>Do you regularly review the effectiveness of the security controls?</t>
  </si>
  <si>
    <t>You evaluate the preventive, detective, and response capabilities of security controls
 You evaluate the strategy alignment, appropriate support, and scalability of security controls
 You evaluate the effectiveness at least yearly
 You log identified shortcomings as defects</t>
  </si>
  <si>
    <t>Do you regularly update your reference architectures based on architecture assessment findings?</t>
  </si>
  <si>
    <t>You assess your architectures in a standardized, documented manner
 You use recurring findings to trigger a review of reference architectures
 You independently review the quality of the architecture assessments on an ad-hoc basis
 You use reference architecture updates to trigger reviews of relevant shared solutions, in a risk-based manner</t>
  </si>
  <si>
    <t>Requirements-driven Testing</t>
  </si>
  <si>
    <t>Control Verification</t>
  </si>
  <si>
    <t>Do you test applications for the correct functioning of standard security controls?</t>
  </si>
  <si>
    <t>Security testing at least verifies the implementation of authentication, access control, input validation, encoding and escaping data, and encryption controls
 Security testing executes whenever the application changes its use of the controls</t>
  </si>
  <si>
    <t>Misuse/Abuse Testing</t>
  </si>
  <si>
    <t>Do you test applications using randomization or fuzzing techniques?</t>
  </si>
  <si>
    <t>Testing covers most or all of the application's main input parameters
 You record and inspect all application crashes for security impact on a best-effort basis</t>
  </si>
  <si>
    <t>Do you consistently write and execute test scripts to verify the functionality of security requirements?</t>
  </si>
  <si>
    <t>You tailor tests to each application and assert expected security functionality
 You capture test results as a pass or fail condition
 Tests use a standardized framework or DSL</t>
  </si>
  <si>
    <t>Do you create abuse cases from functional requirements and use them to drive security tests?</t>
  </si>
  <si>
    <t>Important business functionality has corresponding abuse cases
 You build abuse stories around relevant personas with well-defined motivations and characteristics
 You capture identified weaknesses as security requirements</t>
  </si>
  <si>
    <t>Do you automatically test applications for security regressions?</t>
  </si>
  <si>
    <t>You consistently write tests for all identified bugs (possibly exceeding a pre-defined severity threshold)
 You collect security tests in a test suite that is part of the existing unit testing framework</t>
  </si>
  <si>
    <t>Do you perform denial of service and security stress testing?</t>
  </si>
  <si>
    <t>Stress tests target specific application resources (e.g. memory exhaustion by saving large amounts of data to a user session)
 You design tests around relevant personas with well-defined capabilities (knowledge, resources)
 You feed the results back to the Design practices</t>
  </si>
  <si>
    <t>Scalable Baseline</t>
  </si>
  <si>
    <t>Do you scan applications with automated security testing tools?</t>
  </si>
  <si>
    <t>You dynamically generate inputs for security tests using automated tools
 You choose the security testing tools to fit the organization's architecture and technology stack, and balance depth and accuracy of inspection with usability of findings to the organization</t>
  </si>
  <si>
    <t>Deep Understanding</t>
  </si>
  <si>
    <t>Do you manually review the security quality of selected high-risk components?</t>
  </si>
  <si>
    <t>Criteria exist to help the reviewer focus on high-risk components
 Qualified personnel conduct reviews following documented guidelines
 You address findings in accordance with the organization's defect management policy</t>
  </si>
  <si>
    <t>Do you customize the automated security tools to your applications and technology stacks?</t>
  </si>
  <si>
    <t>You tune and select tool features which match your application or technology stack
 You minimize false positives by silencing or automatically filter irrelevant warnings or low probability findings
 You minimize false negatives by leverage tool extensions or DSLs to customize tools for your application or organizational standards</t>
  </si>
  <si>
    <t>Do you perform penetration testing for your applications at regular intervals?</t>
  </si>
  <si>
    <t>Penetration testing uses application-specific security test cases to evaluate security
 Penetration testing looks for both technical and logical issues in the application
 Stakeholders review the test results and handle them in accordance with the organization's risk management
 Qualified personnel performs penetration testing</t>
  </si>
  <si>
    <t>Do you integrate automated security testing into the build and deploy process?</t>
  </si>
  <si>
    <t>Management and business stakeholders track and review test results throughout the development cycle
 You merge test results into a central dashboard and feed them into defect management</t>
  </si>
  <si>
    <t>Do you use the results of security testing to improve the development lifecycle?</t>
  </si>
  <si>
    <t>You use results from other security activities to improve integrated security testing during development
 You review test results and incorporate them into security awareness training and security testing playbooks
 Stakeholders review the test results and handle them in accordance with the organization's risk management</t>
  </si>
  <si>
    <t>ANS_SET_CODE</t>
  </si>
  <si>
    <t>A_W</t>
  </si>
  <si>
    <t>B_W</t>
  </si>
  <si>
    <t>C_W</t>
  </si>
  <si>
    <t>D_W</t>
  </si>
  <si>
    <t>Yes, for some applications</t>
  </si>
  <si>
    <t>Yes, for at least half of the applications</t>
  </si>
  <si>
    <t>Yes, for most or all of the applications</t>
  </si>
  <si>
    <t>Yes, some of them</t>
  </si>
  <si>
    <t>Yes, at least half of them</t>
  </si>
  <si>
    <t>Yes, most or all of them</t>
  </si>
  <si>
    <t>Yes, some content</t>
  </si>
  <si>
    <t>Yes, at least half of the content</t>
  </si>
  <si>
    <t>Yes, most or all of the content</t>
  </si>
  <si>
    <t>Yes, for some of the training</t>
  </si>
  <si>
    <t>Yes, for at least half of the training</t>
  </si>
  <si>
    <t>Yes, for most or all of the training</t>
  </si>
  <si>
    <t>Yes, some of the time</t>
  </si>
  <si>
    <t>Yes, at least half of the time</t>
  </si>
  <si>
    <t>Yes, most or all of the time</t>
  </si>
  <si>
    <t>Yes, we started implementing it</t>
  </si>
  <si>
    <t>Yes, for part of the organization</t>
  </si>
  <si>
    <t>Yes, for the entire organization</t>
  </si>
  <si>
    <t>Yes, for some components</t>
  </si>
  <si>
    <t>Yes, for at least half of the components</t>
  </si>
  <si>
    <t>Yes, for most or all of the components</t>
  </si>
  <si>
    <t>Yes, for some incidents</t>
  </si>
  <si>
    <t>Yes, for at least half of the incidents</t>
  </si>
  <si>
    <t>Yes, for most or all of the incidents</t>
  </si>
  <si>
    <t>Yes, for some incident types</t>
  </si>
  <si>
    <t>Yes, for at least half of the incident types</t>
  </si>
  <si>
    <t>Yes, for most or all of the incident types</t>
  </si>
  <si>
    <t>Yes, for some of our data</t>
  </si>
  <si>
    <t>Yes, for at least half of our data</t>
  </si>
  <si>
    <t>Yes, for most or all of our data</t>
  </si>
  <si>
    <t>Yes, we do it when requested</t>
  </si>
  <si>
    <t>Yes, for some of the assets</t>
  </si>
  <si>
    <t>Yes, for at least half of the assets</t>
  </si>
  <si>
    <t>Yes, for most or all of the assets</t>
  </si>
  <si>
    <t>Yes, for some of the technology domains</t>
  </si>
  <si>
    <t>Yes, for at least half of the technology domains</t>
  </si>
  <si>
    <t>Yes, for most or all of the technology domains</t>
  </si>
  <si>
    <t>Yes, it covers general risks</t>
  </si>
  <si>
    <t>Yes, it covers organization-specific risks</t>
  </si>
  <si>
    <t>Yes, it covers risks and opportunities</t>
  </si>
  <si>
    <t>Yes, we review it annually</t>
  </si>
  <si>
    <t>Yes, we consult the plan before making significant decisions</t>
  </si>
  <si>
    <t>Yes, we consult the plan often, and it is aligned with our application security strategy</t>
  </si>
  <si>
    <t>Yes, but review is ad-hoc</t>
  </si>
  <si>
    <t>Yes, we review it at regular times</t>
  </si>
  <si>
    <t>Yes, we review it at least annually</t>
  </si>
  <si>
    <t>Yes, for one metrics category</t>
  </si>
  <si>
    <t>Yes, for two metrics categories</t>
  </si>
  <si>
    <t>Yes, for all three metrics categories</t>
  </si>
  <si>
    <t>Yes, sporadically</t>
  </si>
  <si>
    <t>Yes, upon change of the application</t>
  </si>
  <si>
    <t>Yes, at least annually</t>
  </si>
  <si>
    <t>Yes, for some of the metrics</t>
  </si>
  <si>
    <t>Yes, for at least half of the metrics</t>
  </si>
  <si>
    <t>Yes, for most or all of the metrics</t>
  </si>
  <si>
    <t>Yes, but reporting is ad-hoc</t>
  </si>
  <si>
    <t>Yes, we report at regular times</t>
  </si>
  <si>
    <t>Yes, we report at least annually</t>
  </si>
  <si>
    <t>Yes, for some obligations</t>
  </si>
  <si>
    <t>Yes, for at least half of the obligations</t>
  </si>
  <si>
    <t>Yes, for most or all of the obligations</t>
  </si>
  <si>
    <t>Yes, for some teams</t>
  </si>
  <si>
    <t>Yes, for at least half of the teams</t>
  </si>
  <si>
    <t>Yes, for most or all of the teams</t>
  </si>
  <si>
    <t>Yes, some of it</t>
  </si>
  <si>
    <t>Yes, at least half of it</t>
  </si>
  <si>
    <t>Yes, most or all of it</t>
  </si>
  <si>
    <t>Yes, but we improve it ad-hoc</t>
  </si>
  <si>
    <t>Yes, we improve it at regular times</t>
  </si>
  <si>
    <t>Yes, we improve it at least annually</t>
  </si>
  <si>
    <t>Software Assurance Maturity Model (SAMM) Roadmap Chart Template Background Images</t>
  </si>
  <si>
    <t>'v2.1.1</t>
  </si>
  <si>
    <t>Step</t>
  </si>
  <si>
    <t>Action</t>
  </si>
  <si>
    <t>Understand OWASP SAMM</t>
  </si>
  <si>
    <t>The Software Assurance Maturity Model (SAMM) provides an effective and measurable way to analyze and improve your software security posture. It is a self-assessment model to help you design, develop, and deploy secure software.</t>
  </si>
  <si>
    <t>Define the Scope</t>
  </si>
  <si>
    <t>Before starting, decide whether you are assessing a specific application, a development team, or the entire organization. Consistency in scope is key to accurate results.</t>
  </si>
  <si>
    <t>Conduct the Interview</t>
  </si>
  <si>
    <t>Review the Scorecard</t>
  </si>
  <si>
    <t>Plan Your Roadmap</t>
  </si>
  <si>
    <t>Contribute to the Benchmark</t>
  </si>
  <si>
    <r>
      <t xml:space="preserve">Go to the </t>
    </r>
    <r>
      <rPr>
        <b/>
        <sz val="10"/>
        <color rgb="FF1F1F1F"/>
        <rFont val="Open Sans"/>
        <scheme val="minor"/>
      </rPr>
      <t>Interview</t>
    </r>
    <r>
      <rPr>
        <sz val="10"/>
        <color rgb="FF1F1F1F"/>
        <rFont val="Open Sans"/>
        <scheme val="minor"/>
      </rPr>
      <t xml:space="preserve"> sheet. Gather the relevant stakeholders (e.g., Lead Developers, Security Champions, Product Owners) and answer the multiple-choice questions for each Security Practice. Select the best matching answer from the drop-down lists and use the "Interview Notes" column to document context or justifications.</t>
    </r>
  </si>
  <si>
    <r>
      <t xml:space="preserve">Once the interview is complete, switch to the </t>
    </r>
    <r>
      <rPr>
        <b/>
        <sz val="10"/>
        <color rgb="FF1F1F1F"/>
        <rFont val="Open Sans"/>
        <scheme val="minor"/>
      </rPr>
      <t>Scorecard</t>
    </r>
    <r>
      <rPr>
        <sz val="10"/>
        <color rgb="FF1F1F1F"/>
        <rFont val="Open Sans"/>
        <scheme val="minor"/>
      </rPr>
      <t xml:space="preserve"> sheet. This is a read-only dashboard that automatically calculates your current maturity scores based on the answers provided in the Interview sheet.</t>
    </r>
  </si>
  <si>
    <r>
      <t xml:space="preserve">Navigate to the </t>
    </r>
    <r>
      <rPr>
        <b/>
        <sz val="10"/>
        <color rgb="FF1F1F1F"/>
        <rFont val="Open Sans"/>
        <scheme val="minor"/>
      </rPr>
      <t>Roadmap</t>
    </r>
    <r>
      <rPr>
        <sz val="10"/>
        <color rgb="FF1F1F1F"/>
        <rFont val="Open Sans"/>
        <scheme val="minor"/>
      </rPr>
      <t xml:space="preserve"> sheet to plan your improvement phases. You can set target maturity levels across different phases (Phase 1, 2, 3, etc.) and visualize your desired security journey in the </t>
    </r>
    <r>
      <rPr>
        <b/>
        <sz val="10"/>
        <color rgb="FF1F1F1F"/>
        <rFont val="Open Sans"/>
        <scheme val="minor"/>
      </rPr>
      <t>Roadmap Chart</t>
    </r>
    <r>
      <rPr>
        <sz val="10"/>
        <color rgb="FF1F1F1F"/>
        <rFont val="Open Sans"/>
        <scheme val="minor"/>
      </rPr>
      <t xml:space="preserve"> sheet.</t>
    </r>
  </si>
  <si>
    <r>
      <t xml:space="preserve">Help the OWASP community by anonymously sharing your assessment! Go to the </t>
    </r>
    <r>
      <rPr>
        <b/>
        <sz val="10"/>
        <color rgb="FF1F1F1F"/>
        <rFont val="Open Sans"/>
        <scheme val="minor"/>
      </rPr>
      <t>Benchmark</t>
    </r>
    <r>
      <rPr>
        <sz val="10"/>
        <color rgb="FF1F1F1F"/>
        <rFont val="Open Sans"/>
        <scheme val="minor"/>
      </rPr>
      <t xml:space="preserve"> sheet, fill out the basic demographic data (your company name is not required), and follow the upload instructions to submit your file. This helps build industry-wide SAMM benchmarking statistics.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</si>
</sst>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5" x14ac:knownFonts="1">
    <font>
      <sz val="10"/>
      <name val="Arial"/>
    </font>
    <font>
      <sz val="10"/>
      <name val="Arial"/>
      <family val="2"/>
    </font>
    <font>
      <b/>
      <sz val="10"/>
      <name val="Arial"/>
      <family val="2"/>
    </font>
    <font>
      <sz val="10"/>
      <name val="Arial"/>
      <family val="2"/>
    </font>
    <font>
      <sz val="20"/>
      <name val="Trebuchet MS"/>
      <family val="2"/>
    </font>
    <font>
      <u/>
      <sz val="10"/>
      <color indexed="12"/>
      <name val="Arial"/>
      <family val="2"/>
    </font>
    <font>
      <b/>
      <sz val="10"/>
      <name val="Trebuchet MS"/>
      <family val="2"/>
    </font>
    <font>
      <u/>
      <sz val="10"/>
      <color theme="11"/>
      <name val="Arial"/>
      <family val="2"/>
    </font>
    <font>
      <b/>
      <sz val="18"/>
      <name val="Arial"/>
      <family val="2"/>
    </font>
    <font>
      <sz val="10"/>
      <name val="Arial"/>
      <family val="2"/>
    </font>
    <font>
      <sz val="10"/>
      <name val="Open Sans"/>
      <family val="2"/>
    </font>
    <font>
      <b/>
      <sz val="10"/>
      <name val="Open Sans"/>
      <family val="2"/>
    </font>
    <font>
      <sz val="10"/>
      <color indexed="8"/>
      <name val="Open Sans"/>
      <family val="2"/>
    </font>
    <font>
      <b/>
      <sz val="10"/>
      <color indexed="9"/>
      <name val="Open Sans"/>
      <family val="2"/>
    </font>
    <font>
      <sz val="20"/>
      <color indexed="9"/>
      <name val="Open Sans"/>
      <family val="2"/>
    </font>
    <font>
      <sz val="10"/>
      <color indexed="9"/>
      <name val="Open Sans"/>
      <family val="2"/>
    </font>
    <font>
      <b/>
      <u/>
      <sz val="10"/>
      <color indexed="9"/>
      <name val="Open Sans"/>
      <family val="2"/>
    </font>
    <font>
      <sz val="20"/>
      <name val="Open Sans"/>
      <family val="2"/>
    </font>
    <font>
      <sz val="11"/>
      <name val="Open Sans"/>
      <family val="2"/>
    </font>
    <font>
      <b/>
      <sz val="10"/>
      <color rgb="FF435B70"/>
      <name val="Open Sans"/>
      <family val="2"/>
    </font>
    <font>
      <b/>
      <sz val="10"/>
      <color rgb="FFAD4B00"/>
      <name val="Open Sans"/>
      <family val="2"/>
    </font>
    <font>
      <b/>
      <sz val="10"/>
      <color rgb="FF3A5F26"/>
      <name val="Open Sans"/>
      <family val="2"/>
    </font>
    <font>
      <b/>
      <sz val="10"/>
      <color rgb="FF754858"/>
      <name val="Open Sans"/>
      <family val="2"/>
    </font>
    <font>
      <b/>
      <sz val="10"/>
      <color rgb="FF5B5B62"/>
      <name val="Open Sans"/>
      <family val="2"/>
    </font>
    <font>
      <u/>
      <sz val="10"/>
      <name val="Open Sans"/>
      <family val="2"/>
    </font>
    <font>
      <sz val="9"/>
      <name val="Open Sans"/>
      <family val="2"/>
    </font>
    <font>
      <b/>
      <sz val="9"/>
      <color indexed="8"/>
      <name val="Open Sans"/>
      <family val="2"/>
    </font>
    <font>
      <b/>
      <sz val="9"/>
      <name val="Open Sans"/>
      <family val="2"/>
    </font>
    <font>
      <sz val="9"/>
      <color indexed="8"/>
      <name val="Open Sans"/>
      <family val="2"/>
    </font>
    <font>
      <b/>
      <sz val="9"/>
      <color indexed="9"/>
      <name val="Open Sans"/>
      <family val="2"/>
    </font>
    <font>
      <b/>
      <sz val="9"/>
      <color theme="0"/>
      <name val="Open Sans"/>
      <family val="2"/>
    </font>
    <font>
      <i/>
      <sz val="9"/>
      <color indexed="8"/>
      <name val="Open Sans"/>
      <family val="2"/>
    </font>
    <font>
      <sz val="9"/>
      <color rgb="FF010000"/>
      <name val="Open Sans"/>
      <family val="2"/>
    </font>
    <font>
      <b/>
      <sz val="9"/>
      <color rgb="FF010000"/>
      <name val="Open Sans"/>
      <family val="2"/>
    </font>
    <font>
      <b/>
      <sz val="9"/>
      <color theme="3"/>
      <name val="Open Sans"/>
      <family val="2"/>
    </font>
    <font>
      <b/>
      <sz val="9"/>
      <color theme="6"/>
      <name val="Open Sans"/>
      <family val="2"/>
    </font>
    <font>
      <b/>
      <sz val="9"/>
      <color theme="7"/>
      <name val="Open Sans"/>
      <family val="2"/>
    </font>
    <font>
      <b/>
      <sz val="9"/>
      <color theme="8"/>
      <name val="Open Sans"/>
      <family val="2"/>
    </font>
    <font>
      <b/>
      <sz val="9"/>
      <color theme="9"/>
      <name val="Open Sans"/>
      <family val="2"/>
    </font>
    <font>
      <b/>
      <sz val="22"/>
      <color theme="0"/>
      <name val="Open Sans"/>
      <family val="2"/>
    </font>
    <font>
      <b/>
      <sz val="15"/>
      <color indexed="9"/>
      <name val="Open Sans"/>
      <family val="2"/>
    </font>
    <font>
      <b/>
      <sz val="24"/>
      <color theme="0"/>
      <name val="Open Sans"/>
      <family val="2"/>
    </font>
    <font>
      <b/>
      <sz val="15"/>
      <color theme="0"/>
      <name val="Open Sans"/>
      <family val="2"/>
    </font>
    <font>
      <b/>
      <sz val="10"/>
      <color rgb="FF1F1F1F"/>
      <name val="Open Sans"/>
      <scheme val="minor"/>
    </font>
    <font>
      <sz val="10"/>
      <color rgb="FF1F1F1F"/>
      <name val="Open Sans"/>
      <scheme val="minor"/>
    </font>
  </fonts>
  <fills count="45">
    <fill>
      <patternFill patternType="none"/>
    </fill>
    <fill>
      <patternFill patternType="gray125"/>
    </fill>
    <fill>
      <patternFill patternType="solid">
        <fgColor indexed="18"/>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indexed="22"/>
        <bgColor indexed="64"/>
      </patternFill>
    </fill>
    <fill>
      <patternFill patternType="solid">
        <fgColor indexed="63"/>
        <bgColor indexed="64"/>
      </patternFill>
    </fill>
    <fill>
      <patternFill patternType="solid">
        <fgColor rgb="FF94BCDD"/>
        <bgColor indexed="64"/>
      </patternFill>
    </fill>
    <fill>
      <patternFill patternType="solid">
        <fgColor rgb="FFB75727"/>
        <bgColor indexed="64"/>
      </patternFill>
    </fill>
    <fill>
      <patternFill patternType="solid">
        <fgColor rgb="FFD59E7B"/>
        <bgColor indexed="64"/>
      </patternFill>
    </fill>
    <fill>
      <patternFill patternType="solid">
        <fgColor rgb="FF8BAA88"/>
        <bgColor indexed="64"/>
      </patternFill>
    </fill>
    <fill>
      <patternFill patternType="solid">
        <fgColor rgb="FFB07667"/>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0"/>
        <bgColor theme="0"/>
      </patternFill>
    </fill>
    <fill>
      <patternFill patternType="solid">
        <fgColor rgb="FFD5D514"/>
        <bgColor indexed="64"/>
      </patternFill>
    </fill>
    <fill>
      <patternFill patternType="solid">
        <fgColor rgb="FFD9D9D9"/>
        <bgColor rgb="FF000000"/>
      </patternFill>
    </fill>
    <fill>
      <patternFill patternType="solid">
        <fgColor theme="1" tint="0.499984740745262"/>
        <bgColor indexed="64"/>
      </patternFill>
    </fill>
    <fill>
      <patternFill patternType="solid">
        <fgColor theme="2" tint="-0.249977111117893"/>
        <bgColor indexed="64"/>
      </patternFill>
    </fill>
    <fill>
      <patternFill patternType="solid">
        <fgColor rgb="FF435B70"/>
        <bgColor indexed="64"/>
      </patternFill>
    </fill>
    <fill>
      <patternFill patternType="solid">
        <fgColor rgb="FF435B70"/>
        <bgColor rgb="FF000000"/>
      </patternFill>
    </fill>
    <fill>
      <patternFill patternType="solid">
        <fgColor theme="5"/>
        <bgColor indexed="64"/>
      </patternFill>
    </fill>
    <fill>
      <patternFill patternType="solid">
        <fgColor theme="4"/>
        <bgColor indexed="64"/>
      </patternFill>
    </fill>
    <fill>
      <patternFill patternType="solid">
        <fgColor rgb="FFEAF5F5"/>
        <bgColor indexed="64"/>
      </patternFill>
    </fill>
    <fill>
      <patternFill patternType="solid">
        <fgColor rgb="FFAD4B00"/>
        <bgColor indexed="64"/>
      </patternFill>
    </fill>
    <fill>
      <patternFill patternType="solid">
        <fgColor rgb="FFAD4B00"/>
        <bgColor rgb="FF000000"/>
      </patternFill>
    </fill>
    <fill>
      <patternFill patternType="solid">
        <fgColor rgb="FF3A5F26"/>
        <bgColor indexed="64"/>
      </patternFill>
    </fill>
    <fill>
      <patternFill patternType="solid">
        <fgColor rgb="FF754858"/>
        <bgColor indexed="64"/>
      </patternFill>
    </fill>
    <fill>
      <patternFill patternType="solid">
        <fgColor rgb="FF5B5B62"/>
        <bgColor indexed="64"/>
      </patternFill>
    </fill>
    <fill>
      <patternFill patternType="solid">
        <fgColor rgb="FF5B5B62"/>
        <bgColor rgb="FF000000"/>
      </patternFill>
    </fill>
    <fill>
      <patternFill patternType="solid">
        <fgColor rgb="FFCA5902"/>
        <bgColor indexed="64"/>
      </patternFill>
    </fill>
    <fill>
      <patternFill patternType="solid">
        <fgColor rgb="FF45712D"/>
        <bgColor indexed="64"/>
      </patternFill>
    </fill>
    <fill>
      <patternFill patternType="solid">
        <fgColor theme="6"/>
        <bgColor indexed="64"/>
      </patternFill>
    </fill>
    <fill>
      <patternFill patternType="solid">
        <fgColor theme="6"/>
        <bgColor rgb="FF000000"/>
      </patternFill>
    </fill>
    <fill>
      <patternFill patternType="solid">
        <fgColor theme="7"/>
        <bgColor indexed="64"/>
      </patternFill>
    </fill>
    <fill>
      <patternFill patternType="solid">
        <fgColor theme="7"/>
        <bgColor rgb="FF000000"/>
      </patternFill>
    </fill>
    <fill>
      <patternFill patternType="solid">
        <fgColor theme="8"/>
        <bgColor indexed="64"/>
      </patternFill>
    </fill>
    <fill>
      <patternFill patternType="solid">
        <fgColor theme="8"/>
        <bgColor rgb="FF000000"/>
      </patternFill>
    </fill>
    <fill>
      <patternFill patternType="solid">
        <fgColor theme="9"/>
        <bgColor indexed="64"/>
      </patternFill>
    </fill>
    <fill>
      <patternFill patternType="solid">
        <fgColor theme="9"/>
        <bgColor rgb="FF000000"/>
      </patternFill>
    </fill>
    <fill>
      <patternFill patternType="solid">
        <fgColor rgb="FFF9DBB8"/>
        <bgColor indexed="64"/>
      </patternFill>
    </fill>
    <fill>
      <patternFill patternType="solid">
        <fgColor rgb="FFD7EBCC"/>
        <bgColor indexed="64"/>
      </patternFill>
    </fill>
    <fill>
      <patternFill patternType="solid">
        <fgColor rgb="FFDCE3EA"/>
        <bgColor indexed="64"/>
      </patternFill>
    </fill>
    <fill>
      <patternFill patternType="solid">
        <fgColor rgb="FFEADCE1"/>
        <bgColor indexed="64"/>
      </patternFill>
    </fill>
    <fill>
      <patternFill patternType="solid">
        <fgColor rgb="FFE2E2E4"/>
        <bgColor indexed="64"/>
      </patternFill>
    </fill>
  </fills>
  <borders count="177">
    <border>
      <left/>
      <right/>
      <top/>
      <bottom/>
      <diagonal/>
    </border>
    <border>
      <left/>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top/>
      <bottom/>
      <diagonal/>
    </border>
    <border>
      <left style="thin">
        <color indexed="8"/>
      </left>
      <right style="thin">
        <color indexed="8"/>
      </right>
      <top style="thin">
        <color indexed="8"/>
      </top>
      <bottom/>
      <diagonal/>
    </border>
    <border>
      <left/>
      <right/>
      <top style="thin">
        <color indexed="8"/>
      </top>
      <bottom/>
      <diagonal/>
    </border>
    <border>
      <left style="thin">
        <color indexed="8"/>
      </left>
      <right style="thin">
        <color indexed="8"/>
      </right>
      <top/>
      <bottom/>
      <diagonal/>
    </border>
    <border>
      <left/>
      <right style="thin">
        <color indexed="8"/>
      </right>
      <top/>
      <bottom/>
      <diagonal/>
    </border>
    <border>
      <left style="thin">
        <color indexed="8"/>
      </left>
      <right style="thin">
        <color indexed="8"/>
      </right>
      <top/>
      <bottom style="thin">
        <color indexed="8"/>
      </bottom>
      <diagonal/>
    </border>
    <border>
      <left/>
      <right style="thin">
        <color indexed="8"/>
      </right>
      <top/>
      <bottom style="thin">
        <color indexed="8"/>
      </bottom>
      <diagonal/>
    </border>
    <border>
      <left style="thin">
        <color indexed="8"/>
      </left>
      <right/>
      <top/>
      <bottom style="thin">
        <color indexed="8"/>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thin">
        <color indexed="8"/>
      </bottom>
      <diagonal/>
    </border>
    <border>
      <left/>
      <right/>
      <top style="medium">
        <color auto="1"/>
      </top>
      <bottom style="thin">
        <color indexed="8"/>
      </bottom>
      <diagonal/>
    </border>
    <border>
      <left/>
      <right style="medium">
        <color auto="1"/>
      </right>
      <top style="medium">
        <color auto="1"/>
      </top>
      <bottom style="thin">
        <color indexed="8"/>
      </bottom>
      <diagonal/>
    </border>
    <border>
      <left/>
      <right style="medium">
        <color auto="1"/>
      </right>
      <top style="thin">
        <color indexed="8"/>
      </top>
      <bottom/>
      <diagonal/>
    </border>
    <border>
      <left style="thin">
        <color auto="1"/>
      </left>
      <right/>
      <top style="thin">
        <color auto="1"/>
      </top>
      <bottom/>
      <diagonal/>
    </border>
    <border>
      <left/>
      <right style="thin">
        <color indexed="8"/>
      </right>
      <top style="thin">
        <color auto="1"/>
      </top>
      <bottom/>
      <diagonal/>
    </border>
    <border>
      <left style="thin">
        <color indexed="8"/>
      </left>
      <right style="thin">
        <color indexed="8"/>
      </right>
      <top style="thin">
        <color auto="1"/>
      </top>
      <bottom/>
      <diagonal/>
    </border>
    <border>
      <left style="thin">
        <color indexed="8"/>
      </left>
      <right style="thin">
        <color auto="1"/>
      </right>
      <top style="thin">
        <color auto="1"/>
      </top>
      <bottom/>
      <diagonal/>
    </border>
    <border>
      <left style="thin">
        <color indexed="8"/>
      </left>
      <right style="thin">
        <color indexed="8"/>
      </right>
      <top/>
      <bottom style="thin">
        <color auto="1"/>
      </bottom>
      <diagonal/>
    </border>
    <border>
      <left style="thin">
        <color indexed="8"/>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right/>
      <top style="medium">
        <color auto="1"/>
      </top>
      <bottom style="medium">
        <color auto="1"/>
      </bottom>
      <diagonal/>
    </border>
    <border>
      <left/>
      <right/>
      <top style="medium">
        <color auto="1"/>
      </top>
      <bottom/>
      <diagonal/>
    </border>
    <border>
      <left/>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bottom style="medium">
        <color auto="1"/>
      </bottom>
      <diagonal/>
    </border>
    <border>
      <left/>
      <right style="medium">
        <color auto="1"/>
      </right>
      <top style="medium">
        <color auto="1"/>
      </top>
      <bottom style="medium">
        <color auto="1"/>
      </bottom>
      <diagonal/>
    </border>
    <border>
      <left style="thin">
        <color indexed="8"/>
      </left>
      <right style="thin">
        <color indexed="8"/>
      </right>
      <top style="thin">
        <color auto="1"/>
      </top>
      <bottom style="thin">
        <color indexed="64"/>
      </bottom>
      <diagonal/>
    </border>
    <border>
      <left/>
      <right style="thin">
        <color indexed="8"/>
      </right>
      <top style="thin">
        <color auto="1"/>
      </top>
      <bottom style="thin">
        <color indexed="64"/>
      </bottom>
      <diagonal/>
    </border>
    <border>
      <left style="thin">
        <color indexed="8"/>
      </left>
      <right style="thin">
        <color auto="1"/>
      </right>
      <top style="thin">
        <color auto="1"/>
      </top>
      <bottom style="thin">
        <color indexed="64"/>
      </bottom>
      <diagonal/>
    </border>
    <border>
      <left style="thin">
        <color indexed="8"/>
      </left>
      <right style="thin">
        <color indexed="8"/>
      </right>
      <top style="thin">
        <color indexed="8"/>
      </top>
      <bottom style="thin">
        <color indexed="64"/>
      </bottom>
      <diagonal/>
    </border>
    <border>
      <left style="thin">
        <color indexed="8"/>
      </left>
      <right/>
      <top/>
      <bottom style="thin">
        <color indexed="64"/>
      </bottom>
      <diagonal/>
    </border>
    <border>
      <left style="thin">
        <color auto="1"/>
      </left>
      <right/>
      <top style="thin">
        <color auto="1"/>
      </top>
      <bottom style="thin">
        <color indexed="64"/>
      </bottom>
      <diagonal/>
    </border>
    <border>
      <left style="thin">
        <color indexed="8"/>
      </left>
      <right style="thin">
        <color indexed="8"/>
      </right>
      <top/>
      <bottom style="thin">
        <color indexed="64"/>
      </bottom>
      <diagonal/>
    </border>
    <border>
      <left style="thin">
        <color indexed="64"/>
      </left>
      <right style="thin">
        <color indexed="64"/>
      </right>
      <top style="thin">
        <color indexed="8"/>
      </top>
      <bottom style="thin">
        <color auto="1"/>
      </bottom>
      <diagonal/>
    </border>
    <border>
      <left style="thin">
        <color rgb="FF010000"/>
      </left>
      <right style="thin">
        <color rgb="FF010000"/>
      </right>
      <top style="thin">
        <color rgb="FF010000"/>
      </top>
      <bottom/>
      <diagonal/>
    </border>
    <border>
      <left style="thin">
        <color rgb="FF010000"/>
      </left>
      <right style="thin">
        <color rgb="FF010000"/>
      </right>
      <top/>
      <bottom/>
      <diagonal/>
    </border>
    <border>
      <left style="thin">
        <color rgb="FF010000"/>
      </left>
      <right style="thin">
        <color indexed="64"/>
      </right>
      <top style="thin">
        <color indexed="64"/>
      </top>
      <bottom style="thin">
        <color indexed="64"/>
      </bottom>
      <diagonal/>
    </border>
    <border>
      <left/>
      <right style="thin">
        <color rgb="FF010000"/>
      </right>
      <top/>
      <bottom style="thin">
        <color rgb="FF010000"/>
      </bottom>
      <diagonal/>
    </border>
    <border>
      <left/>
      <right style="thin">
        <color rgb="FF010000"/>
      </right>
      <top/>
      <bottom style="thin">
        <color rgb="FF000000"/>
      </bottom>
      <diagonal/>
    </border>
    <border>
      <left style="thin">
        <color indexed="8"/>
      </left>
      <right style="thin">
        <color indexed="64"/>
      </right>
      <top style="thin">
        <color indexed="8"/>
      </top>
      <bottom/>
      <diagonal/>
    </border>
    <border>
      <left style="thin">
        <color indexed="8"/>
      </left>
      <right style="thin">
        <color indexed="64"/>
      </right>
      <top/>
      <bottom/>
      <diagonal/>
    </border>
    <border>
      <left style="thin">
        <color indexed="8"/>
      </left>
      <right style="thin">
        <color indexed="64"/>
      </right>
      <top style="thin">
        <color auto="1"/>
      </top>
      <bottom/>
      <diagonal/>
    </border>
    <border>
      <left style="thin">
        <color indexed="8"/>
      </left>
      <right style="thin">
        <color indexed="64"/>
      </right>
      <top/>
      <bottom style="thin">
        <color indexed="64"/>
      </bottom>
      <diagonal/>
    </border>
    <border>
      <left style="thin">
        <color indexed="8"/>
      </left>
      <right style="thin">
        <color indexed="64"/>
      </right>
      <top/>
      <bottom style="thin">
        <color indexed="8"/>
      </bottom>
      <diagonal/>
    </border>
    <border>
      <left style="thin">
        <color rgb="FF010000"/>
      </left>
      <right/>
      <top/>
      <bottom/>
      <diagonal/>
    </border>
    <border>
      <left style="thin">
        <color rgb="FF010000"/>
      </left>
      <right/>
      <top style="thin">
        <color rgb="FF010000"/>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8"/>
      </right>
      <top style="thin">
        <color indexed="8"/>
      </top>
      <bottom style="thin">
        <color indexed="64"/>
      </bottom>
      <diagonal/>
    </border>
    <border>
      <left style="thin">
        <color indexed="64"/>
      </left>
      <right style="thin">
        <color indexed="64"/>
      </right>
      <top/>
      <bottom style="thin">
        <color indexed="8"/>
      </bottom>
      <diagonal/>
    </border>
    <border>
      <left/>
      <right style="thin">
        <color indexed="64"/>
      </right>
      <top style="thin">
        <color indexed="64"/>
      </top>
      <bottom style="thin">
        <color indexed="8"/>
      </bottom>
      <diagonal/>
    </border>
    <border>
      <left/>
      <right/>
      <top style="thin">
        <color indexed="64"/>
      </top>
      <bottom style="thin">
        <color indexed="8"/>
      </bottom>
      <diagonal/>
    </border>
    <border>
      <left style="thin">
        <color auto="1"/>
      </left>
      <right/>
      <top style="thin">
        <color indexed="64"/>
      </top>
      <bottom/>
      <diagonal/>
    </border>
    <border>
      <left/>
      <right/>
      <top style="thin">
        <color indexed="64"/>
      </top>
      <bottom/>
      <diagonal/>
    </border>
    <border>
      <left/>
      <right style="thin">
        <color rgb="FF010000"/>
      </right>
      <top style="thin">
        <color rgb="FF000000"/>
      </top>
      <bottom style="thin">
        <color rgb="FF000000"/>
      </bottom>
      <diagonal/>
    </border>
    <border>
      <left/>
      <right style="thin">
        <color rgb="FF010000"/>
      </right>
      <top style="thin">
        <color rgb="FF010000"/>
      </top>
      <bottom style="thin">
        <color rgb="FF000000"/>
      </bottom>
      <diagonal/>
    </border>
    <border>
      <left/>
      <right style="thin">
        <color rgb="FF010000"/>
      </right>
      <top style="thin">
        <color indexed="8"/>
      </top>
      <bottom style="thin">
        <color rgb="FF010000"/>
      </bottom>
      <diagonal/>
    </border>
    <border>
      <left style="medium">
        <color auto="1"/>
      </left>
      <right style="medium">
        <color auto="1"/>
      </right>
      <top style="medium">
        <color auto="1"/>
      </top>
      <bottom style="thin">
        <color indexed="8"/>
      </bottom>
      <diagonal/>
    </border>
    <border>
      <left style="medium">
        <color auto="1"/>
      </left>
      <right style="medium">
        <color auto="1"/>
      </right>
      <top style="thin">
        <color indexed="8"/>
      </top>
      <bottom/>
      <diagonal/>
    </border>
    <border>
      <left style="medium">
        <color auto="1"/>
      </left>
      <right style="medium">
        <color auto="1"/>
      </right>
      <top/>
      <bottom/>
      <diagonal/>
    </border>
    <border>
      <left/>
      <right style="thin">
        <color auto="1"/>
      </right>
      <top style="thin">
        <color auto="1"/>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thin">
        <color auto="1"/>
      </bottom>
      <diagonal/>
    </border>
    <border>
      <left style="medium">
        <color auto="1"/>
      </left>
      <right style="medium">
        <color auto="1"/>
      </right>
      <top style="medium">
        <color auto="1"/>
      </top>
      <bottom style="medium">
        <color auto="1"/>
      </bottom>
      <diagonal/>
    </border>
    <border>
      <left style="thin">
        <color indexed="64"/>
      </left>
      <right style="thin">
        <color indexed="64"/>
      </right>
      <top style="thin">
        <color indexed="64"/>
      </top>
      <bottom style="thin">
        <color indexed="8"/>
      </bottom>
      <diagonal/>
    </border>
    <border>
      <left style="thin">
        <color indexed="8"/>
      </left>
      <right style="thin">
        <color indexed="64"/>
      </right>
      <top style="thin">
        <color indexed="8"/>
      </top>
      <bottom style="thin">
        <color indexed="64"/>
      </bottom>
      <diagonal/>
    </border>
    <border>
      <left style="thin">
        <color indexed="8"/>
      </left>
      <right style="thin">
        <color indexed="64"/>
      </right>
      <top style="thin">
        <color indexed="8"/>
      </top>
      <bottom style="thin">
        <color indexed="8"/>
      </bottom>
      <diagonal/>
    </border>
    <border>
      <left style="thin">
        <color indexed="64"/>
      </left>
      <right style="thin">
        <color indexed="64"/>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8"/>
      </left>
      <right/>
      <top style="thin">
        <color auto="1"/>
      </top>
      <bottom style="thin">
        <color indexed="64"/>
      </bottom>
      <diagonal/>
    </border>
    <border>
      <left style="thin">
        <color indexed="8"/>
      </left>
      <right/>
      <top style="thin">
        <color indexed="8"/>
      </top>
      <bottom style="thin">
        <color indexed="64"/>
      </bottom>
      <diagonal/>
    </border>
    <border>
      <left/>
      <right/>
      <top/>
      <bottom style="thin">
        <color indexed="8"/>
      </bottom>
      <diagonal/>
    </border>
    <border>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auto="1"/>
      </right>
      <top/>
      <bottom/>
      <diagonal/>
    </border>
    <border>
      <left style="thin">
        <color indexed="64"/>
      </left>
      <right style="thin">
        <color rgb="FF010000"/>
      </right>
      <top style="thin">
        <color indexed="64"/>
      </top>
      <bottom style="thin">
        <color indexed="64"/>
      </bottom>
      <diagonal/>
    </border>
    <border>
      <left style="thin">
        <color indexed="8"/>
      </left>
      <right style="thin">
        <color indexed="8"/>
      </right>
      <top style="thin">
        <color indexed="64"/>
      </top>
      <bottom style="thin">
        <color indexed="64"/>
      </bottom>
      <diagonal/>
    </border>
    <border>
      <left style="thin">
        <color indexed="64"/>
      </left>
      <right style="thin">
        <color indexed="8"/>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8"/>
      </top>
      <bottom/>
      <diagonal/>
    </border>
    <border>
      <left style="thin">
        <color indexed="64"/>
      </left>
      <right/>
      <top style="thin">
        <color indexed="8"/>
      </top>
      <bottom style="thin">
        <color indexed="64"/>
      </bottom>
      <diagonal/>
    </border>
    <border>
      <left/>
      <right style="thin">
        <color indexed="8"/>
      </right>
      <top style="thin">
        <color indexed="64"/>
      </top>
      <bottom style="thin">
        <color indexed="64"/>
      </bottom>
      <diagonal/>
    </border>
    <border>
      <left/>
      <right style="thin">
        <color indexed="8"/>
      </right>
      <top style="thin">
        <color indexed="8"/>
      </top>
      <bottom/>
      <diagonal/>
    </border>
    <border>
      <left style="thin">
        <color indexed="8"/>
      </left>
      <right/>
      <top style="thin">
        <color indexed="8"/>
      </top>
      <bottom style="thin">
        <color indexed="64"/>
      </bottom>
      <diagonal/>
    </border>
    <border>
      <left style="thin">
        <color indexed="8"/>
      </left>
      <right/>
      <top style="thin">
        <color indexed="64"/>
      </top>
      <bottom style="thin">
        <color indexed="64"/>
      </bottom>
      <diagonal/>
    </border>
    <border>
      <left/>
      <right style="thin">
        <color indexed="64"/>
      </right>
      <top/>
      <bottom/>
      <diagonal/>
    </border>
    <border>
      <left/>
      <right style="thin">
        <color indexed="64"/>
      </right>
      <top/>
      <bottom style="thin">
        <color indexed="8"/>
      </bottom>
      <diagonal/>
    </border>
    <border>
      <left style="thin">
        <color indexed="8"/>
      </left>
      <right/>
      <top style="thin">
        <color indexed="8"/>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bottom style="thin">
        <color indexed="64"/>
      </bottom>
      <diagonal/>
    </border>
    <border>
      <left style="thin">
        <color indexed="8"/>
      </left>
      <right style="thin">
        <color indexed="8"/>
      </right>
      <top style="thin">
        <color indexed="8"/>
      </top>
      <bottom/>
      <diagonal/>
    </border>
    <border>
      <left/>
      <right/>
      <top style="thin">
        <color indexed="8"/>
      </top>
      <bottom style="thin">
        <color indexed="64"/>
      </bottom>
      <diagonal/>
    </border>
    <border>
      <left/>
      <right/>
      <top style="thin">
        <color rgb="FF010000"/>
      </top>
      <bottom/>
      <diagonal/>
    </border>
    <border>
      <left style="thin">
        <color rgb="FF010000"/>
      </left>
      <right style="thin">
        <color indexed="64"/>
      </right>
      <top style="thin">
        <color indexed="64"/>
      </top>
      <bottom style="thin">
        <color indexed="64"/>
      </bottom>
      <diagonal/>
    </border>
    <border>
      <left style="thin">
        <color indexed="64"/>
      </left>
      <right style="thin">
        <color indexed="8"/>
      </right>
      <top style="thin">
        <color indexed="64"/>
      </top>
      <bottom/>
      <diagonal/>
    </border>
    <border>
      <left style="thin">
        <color indexed="64"/>
      </left>
      <right style="thin">
        <color indexed="8"/>
      </right>
      <top style="thin">
        <color indexed="8"/>
      </top>
      <bottom/>
      <diagonal/>
    </border>
    <border>
      <left style="thin">
        <color indexed="64"/>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n">
        <color indexed="8"/>
      </left>
      <right style="thin">
        <color indexed="8"/>
      </right>
      <top style="thin">
        <color indexed="8"/>
      </top>
      <bottom/>
      <diagonal/>
    </border>
    <border>
      <left style="thin">
        <color indexed="8"/>
      </left>
      <right style="thin">
        <color indexed="64"/>
      </right>
      <top style="thin">
        <color indexed="64"/>
      </top>
      <bottom/>
      <diagonal/>
    </border>
    <border>
      <left style="thin">
        <color rgb="FF010000"/>
      </left>
      <right style="thin">
        <color indexed="64"/>
      </right>
      <top style="thin">
        <color indexed="64"/>
      </top>
      <bottom/>
      <diagonal/>
    </border>
    <border>
      <left style="thin">
        <color rgb="FF010000"/>
      </left>
      <right style="thin">
        <color indexed="64"/>
      </right>
      <top style="thin">
        <color rgb="FF010000"/>
      </top>
      <bottom/>
      <diagonal/>
    </border>
    <border>
      <left style="thin">
        <color indexed="64"/>
      </left>
      <right style="thin">
        <color indexed="8"/>
      </right>
      <top style="thin">
        <color indexed="8"/>
      </top>
      <bottom style="thin">
        <color indexed="64"/>
      </bottom>
      <diagonal/>
    </border>
    <border>
      <left style="thin">
        <color rgb="FF010000"/>
      </left>
      <right style="thin">
        <color indexed="64"/>
      </right>
      <top style="thin">
        <color rgb="FF010000"/>
      </top>
      <bottom style="thin">
        <color indexed="64"/>
      </bottom>
      <diagonal/>
    </border>
    <border>
      <left style="thin">
        <color indexed="64"/>
      </left>
      <right style="thin">
        <color indexed="8"/>
      </right>
      <top style="thin">
        <color indexed="64"/>
      </top>
      <bottom/>
      <diagonal/>
    </border>
    <border>
      <left style="thin">
        <color indexed="8"/>
      </left>
      <right style="thin">
        <color indexed="64"/>
      </right>
      <top style="thin">
        <color indexed="64"/>
      </top>
      <bottom/>
      <diagonal/>
    </border>
    <border>
      <left/>
      <right/>
      <top style="thin">
        <color indexed="8"/>
      </top>
      <bottom/>
      <diagonal/>
    </border>
    <border>
      <left style="thin">
        <color indexed="64"/>
      </left>
      <right style="thin">
        <color indexed="64"/>
      </right>
      <top style="thin">
        <color indexed="8"/>
      </top>
      <bottom/>
      <diagonal/>
    </border>
    <border>
      <left style="thin">
        <color indexed="64"/>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right style="thin">
        <color indexed="8"/>
      </right>
      <top style="thin">
        <color indexed="8"/>
      </top>
      <bottom/>
      <diagonal/>
    </border>
    <border>
      <left/>
      <right/>
      <top style="thin">
        <color auto="1"/>
      </top>
      <bottom style="thin">
        <color indexed="64"/>
      </bottom>
      <diagonal/>
    </border>
    <border>
      <left/>
      <right style="thin">
        <color indexed="8"/>
      </right>
      <top style="thin">
        <color indexed="64"/>
      </top>
      <bottom/>
      <diagonal/>
    </border>
    <border>
      <left style="thin">
        <color indexed="8"/>
      </left>
      <right style="thin">
        <color indexed="8"/>
      </right>
      <top style="thin">
        <color indexed="64"/>
      </top>
      <bottom/>
      <diagonal/>
    </border>
    <border>
      <left style="thin">
        <color indexed="8"/>
      </left>
      <right/>
      <top style="thin">
        <color indexed="64"/>
      </top>
      <bottom/>
      <diagonal/>
    </border>
    <border>
      <left style="thin">
        <color indexed="8"/>
      </left>
      <right style="thin">
        <color indexed="8"/>
      </right>
      <top style="thin">
        <color indexed="8"/>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8"/>
      </left>
      <right/>
      <top style="thin">
        <color indexed="8"/>
      </top>
      <bottom/>
      <diagonal/>
    </border>
    <border>
      <left/>
      <right style="thin">
        <color indexed="64"/>
      </right>
      <top style="thin">
        <color indexed="8"/>
      </top>
      <bottom style="thin">
        <color indexed="8"/>
      </bottom>
      <diagonal/>
    </border>
    <border>
      <left style="thin">
        <color indexed="64"/>
      </left>
      <right/>
      <top style="thin">
        <color indexed="64"/>
      </top>
      <bottom/>
      <diagonal/>
    </border>
    <border>
      <left style="thin">
        <color indexed="64"/>
      </left>
      <right/>
      <top style="thin">
        <color indexed="8"/>
      </top>
      <bottom/>
      <diagonal/>
    </border>
    <border>
      <left/>
      <right style="thin">
        <color indexed="64"/>
      </right>
      <top style="thin">
        <color indexed="64"/>
      </top>
      <bottom/>
      <diagonal/>
    </border>
    <border>
      <left/>
      <right style="thin">
        <color indexed="64"/>
      </right>
      <top style="thin">
        <color rgb="FF010000"/>
      </top>
      <bottom/>
      <diagonal/>
    </border>
    <border>
      <left/>
      <right style="thin">
        <color indexed="64"/>
      </right>
      <top style="thin">
        <color rgb="FF010000"/>
      </top>
      <bottom style="thin">
        <color indexed="64"/>
      </bottom>
      <diagonal/>
    </border>
    <border>
      <left style="medium">
        <color indexed="64"/>
      </left>
      <right/>
      <top style="thin">
        <color indexed="8"/>
      </top>
      <bottom/>
      <diagonal/>
    </border>
    <border>
      <left/>
      <right style="medium">
        <color indexed="64"/>
      </right>
      <top style="thin">
        <color indexed="8"/>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8"/>
      </left>
      <right style="thin">
        <color indexed="8"/>
      </right>
      <top style="thin">
        <color indexed="8"/>
      </top>
      <bottom style="thin">
        <color indexed="8"/>
      </bottom>
      <diagonal/>
    </border>
    <border>
      <left style="thin">
        <color auto="1"/>
      </left>
      <right/>
      <top/>
      <bottom style="medium">
        <color auto="1"/>
      </bottom>
      <diagonal/>
    </border>
    <border>
      <left/>
      <right/>
      <top style="thin">
        <color indexed="64"/>
      </top>
      <bottom style="thin">
        <color indexed="8"/>
      </bottom>
      <diagonal/>
    </border>
    <border>
      <left/>
      <right/>
      <top style="thin">
        <color indexed="8"/>
      </top>
      <bottom style="thin">
        <color indexed="8"/>
      </bottom>
      <diagonal/>
    </border>
    <border>
      <left style="thin">
        <color rgb="FF010000"/>
      </left>
      <right/>
      <top style="thin">
        <color indexed="64"/>
      </top>
      <bottom style="thin">
        <color indexed="64"/>
      </bottom>
      <diagonal/>
    </border>
    <border>
      <left/>
      <right style="thin">
        <color rgb="FF010000"/>
      </right>
      <top/>
      <bottom/>
      <diagonal/>
    </border>
    <border>
      <left style="thin">
        <color indexed="8"/>
      </left>
      <right/>
      <top/>
      <bottom style="thin">
        <color auto="1"/>
      </bottom>
      <diagonal/>
    </border>
    <border>
      <left style="thin">
        <color indexed="8"/>
      </left>
      <right style="thin">
        <color indexed="8"/>
      </right>
      <top/>
      <bottom style="thin">
        <color indexed="8"/>
      </bottom>
      <diagonal/>
    </border>
    <border>
      <left/>
      <right style="thin">
        <color rgb="FF010000"/>
      </right>
      <top style="thin">
        <color indexed="8"/>
      </top>
      <bottom/>
      <diagonal/>
    </border>
    <border>
      <left style="thin">
        <color indexed="8"/>
      </left>
      <right style="thin">
        <color indexed="8"/>
      </right>
      <top style="thin">
        <color indexed="8"/>
      </top>
      <bottom/>
      <diagonal/>
    </border>
    <border>
      <left style="thin">
        <color rgb="FF010000"/>
      </left>
      <right style="thin">
        <color rgb="FF010000"/>
      </right>
      <top style="thin">
        <color indexed="8"/>
      </top>
      <bottom/>
      <diagonal/>
    </border>
    <border>
      <left style="thin">
        <color indexed="64"/>
      </left>
      <right/>
      <top style="thin">
        <color indexed="8"/>
      </top>
      <bottom style="thin">
        <color indexed="8"/>
      </bottom>
      <diagonal/>
    </border>
    <border>
      <left style="thin">
        <color indexed="64"/>
      </left>
      <right/>
      <top/>
      <bottom style="thin">
        <color indexed="8"/>
      </bottom>
      <diagonal/>
    </border>
    <border>
      <left/>
      <right/>
      <top/>
      <bottom style="thin">
        <color indexed="8"/>
      </bottom>
      <diagonal/>
    </border>
    <border>
      <left style="thin">
        <color indexed="8"/>
      </left>
      <right style="thin">
        <color auto="1"/>
      </right>
      <top style="thin">
        <color indexed="8"/>
      </top>
      <bottom style="thin">
        <color indexed="64"/>
      </bottom>
      <diagonal/>
    </border>
    <border>
      <left style="thin">
        <color indexed="8"/>
      </left>
      <right style="thin">
        <color auto="1"/>
      </right>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s>
  <cellStyleXfs count="6">
    <xf numFmtId="0" fontId="0" fillId="0" borderId="0"/>
    <xf numFmtId="0" fontId="9" fillId="0" borderId="0"/>
    <xf numFmtId="9" fontId="9" fillId="0" borderId="0"/>
    <xf numFmtId="0" fontId="5" fillId="0" borderId="0">
      <alignment vertical="top"/>
      <protection locked="0"/>
    </xf>
    <xf numFmtId="0" fontId="7" fillId="0" borderId="0"/>
    <xf numFmtId="0" fontId="9" fillId="0" borderId="0"/>
  </cellStyleXfs>
  <cellXfs count="643">
    <xf numFmtId="0" fontId="0" fillId="0" borderId="0" xfId="0"/>
    <xf numFmtId="0" fontId="0" fillId="0" borderId="0" xfId="0" applyAlignment="1">
      <alignment horizontal="center"/>
    </xf>
    <xf numFmtId="0" fontId="2" fillId="0" borderId="0" xfId="0" applyFont="1" applyAlignment="1">
      <alignment horizontal="center"/>
    </xf>
    <xf numFmtId="0" fontId="2" fillId="0" borderId="0" xfId="0" applyFont="1"/>
    <xf numFmtId="0" fontId="2" fillId="0" borderId="20" xfId="0" applyFont="1" applyBorder="1"/>
    <xf numFmtId="0" fontId="1" fillId="0" borderId="20" xfId="0" applyFont="1" applyBorder="1"/>
    <xf numFmtId="0" fontId="0" fillId="0" borderId="20" xfId="0" applyBorder="1" applyAlignment="1">
      <alignment horizontal="center" vertical="center"/>
    </xf>
    <xf numFmtId="0" fontId="1" fillId="0" borderId="20" xfId="0" applyFont="1" applyBorder="1" applyAlignment="1">
      <alignment horizontal="center" vertical="center"/>
    </xf>
    <xf numFmtId="0" fontId="0" fillId="0" borderId="20" xfId="0" applyBorder="1" applyAlignment="1">
      <alignment horizontal="center"/>
    </xf>
    <xf numFmtId="0" fontId="4" fillId="5" borderId="0" xfId="1" applyFont="1" applyFill="1" applyAlignment="1">
      <alignment horizontal="left" vertical="top"/>
    </xf>
    <xf numFmtId="0" fontId="3" fillId="5" borderId="0" xfId="1" applyFont="1" applyFill="1"/>
    <xf numFmtId="0" fontId="0" fillId="9" borderId="0" xfId="0" applyFill="1" applyAlignment="1">
      <alignment horizontal="center"/>
    </xf>
    <xf numFmtId="0" fontId="0" fillId="7" borderId="0" xfId="0" applyFill="1" applyAlignment="1">
      <alignment horizontal="center"/>
    </xf>
    <xf numFmtId="0" fontId="0" fillId="10" borderId="0" xfId="0" applyFill="1" applyAlignment="1">
      <alignment horizontal="center"/>
    </xf>
    <xf numFmtId="0" fontId="0" fillId="11"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center"/>
    </xf>
    <xf numFmtId="0" fontId="0" fillId="15" borderId="0" xfId="0" applyFill="1" applyAlignment="1">
      <alignment horizontal="center"/>
    </xf>
    <xf numFmtId="0" fontId="1" fillId="0" borderId="0" xfId="0" applyFont="1"/>
    <xf numFmtId="0" fontId="8" fillId="0" borderId="0" xfId="0" applyFont="1"/>
    <xf numFmtId="0" fontId="0" fillId="0" borderId="0" xfId="0" applyAlignment="1">
      <alignment horizontal="center" vertical="center"/>
    </xf>
    <xf numFmtId="0" fontId="10" fillId="0" borderId="0" xfId="0" applyFont="1" applyAlignment="1">
      <alignment horizontal="center"/>
    </xf>
    <xf numFmtId="0" fontId="10" fillId="0" borderId="0" xfId="0" applyFont="1"/>
    <xf numFmtId="0" fontId="10" fillId="0" borderId="0" xfId="0" applyFont="1" applyAlignment="1">
      <alignment horizontal="center" vertical="center"/>
    </xf>
    <xf numFmtId="0" fontId="10" fillId="0" borderId="0" xfId="0" applyFont="1" applyAlignment="1">
      <alignment wrapText="1"/>
    </xf>
    <xf numFmtId="0" fontId="11" fillId="0" borderId="0" xfId="0" applyFont="1" applyAlignment="1">
      <alignment horizontal="center"/>
    </xf>
    <xf numFmtId="0" fontId="14" fillId="6" borderId="0" xfId="1" applyFont="1" applyFill="1" applyAlignment="1">
      <alignment horizontal="left" vertical="top"/>
    </xf>
    <xf numFmtId="0" fontId="14" fillId="6" borderId="0" xfId="1" applyFont="1" applyFill="1"/>
    <xf numFmtId="0" fontId="15" fillId="6" borderId="0" xfId="1" applyFont="1" applyFill="1" applyAlignment="1">
      <alignment horizontal="left" vertical="top"/>
    </xf>
    <xf numFmtId="0" fontId="15" fillId="6" borderId="0" xfId="1" applyFont="1" applyFill="1"/>
    <xf numFmtId="0" fontId="15" fillId="6" borderId="0" xfId="1" quotePrefix="1" applyFont="1" applyFill="1" applyAlignment="1">
      <alignment horizontal="left" vertical="top"/>
    </xf>
    <xf numFmtId="0" fontId="15" fillId="6" borderId="0" xfId="1" applyFont="1" applyFill="1" applyAlignment="1">
      <alignment horizontal="left" vertical="top" wrapText="1"/>
    </xf>
    <xf numFmtId="0" fontId="13" fillId="6" borderId="0" xfId="1" applyFont="1" applyFill="1" applyAlignment="1">
      <alignment horizontal="left" vertical="top"/>
    </xf>
    <xf numFmtId="0" fontId="13" fillId="6" borderId="0" xfId="1" applyFont="1" applyFill="1" applyAlignment="1">
      <alignment horizontal="left" vertical="top" wrapText="1"/>
    </xf>
    <xf numFmtId="0" fontId="13" fillId="6" borderId="0" xfId="1" applyFont="1" applyFill="1"/>
    <xf numFmtId="0" fontId="16" fillId="6" borderId="0" xfId="0" applyFont="1" applyFill="1" applyAlignment="1">
      <alignment horizontal="left" vertical="top"/>
    </xf>
    <xf numFmtId="49" fontId="10" fillId="0" borderId="0" xfId="0" applyNumberFormat="1" applyFont="1"/>
    <xf numFmtId="15" fontId="10" fillId="0" borderId="0" xfId="0" applyNumberFormat="1" applyFont="1" applyAlignment="1">
      <alignment horizontal="center"/>
    </xf>
    <xf numFmtId="2" fontId="10" fillId="0" borderId="0" xfId="0" applyNumberFormat="1" applyFont="1" applyAlignment="1">
      <alignment horizontal="center"/>
    </xf>
    <xf numFmtId="0" fontId="10" fillId="0" borderId="0" xfId="1" applyFont="1"/>
    <xf numFmtId="0" fontId="17" fillId="0" borderId="0" xfId="1" applyFont="1"/>
    <xf numFmtId="0" fontId="18" fillId="0" borderId="0" xfId="1" applyFont="1"/>
    <xf numFmtId="14" fontId="18" fillId="0" borderId="0" xfId="1" applyNumberFormat="1" applyFont="1" applyAlignment="1">
      <alignment horizontal="left"/>
    </xf>
    <xf numFmtId="0" fontId="18" fillId="14" borderId="0" xfId="1" applyFont="1" applyFill="1"/>
    <xf numFmtId="0" fontId="18" fillId="0" borderId="0" xfId="1" applyFont="1" applyAlignment="1">
      <alignment horizontal="center"/>
    </xf>
    <xf numFmtId="0" fontId="18" fillId="14" borderId="18" xfId="1" applyFont="1" applyFill="1" applyBorder="1"/>
    <xf numFmtId="0" fontId="11" fillId="0" borderId="42" xfId="1" applyFont="1" applyBorder="1"/>
    <xf numFmtId="0" fontId="11" fillId="0" borderId="42" xfId="1" applyFont="1" applyBorder="1" applyAlignment="1">
      <alignment horizontal="center"/>
    </xf>
    <xf numFmtId="0" fontId="13" fillId="0" borderId="42" xfId="1" applyFont="1" applyBorder="1" applyAlignment="1">
      <alignment horizontal="center"/>
    </xf>
    <xf numFmtId="0" fontId="15" fillId="0" borderId="42" xfId="1" applyFont="1" applyBorder="1" applyAlignment="1">
      <alignment horizontal="center"/>
    </xf>
    <xf numFmtId="0" fontId="10" fillId="0" borderId="0" xfId="1" applyFont="1" applyAlignment="1">
      <alignment horizontal="center"/>
    </xf>
    <xf numFmtId="0" fontId="10" fillId="14" borderId="0" xfId="1" applyFont="1" applyFill="1" applyAlignment="1">
      <alignment horizontal="center"/>
    </xf>
    <xf numFmtId="0" fontId="10" fillId="14" borderId="0" xfId="1" applyFont="1" applyFill="1"/>
    <xf numFmtId="0" fontId="19" fillId="0" borderId="43" xfId="1" applyFont="1" applyBorder="1"/>
    <xf numFmtId="2" fontId="12" fillId="0" borderId="45" xfId="0" applyNumberFormat="1" applyFont="1" applyBorder="1" applyAlignment="1">
      <alignment horizontal="center" wrapText="1"/>
    </xf>
    <xf numFmtId="2" fontId="10" fillId="0" borderId="43" xfId="1" applyNumberFormat="1" applyFont="1" applyBorder="1" applyAlignment="1" applyProtection="1">
      <alignment horizontal="center"/>
      <protection locked="0"/>
    </xf>
    <xf numFmtId="0" fontId="15" fillId="0" borderId="0" xfId="1" applyFont="1" applyAlignment="1">
      <alignment horizontal="center"/>
    </xf>
    <xf numFmtId="0" fontId="15" fillId="0" borderId="43" xfId="1" applyFont="1" applyBorder="1" applyAlignment="1">
      <alignment horizontal="center"/>
    </xf>
    <xf numFmtId="2" fontId="10" fillId="0" borderId="0" xfId="1" applyNumberFormat="1" applyFont="1" applyAlignment="1">
      <alignment horizontal="center"/>
    </xf>
    <xf numFmtId="2" fontId="10" fillId="0" borderId="0" xfId="1" applyNumberFormat="1" applyFont="1"/>
    <xf numFmtId="0" fontId="19" fillId="0" borderId="0" xfId="1" applyFont="1"/>
    <xf numFmtId="2" fontId="10" fillId="0" borderId="0" xfId="1" applyNumberFormat="1" applyFont="1" applyAlignment="1" applyProtection="1">
      <alignment horizontal="center"/>
      <protection locked="0"/>
    </xf>
    <xf numFmtId="0" fontId="19" fillId="0" borderId="40" xfId="1" applyFont="1" applyBorder="1"/>
    <xf numFmtId="2" fontId="12" fillId="0" borderId="46" xfId="0" applyNumberFormat="1" applyFont="1" applyBorder="1" applyAlignment="1">
      <alignment horizontal="center" wrapText="1"/>
    </xf>
    <xf numFmtId="0" fontId="15" fillId="0" borderId="40" xfId="1" applyFont="1" applyBorder="1" applyAlignment="1">
      <alignment horizontal="center"/>
    </xf>
    <xf numFmtId="0" fontId="20" fillId="0" borderId="44" xfId="1" applyFont="1" applyBorder="1"/>
    <xf numFmtId="2" fontId="10" fillId="0" borderId="75" xfId="1" applyNumberFormat="1" applyFont="1" applyBorder="1" applyAlignment="1" applyProtection="1">
      <alignment horizontal="center"/>
      <protection locked="0"/>
    </xf>
    <xf numFmtId="0" fontId="15" fillId="0" borderId="44" xfId="1" applyFont="1" applyBorder="1" applyAlignment="1">
      <alignment horizontal="center"/>
    </xf>
    <xf numFmtId="0" fontId="20" fillId="0" borderId="0" xfId="1" applyFont="1"/>
    <xf numFmtId="0" fontId="20" fillId="0" borderId="40" xfId="1" applyFont="1" applyBorder="1"/>
    <xf numFmtId="0" fontId="21" fillId="0" borderId="0" xfId="1" applyFont="1"/>
    <xf numFmtId="2" fontId="10" fillId="0" borderId="76" xfId="1" applyNumberFormat="1" applyFont="1" applyBorder="1" applyAlignment="1" applyProtection="1">
      <alignment horizontal="center"/>
      <protection locked="0"/>
    </xf>
    <xf numFmtId="0" fontId="22" fillId="0" borderId="44" xfId="1" applyFont="1" applyBorder="1"/>
    <xf numFmtId="0" fontId="22" fillId="0" borderId="0" xfId="1" applyFont="1"/>
    <xf numFmtId="0" fontId="22" fillId="0" borderId="40" xfId="1" applyFont="1" applyBorder="1"/>
    <xf numFmtId="0" fontId="23" fillId="0" borderId="44" xfId="1" applyFont="1" applyBorder="1"/>
    <xf numFmtId="0" fontId="23" fillId="0" borderId="0" xfId="1" applyFont="1"/>
    <xf numFmtId="0" fontId="23" fillId="0" borderId="18" xfId="1" applyFont="1" applyBorder="1"/>
    <xf numFmtId="2" fontId="12" fillId="0" borderId="47" xfId="0" applyNumberFormat="1" applyFont="1" applyBorder="1" applyAlignment="1">
      <alignment horizontal="center" wrapText="1"/>
    </xf>
    <xf numFmtId="0" fontId="15" fillId="0" borderId="18" xfId="1" applyFont="1" applyBorder="1" applyAlignment="1">
      <alignment horizontal="center"/>
    </xf>
    <xf numFmtId="0" fontId="24" fillId="0" borderId="0" xfId="1" applyFont="1" applyAlignment="1">
      <alignment horizontal="right"/>
    </xf>
    <xf numFmtId="9" fontId="10" fillId="0" borderId="0" xfId="2" applyFont="1"/>
    <xf numFmtId="9" fontId="10" fillId="0" borderId="0" xfId="2" applyFont="1" applyAlignment="1">
      <alignment horizontal="center"/>
    </xf>
    <xf numFmtId="0" fontId="10" fillId="0" borderId="43" xfId="1" applyFont="1" applyBorder="1"/>
    <xf numFmtId="0" fontId="10" fillId="0" borderId="43" xfId="1" applyFont="1" applyBorder="1" applyAlignment="1">
      <alignment horizontal="center"/>
    </xf>
    <xf numFmtId="0" fontId="10" fillId="0" borderId="18" xfId="1" applyFont="1" applyBorder="1"/>
    <xf numFmtId="0" fontId="10" fillId="0" borderId="18" xfId="1" applyFont="1" applyBorder="1" applyAlignment="1">
      <alignment horizontal="center"/>
    </xf>
    <xf numFmtId="0" fontId="25" fillId="0" borderId="0" xfId="0" applyFont="1" applyAlignment="1">
      <alignment horizontal="center" vertical="center"/>
    </xf>
    <xf numFmtId="0" fontId="26" fillId="0" borderId="0" xfId="0" applyFont="1" applyAlignment="1">
      <alignment horizontal="center" vertical="center" wrapText="1"/>
    </xf>
    <xf numFmtId="0" fontId="25" fillId="0" borderId="0" xfId="0" applyFont="1" applyAlignment="1">
      <alignment vertical="center"/>
    </xf>
    <xf numFmtId="0" fontId="25" fillId="0" borderId="0" xfId="0" applyFont="1" applyAlignment="1">
      <alignment vertical="center" wrapText="1"/>
    </xf>
    <xf numFmtId="0" fontId="25" fillId="0" borderId="0" xfId="0" applyFont="1" applyAlignment="1">
      <alignment horizontal="center" vertical="center" wrapText="1"/>
    </xf>
    <xf numFmtId="0" fontId="27" fillId="0" borderId="0" xfId="0" applyFont="1" applyAlignment="1">
      <alignment horizontal="center" vertical="center"/>
    </xf>
    <xf numFmtId="164" fontId="25" fillId="0" borderId="0" xfId="0" applyNumberFormat="1" applyFont="1" applyAlignment="1">
      <alignment horizontal="center" vertical="center"/>
    </xf>
    <xf numFmtId="0" fontId="26" fillId="0" borderId="0" xfId="0" applyFont="1" applyAlignment="1">
      <alignment horizontal="left" vertical="center" wrapText="1"/>
    </xf>
    <xf numFmtId="0" fontId="28" fillId="0" borderId="0" xfId="0" applyFont="1" applyAlignment="1">
      <alignment vertical="center" wrapText="1"/>
    </xf>
    <xf numFmtId="0" fontId="28" fillId="0" borderId="0" xfId="0" applyFont="1" applyAlignment="1">
      <alignment horizontal="center" vertical="center" wrapText="1"/>
    </xf>
    <xf numFmtId="164" fontId="28" fillId="0" borderId="0" xfId="0" applyNumberFormat="1" applyFont="1" applyAlignment="1">
      <alignment horizontal="center" vertical="center" wrapText="1"/>
    </xf>
    <xf numFmtId="0" fontId="28" fillId="0" borderId="0" xfId="0" applyFont="1" applyAlignment="1">
      <alignment vertical="center"/>
    </xf>
    <xf numFmtId="0" fontId="28" fillId="0" borderId="22" xfId="0" applyFont="1" applyBorder="1" applyAlignment="1">
      <alignment vertical="center" wrapText="1"/>
    </xf>
    <xf numFmtId="0" fontId="28" fillId="0" borderId="24" xfId="0" applyFont="1" applyBorder="1" applyAlignment="1">
      <alignment vertical="center" wrapText="1"/>
    </xf>
    <xf numFmtId="15" fontId="28" fillId="0" borderId="24" xfId="0" applyNumberFormat="1" applyFont="1" applyBorder="1" applyAlignment="1">
      <alignment horizontal="left" vertical="center" wrapText="1"/>
    </xf>
    <xf numFmtId="15" fontId="28" fillId="0" borderId="0" xfId="0" applyNumberFormat="1" applyFont="1" applyAlignment="1">
      <alignment horizontal="center" vertical="center" wrapText="1"/>
    </xf>
    <xf numFmtId="0" fontId="27" fillId="0" borderId="0" xfId="0" applyFont="1" applyAlignment="1">
      <alignment vertical="center"/>
    </xf>
    <xf numFmtId="0" fontId="28" fillId="0" borderId="26" xfId="0" applyFont="1" applyBorder="1" applyAlignment="1">
      <alignment vertical="center" wrapText="1"/>
    </xf>
    <xf numFmtId="0" fontId="30" fillId="19" borderId="11" xfId="0" applyFont="1" applyFill="1" applyBorder="1" applyAlignment="1">
      <alignment vertical="center" wrapText="1"/>
    </xf>
    <xf numFmtId="0" fontId="30" fillId="19" borderId="11" xfId="0" applyFont="1" applyFill="1" applyBorder="1" applyAlignment="1">
      <alignment horizontal="center" vertical="center" wrapText="1"/>
    </xf>
    <xf numFmtId="0" fontId="30" fillId="19" borderId="12" xfId="0" applyFont="1" applyFill="1" applyBorder="1" applyAlignment="1">
      <alignment horizontal="center" vertical="center" wrapText="1"/>
    </xf>
    <xf numFmtId="0" fontId="30" fillId="19" borderId="2" xfId="0" applyFont="1" applyFill="1" applyBorder="1" applyAlignment="1">
      <alignment horizontal="center" vertical="center" wrapText="1"/>
    </xf>
    <xf numFmtId="164" fontId="26" fillId="7" borderId="2" xfId="0" applyNumberFormat="1" applyFont="1" applyFill="1" applyBorder="1" applyAlignment="1">
      <alignment horizontal="center" vertical="center" wrapText="1"/>
    </xf>
    <xf numFmtId="0" fontId="30" fillId="19" borderId="2" xfId="0" applyFont="1" applyFill="1" applyBorder="1" applyAlignment="1">
      <alignment horizontal="center" vertical="center"/>
    </xf>
    <xf numFmtId="0" fontId="30" fillId="19" borderId="56" xfId="0" applyFont="1" applyFill="1" applyBorder="1" applyAlignment="1">
      <alignment horizontal="center" vertical="center" wrapText="1"/>
    </xf>
    <xf numFmtId="0" fontId="26" fillId="0" borderId="14" xfId="0" applyFont="1" applyBorder="1" applyAlignment="1">
      <alignment vertical="center" wrapText="1"/>
    </xf>
    <xf numFmtId="0" fontId="26" fillId="0" borderId="14" xfId="0" applyFont="1" applyBorder="1" applyAlignment="1">
      <alignment horizontal="center" vertical="center" wrapText="1"/>
    </xf>
    <xf numFmtId="0" fontId="26" fillId="0" borderId="4" xfId="0" applyFont="1" applyBorder="1" applyAlignment="1">
      <alignment horizontal="center" vertical="center" wrapText="1"/>
    </xf>
    <xf numFmtId="164" fontId="28" fillId="0" borderId="4" xfId="0" applyNumberFormat="1" applyFont="1" applyBorder="1" applyAlignment="1">
      <alignment horizontal="center" vertical="center"/>
    </xf>
    <xf numFmtId="0" fontId="28" fillId="3" borderId="49" xfId="0" applyFont="1" applyFill="1" applyBorder="1" applyAlignment="1">
      <alignment horizontal="center" vertical="center" wrapText="1"/>
    </xf>
    <xf numFmtId="164" fontId="28" fillId="3" borderId="51" xfId="0" applyNumberFormat="1" applyFont="1" applyFill="1" applyBorder="1" applyAlignment="1">
      <alignment horizontal="center" vertical="center"/>
    </xf>
    <xf numFmtId="0" fontId="26" fillId="0" borderId="6" xfId="0" applyFont="1" applyBorder="1" applyAlignment="1">
      <alignment horizontal="center" vertical="center" wrapText="1"/>
    </xf>
    <xf numFmtId="0" fontId="28" fillId="0" borderId="6" xfId="0" applyFont="1" applyBorder="1" applyAlignment="1">
      <alignment horizontal="center" vertical="center"/>
    </xf>
    <xf numFmtId="164" fontId="28" fillId="0" borderId="6" xfId="0" applyNumberFormat="1" applyFont="1" applyBorder="1" applyAlignment="1">
      <alignment horizontal="center" vertical="center" wrapText="1"/>
    </xf>
    <xf numFmtId="0" fontId="26" fillId="0" borderId="3" xfId="0" applyFont="1" applyBorder="1" applyAlignment="1">
      <alignment horizontal="left" vertical="center" wrapText="1"/>
    </xf>
    <xf numFmtId="164" fontId="28" fillId="3" borderId="51" xfId="0" applyNumberFormat="1" applyFont="1" applyFill="1" applyBorder="1" applyAlignment="1">
      <alignment horizontal="center" vertical="center" wrapText="1"/>
    </xf>
    <xf numFmtId="0" fontId="28" fillId="4" borderId="10" xfId="0" applyFont="1" applyFill="1" applyBorder="1" applyAlignment="1">
      <alignment vertical="center" wrapText="1"/>
    </xf>
    <xf numFmtId="0" fontId="28" fillId="4" borderId="38" xfId="0" applyFont="1" applyFill="1" applyBorder="1" applyAlignment="1">
      <alignment vertical="center" wrapText="1"/>
    </xf>
    <xf numFmtId="0" fontId="28" fillId="4" borderId="1" xfId="0" applyFont="1" applyFill="1" applyBorder="1" applyAlignment="1">
      <alignment vertical="center" wrapText="1"/>
    </xf>
    <xf numFmtId="0" fontId="28" fillId="4" borderId="9" xfId="0" applyFont="1" applyFill="1" applyBorder="1" applyAlignment="1">
      <alignment vertical="center" wrapText="1"/>
    </xf>
    <xf numFmtId="164" fontId="32" fillId="0" borderId="57" xfId="0" applyNumberFormat="1" applyFont="1" applyBorder="1" applyAlignment="1">
      <alignment horizontal="center" vertical="center"/>
    </xf>
    <xf numFmtId="0" fontId="26" fillId="7" borderId="9" xfId="0" applyFont="1" applyFill="1" applyBorder="1" applyAlignment="1">
      <alignment horizontal="center" vertical="center" wrapText="1"/>
    </xf>
    <xf numFmtId="0" fontId="26" fillId="7" borderId="8" xfId="0" applyFont="1" applyFill="1" applyBorder="1" applyAlignment="1">
      <alignment horizontal="center" vertical="center" wrapText="1"/>
    </xf>
    <xf numFmtId="164" fontId="26" fillId="7" borderId="8" xfId="0" applyNumberFormat="1" applyFont="1" applyFill="1" applyBorder="1" applyAlignment="1">
      <alignment horizontal="center" vertical="center" wrapText="1"/>
    </xf>
    <xf numFmtId="0" fontId="26" fillId="0" borderId="7" xfId="0" applyFont="1" applyBorder="1" applyAlignment="1">
      <alignment vertical="center" wrapText="1"/>
    </xf>
    <xf numFmtId="0" fontId="28" fillId="4" borderId="37" xfId="0" applyFont="1" applyFill="1" applyBorder="1" applyAlignment="1">
      <alignment vertical="center" wrapText="1"/>
    </xf>
    <xf numFmtId="0" fontId="28" fillId="4" borderId="39" xfId="0" applyFont="1" applyFill="1" applyBorder="1" applyAlignment="1">
      <alignment vertical="center" wrapText="1"/>
    </xf>
    <xf numFmtId="0" fontId="26" fillId="0" borderId="92" xfId="0" applyFont="1" applyBorder="1" applyAlignment="1">
      <alignment horizontal="center" vertical="center" wrapText="1"/>
    </xf>
    <xf numFmtId="0" fontId="28" fillId="0" borderId="91" xfId="0" applyFont="1" applyBorder="1" applyAlignment="1">
      <alignment horizontal="center" vertical="center"/>
    </xf>
    <xf numFmtId="164" fontId="32" fillId="0" borderId="100" xfId="0" applyNumberFormat="1" applyFont="1" applyBorder="1" applyAlignment="1">
      <alignment horizontal="center" vertical="center"/>
    </xf>
    <xf numFmtId="0" fontId="28" fillId="3" borderId="35" xfId="0" applyFont="1" applyFill="1" applyBorder="1" applyAlignment="1">
      <alignment horizontal="center" vertical="center" wrapText="1"/>
    </xf>
    <xf numFmtId="164" fontId="28" fillId="3" borderId="36" xfId="0" applyNumberFormat="1" applyFont="1" applyFill="1" applyBorder="1" applyAlignment="1">
      <alignment horizontal="center" vertical="center" wrapText="1"/>
    </xf>
    <xf numFmtId="164" fontId="32" fillId="16" borderId="59" xfId="0" applyNumberFormat="1" applyFont="1" applyFill="1" applyBorder="1" applyAlignment="1">
      <alignment horizontal="center" vertical="center"/>
    </xf>
    <xf numFmtId="164" fontId="32" fillId="0" borderId="58" xfId="0" applyNumberFormat="1" applyFont="1" applyBorder="1" applyAlignment="1">
      <alignment horizontal="center" vertical="center" wrapText="1"/>
    </xf>
    <xf numFmtId="0" fontId="33" fillId="0" borderId="0" xfId="0" applyFont="1" applyAlignment="1">
      <alignment horizontal="left" vertical="center" wrapText="1"/>
    </xf>
    <xf numFmtId="164" fontId="32" fillId="16" borderId="59" xfId="0" applyNumberFormat="1" applyFont="1" applyFill="1" applyBorder="1" applyAlignment="1">
      <alignment horizontal="center" vertical="center" wrapText="1"/>
    </xf>
    <xf numFmtId="0" fontId="28" fillId="3" borderId="33" xfId="0" applyFont="1" applyFill="1" applyBorder="1" applyAlignment="1">
      <alignment horizontal="center" vertical="center" wrapText="1"/>
    </xf>
    <xf numFmtId="164" fontId="28" fillId="3" borderId="34" xfId="0" applyNumberFormat="1" applyFont="1" applyFill="1" applyBorder="1" applyAlignment="1">
      <alignment horizontal="center" vertical="center" wrapText="1"/>
    </xf>
    <xf numFmtId="0" fontId="30" fillId="24" borderId="96" xfId="0" applyFont="1" applyFill="1" applyBorder="1" applyAlignment="1">
      <alignment horizontal="center" vertical="center" wrapText="1"/>
    </xf>
    <xf numFmtId="0" fontId="30" fillId="24" borderId="95" xfId="0" applyFont="1" applyFill="1" applyBorder="1" applyAlignment="1">
      <alignment horizontal="center" vertical="center" wrapText="1"/>
    </xf>
    <xf numFmtId="164" fontId="30" fillId="24" borderId="96" xfId="0" applyNumberFormat="1" applyFont="1" applyFill="1" applyBorder="1" applyAlignment="1">
      <alignment horizontal="center" vertical="center" wrapText="1"/>
    </xf>
    <xf numFmtId="0" fontId="30" fillId="24" borderId="96" xfId="0" applyFont="1" applyFill="1" applyBorder="1" applyAlignment="1">
      <alignment horizontal="center" vertical="center"/>
    </xf>
    <xf numFmtId="0" fontId="30" fillId="24" borderId="56" xfId="0" applyFont="1" applyFill="1" applyBorder="1" applyAlignment="1">
      <alignment horizontal="center" vertical="center" wrapText="1"/>
    </xf>
    <xf numFmtId="0" fontId="26" fillId="0" borderId="52" xfId="0" applyFont="1" applyBorder="1" applyAlignment="1">
      <alignment horizontal="center" vertical="center" wrapText="1"/>
    </xf>
    <xf numFmtId="0" fontId="26" fillId="0" borderId="93" xfId="0" applyFont="1" applyBorder="1" applyAlignment="1">
      <alignment horizontal="center" vertical="center" wrapText="1"/>
    </xf>
    <xf numFmtId="0" fontId="28" fillId="0" borderId="55" xfId="0" applyFont="1" applyBorder="1" applyAlignment="1">
      <alignment horizontal="center" vertical="center"/>
    </xf>
    <xf numFmtId="0" fontId="28" fillId="4" borderId="0" xfId="0" applyFont="1" applyFill="1" applyAlignment="1">
      <alignment vertical="center" wrapText="1"/>
    </xf>
    <xf numFmtId="0" fontId="30" fillId="24" borderId="46" xfId="0" applyFont="1" applyFill="1" applyBorder="1" applyAlignment="1">
      <alignment horizontal="center" vertical="center" wrapText="1"/>
    </xf>
    <xf numFmtId="164" fontId="32" fillId="0" borderId="98" xfId="0" applyNumberFormat="1" applyFont="1" applyBorder="1" applyAlignment="1">
      <alignment horizontal="center" vertical="center"/>
    </xf>
    <xf numFmtId="164" fontId="28" fillId="3" borderId="97" xfId="0" applyNumberFormat="1" applyFont="1" applyFill="1" applyBorder="1" applyAlignment="1">
      <alignment horizontal="center" vertical="center" wrapText="1"/>
    </xf>
    <xf numFmtId="0" fontId="26" fillId="9" borderId="9" xfId="0" applyFont="1" applyFill="1" applyBorder="1" applyAlignment="1">
      <alignment horizontal="center" vertical="center" wrapText="1"/>
    </xf>
    <xf numFmtId="0" fontId="30" fillId="24" borderId="8" xfId="0" applyFont="1" applyFill="1" applyBorder="1" applyAlignment="1">
      <alignment horizontal="center" vertical="center" wrapText="1"/>
    </xf>
    <xf numFmtId="0" fontId="30" fillId="9" borderId="6" xfId="0" applyFont="1" applyFill="1" applyBorder="1" applyAlignment="1">
      <alignment horizontal="center" vertical="center" wrapText="1"/>
    </xf>
    <xf numFmtId="164" fontId="30" fillId="9" borderId="8" xfId="0" applyNumberFormat="1" applyFont="1" applyFill="1" applyBorder="1" applyAlignment="1">
      <alignment horizontal="center" vertical="center" wrapText="1"/>
    </xf>
    <xf numFmtId="0" fontId="30" fillId="24" borderId="2" xfId="0" applyFont="1" applyFill="1" applyBorder="1" applyAlignment="1">
      <alignment horizontal="center" vertical="center"/>
    </xf>
    <xf numFmtId="0" fontId="30" fillId="24" borderId="70" xfId="0" applyFont="1" applyFill="1" applyBorder="1" applyAlignment="1">
      <alignment horizontal="center" vertical="center" wrapText="1"/>
    </xf>
    <xf numFmtId="0" fontId="26" fillId="0" borderId="53" xfId="0" applyFont="1" applyBorder="1" applyAlignment="1">
      <alignment horizontal="center" vertical="center" wrapText="1"/>
    </xf>
    <xf numFmtId="0" fontId="28" fillId="4" borderId="11" xfId="0" applyFont="1" applyFill="1" applyBorder="1" applyAlignment="1">
      <alignment vertical="center" wrapText="1"/>
    </xf>
    <xf numFmtId="0" fontId="28" fillId="4" borderId="12" xfId="0" applyFont="1" applyFill="1" applyBorder="1" applyAlignment="1">
      <alignment vertical="center" wrapText="1"/>
    </xf>
    <xf numFmtId="0" fontId="28" fillId="3" borderId="6" xfId="0" applyFont="1" applyFill="1" applyBorder="1" applyAlignment="1">
      <alignment horizontal="center" vertical="center" wrapText="1"/>
    </xf>
    <xf numFmtId="0" fontId="30" fillId="26" borderId="96" xfId="0" applyFont="1" applyFill="1" applyBorder="1" applyAlignment="1">
      <alignment horizontal="center" vertical="center" wrapText="1"/>
    </xf>
    <xf numFmtId="0" fontId="30" fillId="26" borderId="95" xfId="0" applyFont="1" applyFill="1" applyBorder="1" applyAlignment="1">
      <alignment horizontal="center" vertical="center" wrapText="1"/>
    </xf>
    <xf numFmtId="0" fontId="30" fillId="26" borderId="6" xfId="0" applyFont="1" applyFill="1" applyBorder="1" applyAlignment="1">
      <alignment horizontal="center" vertical="center" wrapText="1"/>
    </xf>
    <xf numFmtId="164" fontId="30" fillId="26" borderId="96" xfId="0" applyNumberFormat="1" applyFont="1" applyFill="1" applyBorder="1" applyAlignment="1">
      <alignment horizontal="center" vertical="center" wrapText="1"/>
    </xf>
    <xf numFmtId="0" fontId="30" fillId="26" borderId="96" xfId="0" applyFont="1" applyFill="1" applyBorder="1" applyAlignment="1">
      <alignment horizontal="center" vertical="center"/>
    </xf>
    <xf numFmtId="0" fontId="30" fillId="26" borderId="56" xfId="0" applyFont="1" applyFill="1" applyBorder="1" applyAlignment="1">
      <alignment horizontal="center" vertical="center" wrapText="1"/>
    </xf>
    <xf numFmtId="0" fontId="30" fillId="26" borderId="46" xfId="0" applyFont="1" applyFill="1" applyBorder="1" applyAlignment="1">
      <alignment horizontal="center" vertical="center" wrapText="1"/>
    </xf>
    <xf numFmtId="0" fontId="28" fillId="3" borderId="91" xfId="0" applyFont="1" applyFill="1" applyBorder="1" applyAlignment="1">
      <alignment horizontal="center" vertical="center" wrapText="1"/>
    </xf>
    <xf numFmtId="0" fontId="30" fillId="26" borderId="9" xfId="0" applyFont="1" applyFill="1" applyBorder="1" applyAlignment="1">
      <alignment horizontal="center" vertical="center" wrapText="1"/>
    </xf>
    <xf numFmtId="0" fontId="30" fillId="26" borderId="8" xfId="0" applyFont="1" applyFill="1" applyBorder="1" applyAlignment="1">
      <alignment horizontal="center" vertical="center" wrapText="1"/>
    </xf>
    <xf numFmtId="164" fontId="30" fillId="26" borderId="8" xfId="0" applyNumberFormat="1" applyFont="1" applyFill="1" applyBorder="1" applyAlignment="1">
      <alignment horizontal="center" vertical="center" wrapText="1"/>
    </xf>
    <xf numFmtId="0" fontId="30" fillId="26" borderId="2" xfId="0" applyFont="1" applyFill="1" applyBorder="1" applyAlignment="1">
      <alignment horizontal="center" vertical="center"/>
    </xf>
    <xf numFmtId="0" fontId="30" fillId="26" borderId="70" xfId="0" applyFont="1" applyFill="1" applyBorder="1" applyAlignment="1">
      <alignment horizontal="center" vertical="center" wrapText="1"/>
    </xf>
    <xf numFmtId="0" fontId="26" fillId="26" borderId="9" xfId="0" applyFont="1" applyFill="1" applyBorder="1" applyAlignment="1">
      <alignment horizontal="center" vertical="center" wrapText="1"/>
    </xf>
    <xf numFmtId="0" fontId="30" fillId="27" borderId="96" xfId="0" applyFont="1" applyFill="1" applyBorder="1" applyAlignment="1">
      <alignment horizontal="center" vertical="center" wrapText="1"/>
    </xf>
    <xf numFmtId="0" fontId="30" fillId="27" borderId="95" xfId="0" applyFont="1" applyFill="1" applyBorder="1" applyAlignment="1">
      <alignment horizontal="center" vertical="center" wrapText="1"/>
    </xf>
    <xf numFmtId="164" fontId="30" fillId="27" borderId="96" xfId="0" applyNumberFormat="1" applyFont="1" applyFill="1" applyBorder="1" applyAlignment="1">
      <alignment horizontal="center" vertical="center" wrapText="1"/>
    </xf>
    <xf numFmtId="0" fontId="30" fillId="27" borderId="96" xfId="0" applyFont="1" applyFill="1" applyBorder="1" applyAlignment="1">
      <alignment horizontal="center" vertical="center"/>
    </xf>
    <xf numFmtId="0" fontId="30" fillId="27" borderId="56" xfId="0" applyFont="1" applyFill="1" applyBorder="1" applyAlignment="1">
      <alignment horizontal="center" vertical="center" wrapText="1"/>
    </xf>
    <xf numFmtId="0" fontId="30" fillId="27" borderId="70" xfId="0" applyFont="1" applyFill="1" applyBorder="1" applyAlignment="1">
      <alignment horizontal="center" vertical="center" wrapText="1"/>
    </xf>
    <xf numFmtId="0" fontId="30" fillId="27" borderId="9" xfId="0" applyFont="1" applyFill="1" applyBorder="1" applyAlignment="1">
      <alignment horizontal="center" vertical="center" wrapText="1"/>
    </xf>
    <xf numFmtId="0" fontId="30" fillId="27" borderId="8" xfId="0" applyFont="1" applyFill="1" applyBorder="1" applyAlignment="1">
      <alignment horizontal="center" vertical="center" wrapText="1"/>
    </xf>
    <xf numFmtId="164" fontId="30" fillId="27" borderId="8" xfId="0" applyNumberFormat="1" applyFont="1" applyFill="1" applyBorder="1" applyAlignment="1">
      <alignment horizontal="center" vertical="center" wrapText="1"/>
    </xf>
    <xf numFmtId="0" fontId="30" fillId="27" borderId="2" xfId="0" applyFont="1" applyFill="1" applyBorder="1" applyAlignment="1">
      <alignment horizontal="center" vertical="center"/>
    </xf>
    <xf numFmtId="0" fontId="26" fillId="0" borderId="55" xfId="0" applyFont="1" applyBorder="1" applyAlignment="1">
      <alignment horizontal="center" vertical="center" wrapText="1"/>
    </xf>
    <xf numFmtId="0" fontId="30" fillId="28" borderId="2" xfId="0" applyFont="1" applyFill="1" applyBorder="1" applyAlignment="1">
      <alignment horizontal="center" vertical="center" wrapText="1"/>
    </xf>
    <xf numFmtId="0" fontId="30" fillId="28" borderId="12" xfId="0" applyFont="1" applyFill="1" applyBorder="1" applyAlignment="1">
      <alignment horizontal="center" vertical="center" wrapText="1"/>
    </xf>
    <xf numFmtId="164" fontId="30" fillId="28" borderId="2" xfId="0" applyNumberFormat="1" applyFont="1" applyFill="1" applyBorder="1" applyAlignment="1">
      <alignment horizontal="center" vertical="center" wrapText="1"/>
    </xf>
    <xf numFmtId="0" fontId="30" fillId="28" borderId="2" xfId="0" applyFont="1" applyFill="1" applyBorder="1" applyAlignment="1">
      <alignment horizontal="center" vertical="center"/>
    </xf>
    <xf numFmtId="0" fontId="30" fillId="28" borderId="56" xfId="0" applyFont="1" applyFill="1" applyBorder="1" applyAlignment="1">
      <alignment horizontal="center" vertical="center" wrapText="1"/>
    </xf>
    <xf numFmtId="164" fontId="32" fillId="16" borderId="39" xfId="0" applyNumberFormat="1" applyFont="1" applyFill="1" applyBorder="1" applyAlignment="1">
      <alignment horizontal="center" vertical="center" wrapText="1"/>
    </xf>
    <xf numFmtId="0" fontId="30" fillId="28" borderId="70" xfId="0" applyFont="1" applyFill="1" applyBorder="1" applyAlignment="1">
      <alignment horizontal="center" vertical="center" wrapText="1"/>
    </xf>
    <xf numFmtId="0" fontId="30" fillId="28" borderId="9" xfId="0" applyFont="1" applyFill="1" applyBorder="1" applyAlignment="1">
      <alignment horizontal="center" vertical="center" wrapText="1"/>
    </xf>
    <xf numFmtId="0" fontId="30" fillId="28" borderId="8" xfId="0" applyFont="1" applyFill="1" applyBorder="1" applyAlignment="1">
      <alignment horizontal="center" vertical="center" wrapText="1"/>
    </xf>
    <xf numFmtId="164" fontId="30" fillId="28" borderId="8" xfId="0" applyNumberFormat="1" applyFont="1" applyFill="1" applyBorder="1" applyAlignment="1">
      <alignment horizontal="center" vertical="center" wrapText="1"/>
    </xf>
    <xf numFmtId="0" fontId="28" fillId="4" borderId="101" xfId="0" applyFont="1" applyFill="1" applyBorder="1" applyAlignment="1">
      <alignment vertical="center" wrapText="1"/>
    </xf>
    <xf numFmtId="0" fontId="27" fillId="0" borderId="0" xfId="0" applyFont="1" applyAlignment="1">
      <alignment horizontal="left" vertical="center"/>
    </xf>
    <xf numFmtId="0" fontId="25" fillId="0" borderId="0" xfId="0" applyFont="1"/>
    <xf numFmtId="0" fontId="28" fillId="0" borderId="0" xfId="0" applyFont="1" applyAlignment="1">
      <alignment wrapText="1"/>
    </xf>
    <xf numFmtId="0" fontId="28" fillId="0" borderId="1" xfId="0" applyFont="1" applyBorder="1" applyAlignment="1">
      <alignment wrapText="1"/>
    </xf>
    <xf numFmtId="0" fontId="28" fillId="0" borderId="5" xfId="0" applyFont="1" applyBorder="1" applyAlignment="1">
      <alignment wrapText="1"/>
    </xf>
    <xf numFmtId="0" fontId="26" fillId="0" borderId="0" xfId="0" applyFont="1" applyAlignment="1">
      <alignment horizontal="right" wrapText="1"/>
    </xf>
    <xf numFmtId="0" fontId="26" fillId="2" borderId="2" xfId="0" applyFont="1" applyFill="1" applyBorder="1" applyAlignment="1">
      <alignment horizontal="center" vertical="center" wrapText="1"/>
    </xf>
    <xf numFmtId="0" fontId="26" fillId="2" borderId="8" xfId="0" applyFont="1" applyFill="1" applyBorder="1" applyAlignment="1">
      <alignment horizontal="center" vertical="center" wrapText="1"/>
    </xf>
    <xf numFmtId="0" fontId="26" fillId="0" borderId="3" xfId="0" applyFont="1" applyBorder="1" applyAlignment="1">
      <alignment horizontal="center" vertical="center" wrapText="1"/>
    </xf>
    <xf numFmtId="0" fontId="29" fillId="19" borderId="2" xfId="0" applyFont="1" applyFill="1" applyBorder="1" applyAlignment="1">
      <alignment horizontal="center" vertical="center" wrapText="1"/>
    </xf>
    <xf numFmtId="2" fontId="26" fillId="0" borderId="2" xfId="0" applyNumberFormat="1" applyFont="1" applyBorder="1" applyAlignment="1">
      <alignment horizontal="center" vertical="center" wrapText="1"/>
    </xf>
    <xf numFmtId="0" fontId="28" fillId="0" borderId="6" xfId="0" applyFont="1" applyBorder="1" applyAlignment="1">
      <alignment horizontal="center" wrapText="1"/>
    </xf>
    <xf numFmtId="0" fontId="28" fillId="0" borderId="3" xfId="0" applyFont="1" applyBorder="1" applyAlignment="1">
      <alignment wrapText="1"/>
    </xf>
    <xf numFmtId="0" fontId="29" fillId="30" borderId="2" xfId="0" applyFont="1" applyFill="1" applyBorder="1" applyAlignment="1">
      <alignment horizontal="center" vertical="center" wrapText="1"/>
    </xf>
    <xf numFmtId="0" fontId="29" fillId="17" borderId="2" xfId="0" applyFont="1" applyFill="1" applyBorder="1" applyAlignment="1">
      <alignment horizontal="center" vertical="center" wrapText="1"/>
    </xf>
    <xf numFmtId="0" fontId="29" fillId="31" borderId="2" xfId="0" applyFont="1" applyFill="1" applyBorder="1" applyAlignment="1">
      <alignment horizontal="center" vertical="center" wrapText="1"/>
    </xf>
    <xf numFmtId="0" fontId="29" fillId="27" borderId="2" xfId="0" applyFont="1" applyFill="1" applyBorder="1" applyAlignment="1">
      <alignment horizontal="center" vertical="center" wrapText="1"/>
    </xf>
    <xf numFmtId="0" fontId="29" fillId="28" borderId="2" xfId="0" applyFont="1" applyFill="1" applyBorder="1" applyAlignment="1">
      <alignment horizontal="center" vertical="center" wrapText="1"/>
    </xf>
    <xf numFmtId="0" fontId="34" fillId="0" borderId="2" xfId="0" applyFont="1" applyBorder="1" applyAlignment="1">
      <alignment horizontal="left" vertical="center" wrapText="1"/>
    </xf>
    <xf numFmtId="0" fontId="35" fillId="0" borderId="2" xfId="0" applyFont="1" applyBorder="1" applyAlignment="1">
      <alignment vertical="center" wrapText="1"/>
    </xf>
    <xf numFmtId="0" fontId="36" fillId="0" borderId="2" xfId="0" applyFont="1" applyBorder="1" applyAlignment="1">
      <alignment vertical="center" wrapText="1"/>
    </xf>
    <xf numFmtId="0" fontId="37" fillId="0" borderId="2" xfId="0" applyFont="1" applyBorder="1" applyAlignment="1">
      <alignment horizontal="left" vertical="center" wrapText="1"/>
    </xf>
    <xf numFmtId="0" fontId="38" fillId="0" borderId="2" xfId="0" applyFont="1" applyBorder="1" applyAlignment="1">
      <alignment vertical="center" wrapText="1"/>
    </xf>
    <xf numFmtId="2" fontId="12" fillId="0" borderId="160" xfId="0" applyNumberFormat="1" applyFont="1" applyBorder="1" applyAlignment="1">
      <alignment horizontal="center" wrapText="1"/>
    </xf>
    <xf numFmtId="2" fontId="12" fillId="0" borderId="18" xfId="0" applyNumberFormat="1" applyFont="1" applyBorder="1" applyAlignment="1">
      <alignment horizontal="center" wrapText="1"/>
    </xf>
    <xf numFmtId="0" fontId="26" fillId="13" borderId="28" xfId="0" applyFont="1" applyFill="1" applyBorder="1" applyAlignment="1">
      <alignment horizontal="center" vertical="center" wrapText="1"/>
    </xf>
    <xf numFmtId="0" fontId="28" fillId="12" borderId="131" xfId="0" applyFont="1" applyFill="1" applyBorder="1" applyAlignment="1">
      <alignment horizontal="center" vertical="center" wrapText="1"/>
    </xf>
    <xf numFmtId="0" fontId="28" fillId="12" borderId="0" xfId="0" applyFont="1" applyFill="1" applyAlignment="1">
      <alignment horizontal="center" vertical="center" wrapText="1"/>
    </xf>
    <xf numFmtId="0" fontId="28" fillId="12" borderId="18" xfId="0" applyFont="1" applyFill="1" applyBorder="1" applyAlignment="1">
      <alignment horizontal="center" vertical="center" wrapText="1"/>
    </xf>
    <xf numFmtId="0" fontId="30" fillId="21" borderId="11" xfId="0" applyFont="1" applyFill="1" applyBorder="1" applyAlignment="1">
      <alignment horizontal="center" vertical="center" wrapText="1"/>
    </xf>
    <xf numFmtId="0" fontId="30" fillId="21" borderId="13" xfId="0" applyFont="1" applyFill="1" applyBorder="1" applyAlignment="1">
      <alignment horizontal="center" vertical="center" wrapText="1"/>
    </xf>
    <xf numFmtId="0" fontId="30" fillId="21" borderId="56" xfId="0" applyFont="1" applyFill="1" applyBorder="1" applyAlignment="1">
      <alignment horizontal="center" vertical="center" wrapText="1"/>
    </xf>
    <xf numFmtId="0" fontId="28" fillId="4" borderId="10" xfId="0" applyFont="1" applyFill="1" applyBorder="1" applyAlignment="1">
      <alignment horizontal="center" vertical="center" wrapText="1"/>
    </xf>
    <xf numFmtId="0" fontId="28" fillId="4" borderId="1" xfId="0" applyFont="1" applyFill="1" applyBorder="1" applyAlignment="1">
      <alignment horizontal="center" vertical="center" wrapText="1"/>
    </xf>
    <xf numFmtId="0" fontId="28" fillId="4" borderId="37" xfId="0" applyFont="1" applyFill="1" applyBorder="1" applyAlignment="1">
      <alignment horizontal="center" vertical="center" wrapText="1"/>
    </xf>
    <xf numFmtId="0" fontId="28" fillId="4" borderId="38" xfId="0" applyFont="1" applyFill="1" applyBorder="1" applyAlignment="1">
      <alignment horizontal="center" vertical="center" wrapText="1"/>
    </xf>
    <xf numFmtId="0" fontId="30" fillId="32" borderId="11" xfId="0" applyFont="1" applyFill="1" applyBorder="1" applyAlignment="1">
      <alignment horizontal="center" vertical="center" wrapText="1"/>
    </xf>
    <xf numFmtId="0" fontId="30" fillId="32" borderId="13" xfId="0" applyFont="1" applyFill="1" applyBorder="1" applyAlignment="1">
      <alignment horizontal="center" vertical="center" wrapText="1"/>
    </xf>
    <xf numFmtId="0" fontId="30" fillId="32" borderId="56" xfId="0" applyFont="1" applyFill="1" applyBorder="1" applyAlignment="1">
      <alignment horizontal="center" vertical="center" wrapText="1"/>
    </xf>
    <xf numFmtId="0" fontId="28" fillId="4" borderId="11" xfId="0" applyFont="1" applyFill="1" applyBorder="1" applyAlignment="1">
      <alignment horizontal="center" vertical="center" wrapText="1"/>
    </xf>
    <xf numFmtId="0" fontId="30" fillId="34" borderId="11" xfId="0" applyFont="1" applyFill="1" applyBorder="1" applyAlignment="1">
      <alignment horizontal="center" vertical="center" wrapText="1"/>
    </xf>
    <xf numFmtId="0" fontId="30" fillId="34" borderId="56" xfId="0" applyFont="1" applyFill="1" applyBorder="1" applyAlignment="1">
      <alignment horizontal="center" vertical="center" wrapText="1"/>
    </xf>
    <xf numFmtId="0" fontId="30" fillId="34"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30" fillId="36" borderId="11" xfId="0" applyFont="1" applyFill="1" applyBorder="1" applyAlignment="1">
      <alignment horizontal="left" vertical="center" wrapText="1"/>
    </xf>
    <xf numFmtId="0" fontId="30" fillId="36" borderId="56" xfId="0" applyFont="1" applyFill="1" applyBorder="1" applyAlignment="1">
      <alignment horizontal="center" vertical="center" wrapText="1"/>
    </xf>
    <xf numFmtId="0" fontId="30" fillId="36" borderId="10" xfId="0" applyFont="1" applyFill="1" applyBorder="1" applyAlignment="1">
      <alignment horizontal="left" vertical="center" wrapText="1"/>
    </xf>
    <xf numFmtId="0" fontId="30" fillId="38" borderId="11" xfId="0" applyFont="1" applyFill="1" applyBorder="1" applyAlignment="1">
      <alignment horizontal="center" vertical="center" wrapText="1"/>
    </xf>
    <xf numFmtId="0" fontId="30" fillId="38" borderId="11" xfId="0" applyFont="1" applyFill="1" applyBorder="1" applyAlignment="1">
      <alignment horizontal="left" vertical="center" wrapText="1"/>
    </xf>
    <xf numFmtId="0" fontId="30" fillId="38" borderId="56" xfId="0" applyFont="1" applyFill="1" applyBorder="1" applyAlignment="1">
      <alignment horizontal="center" vertical="center" wrapText="1"/>
    </xf>
    <xf numFmtId="0" fontId="30" fillId="38" borderId="10" xfId="0" applyFont="1" applyFill="1" applyBorder="1" applyAlignment="1">
      <alignment horizontal="left" vertical="center" wrapText="1"/>
    </xf>
    <xf numFmtId="0" fontId="26" fillId="0" borderId="0" xfId="0" applyFont="1" applyAlignment="1">
      <alignment horizontal="left" vertical="center"/>
    </xf>
    <xf numFmtId="0" fontId="26" fillId="0" borderId="0" xfId="0" applyFont="1" applyAlignment="1">
      <alignment vertical="center" wrapText="1"/>
    </xf>
    <xf numFmtId="0" fontId="28" fillId="0" borderId="0" xfId="0" applyFont="1" applyAlignment="1">
      <alignment horizontal="left" vertical="center"/>
    </xf>
    <xf numFmtId="0" fontId="26" fillId="13" borderId="27" xfId="0" applyFont="1" applyFill="1" applyBorder="1" applyAlignment="1">
      <alignment horizontal="left" vertical="center"/>
    </xf>
    <xf numFmtId="0" fontId="26" fillId="13" borderId="28" xfId="0" applyFont="1" applyFill="1" applyBorder="1" applyAlignment="1">
      <alignment vertical="center" wrapText="1"/>
    </xf>
    <xf numFmtId="0" fontId="26" fillId="13" borderId="29" xfId="0" applyFont="1" applyFill="1" applyBorder="1" applyAlignment="1">
      <alignment vertical="center" wrapText="1"/>
    </xf>
    <xf numFmtId="0" fontId="28" fillId="12" borderId="150" xfId="0" applyFont="1" applyFill="1" applyBorder="1" applyAlignment="1">
      <alignment horizontal="left" vertical="center"/>
    </xf>
    <xf numFmtId="0" fontId="28" fillId="12" borderId="131" xfId="0" applyFont="1" applyFill="1" applyBorder="1" applyAlignment="1">
      <alignment vertical="center" wrapText="1"/>
    </xf>
    <xf numFmtId="0" fontId="28" fillId="12" borderId="151" xfId="0" applyFont="1" applyFill="1" applyBorder="1" applyAlignment="1">
      <alignment vertical="center" wrapText="1"/>
    </xf>
    <xf numFmtId="0" fontId="28" fillId="12" borderId="15" xfId="0" applyFont="1" applyFill="1" applyBorder="1" applyAlignment="1">
      <alignment horizontal="left" vertical="center"/>
    </xf>
    <xf numFmtId="0" fontId="28" fillId="12" borderId="0" xfId="0" applyFont="1" applyFill="1" applyAlignment="1">
      <alignment vertical="center" wrapText="1"/>
    </xf>
    <xf numFmtId="0" fontId="28" fillId="12" borderId="16" xfId="0" applyFont="1" applyFill="1" applyBorder="1" applyAlignment="1">
      <alignment vertical="center" wrapText="1"/>
    </xf>
    <xf numFmtId="0" fontId="28" fillId="12" borderId="17" xfId="0" applyFont="1" applyFill="1" applyBorder="1" applyAlignment="1">
      <alignment horizontal="left" vertical="center"/>
    </xf>
    <xf numFmtId="0" fontId="28" fillId="12" borderId="18" xfId="0" applyFont="1" applyFill="1" applyBorder="1" applyAlignment="1">
      <alignment vertical="center" wrapText="1"/>
    </xf>
    <xf numFmtId="0" fontId="28" fillId="12" borderId="19" xfId="0" applyFont="1" applyFill="1" applyBorder="1" applyAlignment="1">
      <alignment vertical="center" wrapText="1"/>
    </xf>
    <xf numFmtId="0" fontId="28" fillId="0" borderId="154" xfId="0" applyFont="1" applyBorder="1" applyAlignment="1">
      <alignment horizontal="left" vertical="center" wrapText="1"/>
    </xf>
    <xf numFmtId="0" fontId="28" fillId="0" borderId="156" xfId="0" applyFont="1" applyBorder="1" applyAlignment="1">
      <alignment horizontal="left" vertical="center" wrapText="1"/>
    </xf>
    <xf numFmtId="14" fontId="28" fillId="0" borderId="156" xfId="0" applyNumberFormat="1" applyFont="1" applyBorder="1" applyAlignment="1">
      <alignment horizontal="left" vertical="center" wrapText="1"/>
    </xf>
    <xf numFmtId="0" fontId="28" fillId="0" borderId="158" xfId="0" applyFont="1" applyBorder="1" applyAlignment="1">
      <alignment horizontal="left" vertical="center" wrapText="1"/>
    </xf>
    <xf numFmtId="0" fontId="29" fillId="21" borderId="74" xfId="0" applyFont="1" applyFill="1" applyBorder="1" applyAlignment="1">
      <alignment vertical="center" wrapText="1"/>
    </xf>
    <xf numFmtId="0" fontId="30" fillId="21" borderId="106" xfId="0" applyFont="1" applyFill="1" applyBorder="1" applyAlignment="1">
      <alignment horizontal="center" vertical="center" wrapText="1"/>
    </xf>
    <xf numFmtId="0" fontId="30" fillId="21" borderId="4" xfId="0" applyFont="1" applyFill="1" applyBorder="1" applyAlignment="1">
      <alignment horizontal="center" vertical="center" wrapText="1"/>
    </xf>
    <xf numFmtId="0" fontId="30" fillId="21" borderId="115" xfId="0" applyFont="1" applyFill="1" applyBorder="1" applyAlignment="1">
      <alignment horizontal="center" vertical="center" wrapText="1"/>
    </xf>
    <xf numFmtId="164" fontId="30" fillId="21" borderId="115" xfId="0" applyNumberFormat="1" applyFont="1" applyFill="1" applyBorder="1" applyAlignment="1">
      <alignment horizontal="center" vertical="center" wrapText="1"/>
    </xf>
    <xf numFmtId="0" fontId="30" fillId="21" borderId="2" xfId="0" applyFont="1" applyFill="1" applyBorder="1" applyAlignment="1">
      <alignment horizontal="center" vertical="center"/>
    </xf>
    <xf numFmtId="0" fontId="30" fillId="21" borderId="2" xfId="0" applyFont="1" applyFill="1" applyBorder="1" applyAlignment="1">
      <alignment horizontal="center" vertical="center" wrapText="1"/>
    </xf>
    <xf numFmtId="0" fontId="30" fillId="21" borderId="123" xfId="0" applyFont="1" applyFill="1" applyBorder="1" applyAlignment="1">
      <alignment horizontal="center" vertical="center" wrapText="1"/>
    </xf>
    <xf numFmtId="164" fontId="30" fillId="21" borderId="123" xfId="0" applyNumberFormat="1" applyFont="1" applyFill="1" applyBorder="1" applyAlignment="1">
      <alignment horizontal="center" vertical="center" wrapText="1"/>
    </xf>
    <xf numFmtId="0" fontId="26" fillId="0" borderId="103" xfId="0" applyFont="1" applyBorder="1" applyAlignment="1">
      <alignment vertical="center" wrapText="1"/>
    </xf>
    <xf numFmtId="0" fontId="26" fillId="0" borderId="102" xfId="0" applyFont="1" applyBorder="1" applyAlignment="1">
      <alignment horizontal="center" vertical="center" wrapText="1"/>
    </xf>
    <xf numFmtId="0" fontId="26" fillId="0" borderId="101" xfId="0" applyFont="1" applyBorder="1" applyAlignment="1">
      <alignment horizontal="center" vertical="center" wrapText="1"/>
    </xf>
    <xf numFmtId="0" fontId="28" fillId="0" borderId="102" xfId="0" applyFont="1" applyBorder="1" applyAlignment="1">
      <alignment horizontal="center" vertical="center"/>
    </xf>
    <xf numFmtId="164" fontId="28" fillId="0" borderId="102" xfId="0" applyNumberFormat="1" applyFont="1" applyBorder="1" applyAlignment="1">
      <alignment horizontal="center" vertical="center"/>
    </xf>
    <xf numFmtId="0" fontId="26" fillId="0" borderId="116" xfId="0" applyFont="1" applyBorder="1" applyAlignment="1">
      <alignment horizontal="center" vertical="center" wrapText="1"/>
    </xf>
    <xf numFmtId="0" fontId="28" fillId="0" borderId="112" xfId="0" applyFont="1" applyBorder="1" applyAlignment="1">
      <alignment horizontal="center" vertical="center"/>
    </xf>
    <xf numFmtId="164" fontId="28" fillId="0" borderId="91" xfId="0" applyNumberFormat="1" applyFont="1" applyBorder="1" applyAlignment="1">
      <alignment horizontal="center" vertical="center"/>
    </xf>
    <xf numFmtId="0" fontId="28" fillId="0" borderId="145" xfId="0" applyFont="1" applyBorder="1" applyAlignment="1">
      <alignment horizontal="center" vertical="center"/>
    </xf>
    <xf numFmtId="164" fontId="28" fillId="0" borderId="102" xfId="0" applyNumberFormat="1" applyFont="1" applyBorder="1" applyAlignment="1">
      <alignment horizontal="center" vertical="center" wrapText="1"/>
    </xf>
    <xf numFmtId="0" fontId="28" fillId="0" borderId="132" xfId="0" applyFont="1" applyBorder="1" applyAlignment="1">
      <alignment horizontal="center" vertical="center"/>
    </xf>
    <xf numFmtId="164" fontId="28" fillId="0" borderId="91" xfId="0" applyNumberFormat="1" applyFont="1" applyBorder="1" applyAlignment="1">
      <alignment horizontal="center" vertical="center" wrapText="1"/>
    </xf>
    <xf numFmtId="164" fontId="28" fillId="0" borderId="141" xfId="0" applyNumberFormat="1" applyFont="1" applyBorder="1" applyAlignment="1">
      <alignment horizontal="center" vertical="center" wrapText="1"/>
    </xf>
    <xf numFmtId="0" fontId="28" fillId="0" borderId="146" xfId="0" applyFont="1" applyBorder="1" applyAlignment="1">
      <alignment horizontal="center" vertical="center"/>
    </xf>
    <xf numFmtId="0" fontId="26" fillId="0" borderId="104" xfId="0" applyFont="1" applyBorder="1" applyAlignment="1">
      <alignment vertical="center" wrapText="1"/>
    </xf>
    <xf numFmtId="0" fontId="26" fillId="0" borderId="114" xfId="0" applyFont="1" applyBorder="1" applyAlignment="1">
      <alignment horizontal="center" vertical="center" wrapText="1"/>
    </xf>
    <xf numFmtId="0" fontId="28" fillId="0" borderId="133" xfId="0" applyFont="1" applyBorder="1" applyAlignment="1">
      <alignment horizontal="center" vertical="center"/>
    </xf>
    <xf numFmtId="0" fontId="28" fillId="0" borderId="104" xfId="0" applyFont="1" applyBorder="1" applyAlignment="1">
      <alignment horizontal="center" vertical="center"/>
    </xf>
    <xf numFmtId="0" fontId="26" fillId="0" borderId="131" xfId="0" applyFont="1" applyBorder="1" applyAlignment="1">
      <alignment vertical="center" wrapText="1"/>
    </xf>
    <xf numFmtId="0" fontId="26" fillId="0" borderId="112" xfId="0" applyFont="1" applyBorder="1" applyAlignment="1">
      <alignment horizontal="center" vertical="center" wrapText="1"/>
    </xf>
    <xf numFmtId="0" fontId="28" fillId="0" borderId="113" xfId="0" applyFont="1" applyBorder="1" applyAlignment="1">
      <alignment horizontal="center" vertical="center"/>
    </xf>
    <xf numFmtId="164" fontId="28" fillId="0" borderId="112" xfId="0" applyNumberFormat="1" applyFont="1" applyBorder="1" applyAlignment="1">
      <alignment horizontal="center" vertical="center"/>
    </xf>
    <xf numFmtId="0" fontId="26" fillId="0" borderId="71" xfId="0" applyFont="1" applyBorder="1" applyAlignment="1">
      <alignment horizontal="center" vertical="center" wrapText="1"/>
    </xf>
    <xf numFmtId="0" fontId="28" fillId="0" borderId="143" xfId="0" applyFont="1" applyBorder="1" applyAlignment="1">
      <alignment horizontal="center" vertical="center"/>
    </xf>
    <xf numFmtId="164" fontId="28" fillId="0" borderId="147" xfId="0" applyNumberFormat="1" applyFont="1" applyBorder="1" applyAlignment="1">
      <alignment horizontal="center" vertical="center"/>
    </xf>
    <xf numFmtId="0" fontId="26" fillId="0" borderId="132" xfId="0" applyFont="1" applyBorder="1" applyAlignment="1">
      <alignment horizontal="center" vertical="center" wrapText="1"/>
    </xf>
    <xf numFmtId="164" fontId="28" fillId="0" borderId="69" xfId="0" applyNumberFormat="1" applyFont="1" applyBorder="1" applyAlignment="1">
      <alignment horizontal="center" vertical="center" wrapText="1"/>
    </xf>
    <xf numFmtId="164" fontId="28" fillId="0" borderId="109" xfId="0" applyNumberFormat="1" applyFont="1" applyBorder="1" applyAlignment="1">
      <alignment horizontal="center" vertical="center" wrapText="1"/>
    </xf>
    <xf numFmtId="0" fontId="26" fillId="0" borderId="133" xfId="0" applyFont="1" applyBorder="1" applyAlignment="1">
      <alignment horizontal="center" vertical="center" wrapText="1"/>
    </xf>
    <xf numFmtId="164" fontId="28" fillId="0" borderId="70" xfId="0" applyNumberFormat="1" applyFont="1" applyBorder="1" applyAlignment="1">
      <alignment horizontal="center" vertical="center" wrapText="1"/>
    </xf>
    <xf numFmtId="164" fontId="28" fillId="0" borderId="142" xfId="0" applyNumberFormat="1" applyFont="1" applyBorder="1" applyAlignment="1">
      <alignment horizontal="center" vertical="center" wrapText="1"/>
    </xf>
    <xf numFmtId="0" fontId="28" fillId="4" borderId="94" xfId="0" applyFont="1" applyFill="1" applyBorder="1" applyAlignment="1">
      <alignment vertical="center" wrapText="1"/>
    </xf>
    <xf numFmtId="0" fontId="30" fillId="21" borderId="10" xfId="0" applyFont="1" applyFill="1" applyBorder="1" applyAlignment="1">
      <alignment horizontal="center" vertical="center" wrapText="1"/>
    </xf>
    <xf numFmtId="0" fontId="30" fillId="21" borderId="9" xfId="0" applyFont="1" applyFill="1" applyBorder="1" applyAlignment="1">
      <alignment horizontal="center" vertical="center" wrapText="1"/>
    </xf>
    <xf numFmtId="0" fontId="30" fillId="21" borderId="8" xfId="0" applyFont="1" applyFill="1" applyBorder="1" applyAlignment="1">
      <alignment horizontal="center" vertical="center" wrapText="1"/>
    </xf>
    <xf numFmtId="0" fontId="30" fillId="21" borderId="6" xfId="0" applyFont="1" applyFill="1" applyBorder="1" applyAlignment="1">
      <alignment horizontal="center" vertical="center" wrapText="1"/>
    </xf>
    <xf numFmtId="164" fontId="30" fillId="21" borderId="6" xfId="0" applyNumberFormat="1" applyFont="1" applyFill="1" applyBorder="1" applyAlignment="1">
      <alignment horizontal="center" vertical="center" wrapText="1"/>
    </xf>
    <xf numFmtId="164" fontId="28" fillId="0" borderId="141" xfId="0" applyNumberFormat="1" applyFont="1" applyBorder="1" applyAlignment="1">
      <alignment horizontal="center" vertical="center"/>
    </xf>
    <xf numFmtId="0" fontId="28" fillId="4" borderId="44" xfId="0" applyFont="1" applyFill="1" applyBorder="1" applyAlignment="1">
      <alignment vertical="center" wrapText="1"/>
    </xf>
    <xf numFmtId="0" fontId="28" fillId="4" borderId="40" xfId="0" applyFont="1" applyFill="1" applyBorder="1" applyAlignment="1">
      <alignment vertical="center" wrapText="1"/>
    </xf>
    <xf numFmtId="0" fontId="28" fillId="0" borderId="111" xfId="0" applyFont="1" applyBorder="1" applyAlignment="1">
      <alignment horizontal="center" vertical="center"/>
    </xf>
    <xf numFmtId="164" fontId="28" fillId="0" borderId="112" xfId="0" applyNumberFormat="1" applyFont="1" applyBorder="1" applyAlignment="1">
      <alignment horizontal="center" vertical="center" wrapText="1"/>
    </xf>
    <xf numFmtId="0" fontId="28" fillId="0" borderId="4" xfId="0" applyFont="1" applyBorder="1" applyAlignment="1">
      <alignment horizontal="center" vertical="center"/>
    </xf>
    <xf numFmtId="164" fontId="28" fillId="0" borderId="53" xfId="0" applyNumberFormat="1" applyFont="1" applyBorder="1" applyAlignment="1">
      <alignment horizontal="center" vertical="center" wrapText="1"/>
    </xf>
    <xf numFmtId="164" fontId="28" fillId="0" borderId="147" xfId="0" applyNumberFormat="1" applyFont="1" applyBorder="1" applyAlignment="1">
      <alignment horizontal="center" vertical="center" wrapText="1"/>
    </xf>
    <xf numFmtId="0" fontId="30" fillId="21" borderId="7" xfId="0" applyFont="1" applyFill="1" applyBorder="1" applyAlignment="1">
      <alignment horizontal="center" vertical="center" wrapText="1"/>
    </xf>
    <xf numFmtId="164" fontId="30" fillId="21" borderId="8" xfId="0" applyNumberFormat="1" applyFont="1" applyFill="1" applyBorder="1" applyAlignment="1">
      <alignment horizontal="center" vertical="center" wrapText="1"/>
    </xf>
    <xf numFmtId="0" fontId="26" fillId="0" borderId="91" xfId="0" applyFont="1" applyBorder="1" applyAlignment="1">
      <alignment horizontal="center" vertical="center" wrapText="1"/>
    </xf>
    <xf numFmtId="0" fontId="26" fillId="0" borderId="134" xfId="0" applyFont="1" applyBorder="1" applyAlignment="1">
      <alignment horizontal="center" vertical="center" wrapText="1"/>
    </xf>
    <xf numFmtId="164" fontId="32" fillId="0" borderId="68" xfId="0" applyNumberFormat="1" applyFont="1" applyBorder="1" applyAlignment="1">
      <alignment horizontal="center" vertical="center"/>
    </xf>
    <xf numFmtId="0" fontId="28" fillId="0" borderId="139" xfId="0" applyFont="1" applyBorder="1" applyAlignment="1">
      <alignment horizontal="center" vertical="center"/>
    </xf>
    <xf numFmtId="164" fontId="32" fillId="0" borderId="91" xfId="0" applyNumberFormat="1" applyFont="1" applyBorder="1" applyAlignment="1">
      <alignment horizontal="center" vertical="center"/>
    </xf>
    <xf numFmtId="164" fontId="32" fillId="0" borderId="141" xfId="0" applyNumberFormat="1" applyFont="1" applyBorder="1" applyAlignment="1">
      <alignment horizontal="center" vertical="center"/>
    </xf>
    <xf numFmtId="0" fontId="26" fillId="0" borderId="105" xfId="0" applyFont="1" applyBorder="1" applyAlignment="1">
      <alignment horizontal="center" vertical="center" wrapText="1"/>
    </xf>
    <xf numFmtId="164" fontId="32" fillId="0" borderId="67" xfId="0" applyNumberFormat="1" applyFont="1" applyBorder="1" applyAlignment="1">
      <alignment horizontal="center" vertical="center" wrapText="1"/>
    </xf>
    <xf numFmtId="164" fontId="32" fillId="0" borderId="91" xfId="0" applyNumberFormat="1" applyFont="1" applyBorder="1" applyAlignment="1">
      <alignment horizontal="center" vertical="center" wrapText="1"/>
    </xf>
    <xf numFmtId="164" fontId="32" fillId="0" borderId="141" xfId="0" applyNumberFormat="1" applyFont="1" applyBorder="1" applyAlignment="1">
      <alignment horizontal="center" vertical="center" wrapText="1"/>
    </xf>
    <xf numFmtId="0" fontId="28" fillId="0" borderId="107" xfId="0" applyFont="1" applyBorder="1" applyAlignment="1">
      <alignment horizontal="center" vertical="center"/>
    </xf>
    <xf numFmtId="164" fontId="28" fillId="0" borderId="3" xfId="0" applyNumberFormat="1" applyFont="1" applyBorder="1" applyAlignment="1">
      <alignment horizontal="center" vertical="center" wrapText="1"/>
    </xf>
    <xf numFmtId="0" fontId="28" fillId="0" borderId="138" xfId="0" applyFont="1" applyBorder="1" applyAlignment="1">
      <alignment horizontal="center" vertical="center"/>
    </xf>
    <xf numFmtId="164" fontId="28" fillId="0" borderId="130" xfId="0" applyNumberFormat="1" applyFont="1" applyBorder="1" applyAlignment="1">
      <alignment horizontal="center" vertical="center" wrapText="1"/>
    </xf>
    <xf numFmtId="0" fontId="28" fillId="0" borderId="129" xfId="0" applyFont="1" applyBorder="1" applyAlignment="1">
      <alignment horizontal="center" vertical="center"/>
    </xf>
    <xf numFmtId="0" fontId="28" fillId="0" borderId="123" xfId="0" applyFont="1" applyBorder="1" applyAlignment="1">
      <alignment horizontal="center" vertical="center"/>
    </xf>
    <xf numFmtId="164" fontId="28" fillId="0" borderId="63" xfId="0" applyNumberFormat="1" applyFont="1" applyBorder="1" applyAlignment="1">
      <alignment horizontal="center" vertical="center" wrapText="1"/>
    </xf>
    <xf numFmtId="0" fontId="28" fillId="0" borderId="120" xfId="0" applyFont="1" applyBorder="1" applyAlignment="1">
      <alignment horizontal="center" vertical="center"/>
    </xf>
    <xf numFmtId="0" fontId="28" fillId="0" borderId="140" xfId="0" applyFont="1" applyBorder="1" applyAlignment="1">
      <alignment horizontal="center" vertical="center"/>
    </xf>
    <xf numFmtId="164" fontId="28" fillId="0" borderId="65" xfId="0" applyNumberFormat="1" applyFont="1" applyBorder="1" applyAlignment="1">
      <alignment horizontal="center" vertical="center" wrapText="1"/>
    </xf>
    <xf numFmtId="0" fontId="28" fillId="0" borderId="127" xfId="0" applyFont="1" applyBorder="1" applyAlignment="1">
      <alignment horizontal="center" vertical="center"/>
    </xf>
    <xf numFmtId="0" fontId="29" fillId="32" borderId="1" xfId="0" applyFont="1" applyFill="1" applyBorder="1" applyAlignment="1">
      <alignment vertical="center" wrapText="1"/>
    </xf>
    <xf numFmtId="0" fontId="30" fillId="32" borderId="135" xfId="0" applyFont="1" applyFill="1" applyBorder="1" applyAlignment="1">
      <alignment horizontal="center" vertical="center" wrapText="1"/>
    </xf>
    <xf numFmtId="0" fontId="30" fillId="32" borderId="2" xfId="0" applyFont="1" applyFill="1" applyBorder="1" applyAlignment="1">
      <alignment horizontal="center" vertical="center" wrapText="1"/>
    </xf>
    <xf numFmtId="164" fontId="30" fillId="32" borderId="2" xfId="0" applyNumberFormat="1" applyFont="1" applyFill="1" applyBorder="1" applyAlignment="1">
      <alignment horizontal="center" vertical="center" wrapText="1"/>
    </xf>
    <xf numFmtId="0" fontId="30" fillId="32" borderId="2" xfId="0" applyFont="1" applyFill="1" applyBorder="1" applyAlignment="1">
      <alignment horizontal="center" vertical="center"/>
    </xf>
    <xf numFmtId="0" fontId="30" fillId="32" borderId="123" xfId="0" applyFont="1" applyFill="1" applyBorder="1" applyAlignment="1">
      <alignment horizontal="center" vertical="center" wrapText="1"/>
    </xf>
    <xf numFmtId="164" fontId="30" fillId="32" borderId="123" xfId="0" applyNumberFormat="1" applyFont="1" applyFill="1" applyBorder="1" applyAlignment="1">
      <alignment horizontal="center" vertical="center" wrapText="1"/>
    </xf>
    <xf numFmtId="0" fontId="26" fillId="0" borderId="135" xfId="0" applyFont="1" applyBorder="1" applyAlignment="1">
      <alignment horizontal="center" vertical="center" wrapText="1"/>
    </xf>
    <xf numFmtId="164" fontId="32" fillId="0" borderId="125" xfId="0" applyNumberFormat="1" applyFont="1" applyBorder="1" applyAlignment="1">
      <alignment horizontal="center" vertical="center"/>
    </xf>
    <xf numFmtId="164" fontId="32" fillId="0" borderId="147" xfId="0" applyNumberFormat="1" applyFont="1" applyBorder="1" applyAlignment="1">
      <alignment horizontal="center" vertical="center"/>
    </xf>
    <xf numFmtId="164" fontId="32" fillId="0" borderId="126" xfId="0" applyNumberFormat="1" applyFont="1" applyBorder="1" applyAlignment="1">
      <alignment horizontal="center" vertical="center"/>
    </xf>
    <xf numFmtId="164" fontId="32" fillId="0" borderId="148" xfId="0" applyNumberFormat="1" applyFont="1" applyBorder="1" applyAlignment="1">
      <alignment horizontal="center" vertical="center"/>
    </xf>
    <xf numFmtId="0" fontId="28" fillId="0" borderId="100" xfId="0" applyFont="1" applyBorder="1" applyAlignment="1">
      <alignment horizontal="center" vertical="center"/>
    </xf>
    <xf numFmtId="164" fontId="32" fillId="0" borderId="118" xfId="0" applyNumberFormat="1" applyFont="1" applyBorder="1" applyAlignment="1">
      <alignment horizontal="center" vertical="center"/>
    </xf>
    <xf numFmtId="164" fontId="32" fillId="0" borderId="128" xfId="0" applyNumberFormat="1" applyFont="1" applyBorder="1" applyAlignment="1">
      <alignment horizontal="center" vertical="center"/>
    </xf>
    <xf numFmtId="164" fontId="32" fillId="0" borderId="149" xfId="0" applyNumberFormat="1" applyFont="1" applyBorder="1" applyAlignment="1">
      <alignment horizontal="center" vertical="center"/>
    </xf>
    <xf numFmtId="0" fontId="28" fillId="0" borderId="119" xfId="0" applyFont="1" applyBorder="1" applyAlignment="1">
      <alignment horizontal="center" vertical="center"/>
    </xf>
    <xf numFmtId="164" fontId="28" fillId="0" borderId="64" xfId="0" applyNumberFormat="1" applyFont="1" applyBorder="1" applyAlignment="1">
      <alignment horizontal="center" vertical="center" wrapText="1"/>
    </xf>
    <xf numFmtId="0" fontId="26" fillId="0" borderId="136" xfId="0" applyFont="1" applyBorder="1" applyAlignment="1">
      <alignment horizontal="center" vertical="center" wrapText="1"/>
    </xf>
    <xf numFmtId="0" fontId="28" fillId="0" borderId="121" xfId="0" applyFont="1" applyBorder="1" applyAlignment="1">
      <alignment horizontal="center" vertical="center"/>
    </xf>
    <xf numFmtId="0" fontId="30" fillId="32" borderId="10" xfId="0" applyFont="1" applyFill="1" applyBorder="1" applyAlignment="1">
      <alignment horizontal="center" vertical="center" wrapText="1"/>
    </xf>
    <xf numFmtId="0" fontId="30" fillId="32" borderId="7" xfId="0" applyFont="1" applyFill="1" applyBorder="1" applyAlignment="1">
      <alignment horizontal="center" vertical="center" wrapText="1"/>
    </xf>
    <xf numFmtId="0" fontId="30" fillId="32" borderId="8" xfId="0" applyFont="1" applyFill="1" applyBorder="1" applyAlignment="1">
      <alignment horizontal="center" vertical="center" wrapText="1"/>
    </xf>
    <xf numFmtId="0" fontId="30" fillId="32" borderId="6" xfId="0" applyFont="1" applyFill="1" applyBorder="1" applyAlignment="1">
      <alignment horizontal="center" vertical="center" wrapText="1"/>
    </xf>
    <xf numFmtId="164" fontId="30" fillId="32" borderId="6" xfId="0" applyNumberFormat="1" applyFont="1" applyFill="1" applyBorder="1" applyAlignment="1">
      <alignment horizontal="center" vertical="center" wrapText="1"/>
    </xf>
    <xf numFmtId="164" fontId="28" fillId="0" borderId="124" xfId="0" applyNumberFormat="1" applyFont="1" applyBorder="1" applyAlignment="1">
      <alignment horizontal="center" vertical="center" wrapText="1"/>
    </xf>
    <xf numFmtId="0" fontId="28" fillId="4" borderId="114" xfId="0" applyFont="1" applyFill="1" applyBorder="1" applyAlignment="1">
      <alignment vertical="center" wrapText="1"/>
    </xf>
    <xf numFmtId="0" fontId="28" fillId="4" borderId="142" xfId="0" applyFont="1" applyFill="1" applyBorder="1" applyAlignment="1">
      <alignment vertical="center" wrapText="1"/>
    </xf>
    <xf numFmtId="0" fontId="28" fillId="0" borderId="137" xfId="0" applyFont="1" applyBorder="1" applyAlignment="1">
      <alignment horizontal="center" vertical="center"/>
    </xf>
    <xf numFmtId="0" fontId="28" fillId="0" borderId="135" xfId="0" applyFont="1" applyBorder="1" applyAlignment="1">
      <alignment horizontal="center" vertical="center"/>
    </xf>
    <xf numFmtId="0" fontId="28" fillId="0" borderId="134" xfId="0" applyFont="1" applyBorder="1" applyAlignment="1">
      <alignment horizontal="center" vertical="center"/>
    </xf>
    <xf numFmtId="0" fontId="30" fillId="34" borderId="1" xfId="0" applyFont="1" applyFill="1" applyBorder="1" applyAlignment="1">
      <alignment vertical="center" wrapText="1"/>
    </xf>
    <xf numFmtId="0" fontId="30" fillId="34" borderId="135" xfId="0" applyFont="1" applyFill="1" applyBorder="1" applyAlignment="1">
      <alignment horizontal="center" vertical="center" wrapText="1"/>
    </xf>
    <xf numFmtId="0" fontId="30" fillId="34" borderId="2" xfId="0" applyFont="1" applyFill="1" applyBorder="1" applyAlignment="1">
      <alignment horizontal="center" vertical="center" wrapText="1"/>
    </xf>
    <xf numFmtId="0" fontId="30" fillId="34" borderId="123" xfId="0" applyFont="1" applyFill="1" applyBorder="1" applyAlignment="1">
      <alignment horizontal="center" vertical="center" wrapText="1"/>
    </xf>
    <xf numFmtId="164" fontId="30" fillId="34" borderId="123" xfId="0" applyNumberFormat="1" applyFont="1" applyFill="1" applyBorder="1" applyAlignment="1">
      <alignment horizontal="center" vertical="center" wrapText="1"/>
    </xf>
    <xf numFmtId="0" fontId="30" fillId="34" borderId="2" xfId="0" applyFont="1" applyFill="1" applyBorder="1" applyAlignment="1">
      <alignment horizontal="center" vertical="center"/>
    </xf>
    <xf numFmtId="0" fontId="26" fillId="0" borderId="122" xfId="0" applyFont="1" applyBorder="1" applyAlignment="1">
      <alignment horizontal="center" vertical="center" wrapText="1"/>
    </xf>
    <xf numFmtId="0" fontId="30" fillId="34" borderId="7" xfId="0" applyFont="1" applyFill="1" applyBorder="1" applyAlignment="1">
      <alignment horizontal="center" vertical="center" wrapText="1"/>
    </xf>
    <xf numFmtId="0" fontId="30" fillId="34" borderId="8" xfId="0" applyFont="1" applyFill="1" applyBorder="1" applyAlignment="1">
      <alignment horizontal="center" vertical="center" wrapText="1"/>
    </xf>
    <xf numFmtId="0" fontId="30" fillId="34" borderId="6" xfId="0" applyFont="1" applyFill="1" applyBorder="1" applyAlignment="1">
      <alignment horizontal="center" vertical="center" wrapText="1"/>
    </xf>
    <xf numFmtId="164" fontId="30" fillId="34" borderId="6" xfId="0" applyNumberFormat="1" applyFont="1" applyFill="1" applyBorder="1" applyAlignment="1">
      <alignment horizontal="center" vertical="center" wrapText="1"/>
    </xf>
    <xf numFmtId="164" fontId="30" fillId="34" borderId="8" xfId="0" applyNumberFormat="1" applyFont="1" applyFill="1" applyBorder="1" applyAlignment="1">
      <alignment horizontal="center" vertical="center" wrapText="1"/>
    </xf>
    <xf numFmtId="0" fontId="29" fillId="36" borderId="1" xfId="0" applyFont="1" applyFill="1" applyBorder="1" applyAlignment="1">
      <alignment vertical="center" wrapText="1"/>
    </xf>
    <xf numFmtId="0" fontId="30" fillId="36" borderId="135" xfId="0" applyFont="1" applyFill="1" applyBorder="1" applyAlignment="1">
      <alignment horizontal="center" vertical="center" wrapText="1"/>
    </xf>
    <xf numFmtId="0" fontId="30" fillId="36" borderId="2" xfId="0" applyFont="1" applyFill="1" applyBorder="1" applyAlignment="1">
      <alignment horizontal="center" vertical="center" wrapText="1"/>
    </xf>
    <xf numFmtId="0" fontId="30" fillId="36" borderId="123" xfId="0" applyFont="1" applyFill="1" applyBorder="1" applyAlignment="1">
      <alignment horizontal="center" vertical="center" wrapText="1"/>
    </xf>
    <xf numFmtId="164" fontId="30" fillId="36" borderId="123" xfId="0" applyNumberFormat="1" applyFont="1" applyFill="1" applyBorder="1" applyAlignment="1">
      <alignment horizontal="center" vertical="center" wrapText="1"/>
    </xf>
    <xf numFmtId="0" fontId="30" fillId="36" borderId="2" xfId="0" applyFont="1" applyFill="1" applyBorder="1" applyAlignment="1">
      <alignment horizontal="center" vertical="center"/>
    </xf>
    <xf numFmtId="0" fontId="30" fillId="36" borderId="7" xfId="0" applyFont="1" applyFill="1" applyBorder="1" applyAlignment="1">
      <alignment horizontal="center" vertical="center" wrapText="1"/>
    </xf>
    <xf numFmtId="0" fontId="30" fillId="36" borderId="8" xfId="0" applyFont="1" applyFill="1" applyBorder="1" applyAlignment="1">
      <alignment horizontal="center" vertical="center" wrapText="1"/>
    </xf>
    <xf numFmtId="0" fontId="30" fillId="36" borderId="6" xfId="0" applyFont="1" applyFill="1" applyBorder="1" applyAlignment="1">
      <alignment horizontal="center" vertical="center" wrapText="1"/>
    </xf>
    <xf numFmtId="164" fontId="30" fillId="36" borderId="6" xfId="0" applyNumberFormat="1" applyFont="1" applyFill="1" applyBorder="1" applyAlignment="1">
      <alignment horizontal="center" vertical="center" wrapText="1"/>
    </xf>
    <xf numFmtId="0" fontId="29" fillId="38" borderId="1" xfId="0" applyFont="1" applyFill="1" applyBorder="1" applyAlignment="1">
      <alignment vertical="center" wrapText="1"/>
    </xf>
    <xf numFmtId="0" fontId="26" fillId="38" borderId="135" xfId="0" applyFont="1" applyFill="1" applyBorder="1" applyAlignment="1">
      <alignment horizontal="center" vertical="center" wrapText="1"/>
    </xf>
    <xf numFmtId="0" fontId="30" fillId="38" borderId="2" xfId="0" applyFont="1" applyFill="1" applyBorder="1" applyAlignment="1">
      <alignment horizontal="center" vertical="center" wrapText="1"/>
    </xf>
    <xf numFmtId="0" fontId="26" fillId="38" borderId="123" xfId="0" applyFont="1" applyFill="1" applyBorder="1" applyAlignment="1">
      <alignment horizontal="center" vertical="center" wrapText="1"/>
    </xf>
    <xf numFmtId="164" fontId="26" fillId="38" borderId="123" xfId="0" applyNumberFormat="1" applyFont="1" applyFill="1" applyBorder="1" applyAlignment="1">
      <alignment horizontal="center" vertical="center" wrapText="1"/>
    </xf>
    <xf numFmtId="0" fontId="30" fillId="38" borderId="2" xfId="0" applyFont="1" applyFill="1" applyBorder="1" applyAlignment="1">
      <alignment horizontal="center" vertical="center"/>
    </xf>
    <xf numFmtId="0" fontId="30" fillId="38" borderId="7" xfId="0" applyFont="1" applyFill="1" applyBorder="1" applyAlignment="1">
      <alignment horizontal="center" vertical="center" wrapText="1"/>
    </xf>
    <xf numFmtId="0" fontId="30" fillId="38" borderId="8" xfId="0" applyFont="1" applyFill="1" applyBorder="1" applyAlignment="1">
      <alignment horizontal="center" vertical="center" wrapText="1"/>
    </xf>
    <xf numFmtId="0" fontId="30" fillId="38" borderId="6" xfId="0" applyFont="1" applyFill="1" applyBorder="1" applyAlignment="1">
      <alignment horizontal="center" vertical="center" wrapText="1"/>
    </xf>
    <xf numFmtId="164" fontId="30" fillId="38" borderId="6" xfId="0" applyNumberFormat="1" applyFont="1" applyFill="1" applyBorder="1" applyAlignment="1">
      <alignment horizontal="center" vertical="center" wrapText="1"/>
    </xf>
    <xf numFmtId="164" fontId="30" fillId="38" borderId="8" xfId="0" applyNumberFormat="1" applyFont="1" applyFill="1" applyBorder="1" applyAlignment="1">
      <alignment horizontal="center" vertical="center" wrapText="1"/>
    </xf>
    <xf numFmtId="164" fontId="32" fillId="0" borderId="117" xfId="0" applyNumberFormat="1" applyFont="1" applyBorder="1" applyAlignment="1">
      <alignment horizontal="center" vertical="center"/>
    </xf>
    <xf numFmtId="0" fontId="28" fillId="0" borderId="108" xfId="0" applyFont="1" applyBorder="1" applyAlignment="1">
      <alignment horizontal="center" vertical="center"/>
    </xf>
    <xf numFmtId="0" fontId="30" fillId="34" borderId="159" xfId="0" applyFont="1" applyFill="1" applyBorder="1" applyAlignment="1">
      <alignment horizontal="center" vertical="center" wrapText="1"/>
    </xf>
    <xf numFmtId="0" fontId="30" fillId="36" borderId="159" xfId="0" applyFont="1" applyFill="1" applyBorder="1" applyAlignment="1">
      <alignment horizontal="center" vertical="center" wrapText="1"/>
    </xf>
    <xf numFmtId="0" fontId="30" fillId="38" borderId="159" xfId="0" applyFont="1" applyFill="1" applyBorder="1" applyAlignment="1">
      <alignment horizontal="center" vertical="center" wrapText="1"/>
    </xf>
    <xf numFmtId="0" fontId="31" fillId="40" borderId="31" xfId="0" applyFont="1" applyFill="1" applyBorder="1" applyAlignment="1">
      <alignment horizontal="right" vertical="center" wrapText="1"/>
    </xf>
    <xf numFmtId="0" fontId="28" fillId="40" borderId="50" xfId="0" applyFont="1" applyFill="1" applyBorder="1" applyAlignment="1">
      <alignment vertical="center" wrapText="1"/>
    </xf>
    <xf numFmtId="0" fontId="28" fillId="40" borderId="50" xfId="0" applyFont="1" applyFill="1" applyBorder="1" applyAlignment="1">
      <alignment horizontal="center" vertical="center" wrapText="1"/>
    </xf>
    <xf numFmtId="0" fontId="26" fillId="40" borderId="33" xfId="0" applyFont="1" applyFill="1" applyBorder="1" applyAlignment="1">
      <alignment horizontal="center" vertical="center" wrapText="1"/>
    </xf>
    <xf numFmtId="0" fontId="26" fillId="40" borderId="35" xfId="0" applyFont="1" applyFill="1" applyBorder="1" applyAlignment="1">
      <alignment horizontal="center" vertical="center" wrapText="1"/>
    </xf>
    <xf numFmtId="0" fontId="28" fillId="40" borderId="32" xfId="0" applyFont="1" applyFill="1" applyBorder="1" applyAlignment="1">
      <alignment vertical="center" wrapText="1"/>
    </xf>
    <xf numFmtId="0" fontId="28" fillId="40" borderId="32" xfId="0" applyFont="1" applyFill="1" applyBorder="1" applyAlignment="1">
      <alignment horizontal="center" vertical="center" wrapText="1"/>
    </xf>
    <xf numFmtId="0" fontId="26" fillId="40" borderId="6" xfId="0" applyFont="1" applyFill="1" applyBorder="1" applyAlignment="1">
      <alignment horizontal="center" vertical="center" wrapText="1"/>
    </xf>
    <xf numFmtId="0" fontId="31" fillId="41" borderId="31" xfId="0" applyFont="1" applyFill="1" applyBorder="1" applyAlignment="1">
      <alignment horizontal="right" vertical="center" wrapText="1"/>
    </xf>
    <xf numFmtId="0" fontId="28" fillId="41" borderId="50" xfId="0" applyFont="1" applyFill="1" applyBorder="1" applyAlignment="1">
      <alignment vertical="center" wrapText="1"/>
    </xf>
    <xf numFmtId="0" fontId="28" fillId="41" borderId="50" xfId="0" applyFont="1" applyFill="1" applyBorder="1" applyAlignment="1">
      <alignment horizontal="center" vertical="center" wrapText="1"/>
    </xf>
    <xf numFmtId="0" fontId="26" fillId="41" borderId="35" xfId="0" applyFont="1" applyFill="1" applyBorder="1" applyAlignment="1">
      <alignment horizontal="center" vertical="center" wrapText="1"/>
    </xf>
    <xf numFmtId="0" fontId="28" fillId="41" borderId="32" xfId="0" applyFont="1" applyFill="1" applyBorder="1" applyAlignment="1">
      <alignment vertical="center" wrapText="1"/>
    </xf>
    <xf numFmtId="0" fontId="28" fillId="41" borderId="32" xfId="0" applyFont="1" applyFill="1" applyBorder="1" applyAlignment="1">
      <alignment horizontal="center" vertical="center" wrapText="1"/>
    </xf>
    <xf numFmtId="0" fontId="26" fillId="41" borderId="6" xfId="0" applyFont="1" applyFill="1" applyBorder="1" applyAlignment="1">
      <alignment horizontal="center" vertical="center" wrapText="1"/>
    </xf>
    <xf numFmtId="0" fontId="31" fillId="42" borderId="31" xfId="0" applyFont="1" applyFill="1" applyBorder="1" applyAlignment="1">
      <alignment horizontal="right" vertical="center" wrapText="1"/>
    </xf>
    <xf numFmtId="0" fontId="28" fillId="42" borderId="50" xfId="0" applyFont="1" applyFill="1" applyBorder="1" applyAlignment="1">
      <alignment vertical="center" wrapText="1"/>
    </xf>
    <xf numFmtId="0" fontId="28" fillId="42" borderId="50" xfId="0" applyFont="1" applyFill="1" applyBorder="1" applyAlignment="1">
      <alignment horizontal="center" vertical="center" wrapText="1"/>
    </xf>
    <xf numFmtId="0" fontId="28" fillId="42" borderId="49" xfId="0" applyFont="1" applyFill="1" applyBorder="1" applyAlignment="1">
      <alignment vertical="center" wrapText="1"/>
    </xf>
    <xf numFmtId="0" fontId="26" fillId="42" borderId="49" xfId="0" applyFont="1" applyFill="1" applyBorder="1" applyAlignment="1">
      <alignment horizontal="center" vertical="center" wrapText="1"/>
    </xf>
    <xf numFmtId="0" fontId="28" fillId="42" borderId="32" xfId="0" applyFont="1" applyFill="1" applyBorder="1" applyAlignment="1">
      <alignment vertical="center" wrapText="1"/>
    </xf>
    <xf numFmtId="0" fontId="26" fillId="42" borderId="35" xfId="0" applyFont="1" applyFill="1" applyBorder="1" applyAlignment="1">
      <alignment horizontal="center" vertical="center" wrapText="1"/>
    </xf>
    <xf numFmtId="0" fontId="28" fillId="42" borderId="32" xfId="0" applyFont="1" applyFill="1" applyBorder="1" applyAlignment="1">
      <alignment horizontal="center" vertical="center" wrapText="1"/>
    </xf>
    <xf numFmtId="0" fontId="26" fillId="42" borderId="33" xfId="0" applyFont="1" applyFill="1" applyBorder="1" applyAlignment="1">
      <alignment horizontal="center" vertical="center" wrapText="1"/>
    </xf>
    <xf numFmtId="0" fontId="31" fillId="43" borderId="31" xfId="0" applyFont="1" applyFill="1" applyBorder="1" applyAlignment="1">
      <alignment horizontal="right" vertical="center" wrapText="1"/>
    </xf>
    <xf numFmtId="0" fontId="28" fillId="43" borderId="50" xfId="0" applyFont="1" applyFill="1" applyBorder="1" applyAlignment="1">
      <alignment vertical="center" wrapText="1"/>
    </xf>
    <xf numFmtId="0" fontId="28" fillId="43" borderId="50" xfId="0" applyFont="1" applyFill="1" applyBorder="1" applyAlignment="1">
      <alignment horizontal="center" vertical="center" wrapText="1"/>
    </xf>
    <xf numFmtId="0" fontId="26" fillId="43" borderId="35" xfId="0" applyFont="1" applyFill="1" applyBorder="1" applyAlignment="1">
      <alignment horizontal="center" vertical="center" wrapText="1"/>
    </xf>
    <xf numFmtId="0" fontId="28" fillId="43" borderId="32" xfId="0" applyFont="1" applyFill="1" applyBorder="1" applyAlignment="1">
      <alignment vertical="center" wrapText="1"/>
    </xf>
    <xf numFmtId="0" fontId="31" fillId="44" borderId="31" xfId="0" applyFont="1" applyFill="1" applyBorder="1" applyAlignment="1">
      <alignment horizontal="right" vertical="center" wrapText="1"/>
    </xf>
    <xf numFmtId="0" fontId="28" fillId="44" borderId="50" xfId="0" applyFont="1" applyFill="1" applyBorder="1" applyAlignment="1">
      <alignment vertical="center" wrapText="1"/>
    </xf>
    <xf numFmtId="0" fontId="28" fillId="44" borderId="50" xfId="0" applyFont="1" applyFill="1" applyBorder="1" applyAlignment="1">
      <alignment horizontal="center" vertical="center" wrapText="1"/>
    </xf>
    <xf numFmtId="0" fontId="26" fillId="44" borderId="49" xfId="0" applyFont="1" applyFill="1" applyBorder="1" applyAlignment="1">
      <alignment horizontal="center" vertical="center" wrapText="1"/>
    </xf>
    <xf numFmtId="0" fontId="26" fillId="44" borderId="33" xfId="0" applyFont="1" applyFill="1" applyBorder="1" applyAlignment="1">
      <alignment horizontal="center" vertical="center" wrapText="1"/>
    </xf>
    <xf numFmtId="0" fontId="28" fillId="44" borderId="32" xfId="0" applyFont="1" applyFill="1" applyBorder="1" applyAlignment="1">
      <alignment vertical="center" wrapText="1"/>
    </xf>
    <xf numFmtId="0" fontId="31" fillId="44" borderId="54" xfId="0" applyFont="1" applyFill="1" applyBorder="1" applyAlignment="1">
      <alignment horizontal="right" vertical="center" wrapText="1"/>
    </xf>
    <xf numFmtId="2" fontId="26" fillId="0" borderId="0" xfId="0" applyNumberFormat="1" applyFont="1" applyAlignment="1">
      <alignment horizontal="center" vertical="center" wrapText="1"/>
    </xf>
    <xf numFmtId="164" fontId="32" fillId="16" borderId="163" xfId="0" applyNumberFormat="1" applyFont="1" applyFill="1" applyBorder="1" applyAlignment="1">
      <alignment horizontal="center" vertical="center" wrapText="1"/>
    </xf>
    <xf numFmtId="164" fontId="32" fillId="0" borderId="113" xfId="0" applyNumberFormat="1" applyFont="1" applyBorder="1" applyAlignment="1">
      <alignment horizontal="center" vertical="center"/>
    </xf>
    <xf numFmtId="164" fontId="28" fillId="3" borderId="3" xfId="0" applyNumberFormat="1" applyFont="1" applyFill="1" applyBorder="1" applyAlignment="1">
      <alignment horizontal="center" vertical="center" wrapText="1"/>
    </xf>
    <xf numFmtId="0" fontId="28" fillId="4" borderId="7" xfId="0" applyFont="1" applyFill="1" applyBorder="1" applyAlignment="1">
      <alignment vertical="center" wrapText="1"/>
    </xf>
    <xf numFmtId="164" fontId="28" fillId="3" borderId="165" xfId="0" applyNumberFormat="1" applyFont="1" applyFill="1" applyBorder="1" applyAlignment="1">
      <alignment horizontal="center" vertical="center" wrapText="1"/>
    </xf>
    <xf numFmtId="164" fontId="32" fillId="16" borderId="163" xfId="0" applyNumberFormat="1" applyFont="1" applyFill="1" applyBorder="1" applyAlignment="1">
      <alignment horizontal="center" vertical="center"/>
    </xf>
    <xf numFmtId="0" fontId="30" fillId="24" borderId="6" xfId="0" applyFont="1" applyFill="1" applyBorder="1" applyAlignment="1">
      <alignment horizontal="center" vertical="center"/>
    </xf>
    <xf numFmtId="0" fontId="28" fillId="4" borderId="95" xfId="0" applyFont="1" applyFill="1" applyBorder="1" applyAlignment="1">
      <alignment vertical="center" wrapText="1"/>
    </xf>
    <xf numFmtId="0" fontId="30" fillId="24" borderId="168" xfId="0" applyFont="1" applyFill="1" applyBorder="1" applyAlignment="1">
      <alignment horizontal="center" vertical="center"/>
    </xf>
    <xf numFmtId="164" fontId="28" fillId="3" borderId="113" xfId="0" applyNumberFormat="1" applyFont="1" applyFill="1" applyBorder="1" applyAlignment="1">
      <alignment horizontal="center" vertical="center" wrapText="1"/>
    </xf>
    <xf numFmtId="0" fontId="30" fillId="26" borderId="6" xfId="0" applyFont="1" applyFill="1" applyBorder="1" applyAlignment="1">
      <alignment horizontal="center" vertical="center"/>
    </xf>
    <xf numFmtId="0" fontId="30" fillId="26" borderId="166" xfId="0" applyFont="1" applyFill="1" applyBorder="1" applyAlignment="1">
      <alignment horizontal="center" vertical="center"/>
    </xf>
    <xf numFmtId="2" fontId="41" fillId="29" borderId="169" xfId="0" applyNumberFormat="1" applyFont="1" applyFill="1" applyBorder="1" applyAlignment="1">
      <alignment horizontal="center" vertical="center"/>
    </xf>
    <xf numFmtId="0" fontId="0" fillId="0" borderId="58" xfId="0" applyBorder="1"/>
    <xf numFmtId="0" fontId="32" fillId="0" borderId="77" xfId="0" applyFont="1" applyBorder="1" applyAlignment="1">
      <alignment horizontal="left" vertical="center"/>
    </xf>
    <xf numFmtId="0" fontId="0" fillId="0" borderId="61" xfId="0" applyBorder="1"/>
    <xf numFmtId="2" fontId="39" fillId="20" borderId="169" xfId="0" applyNumberFormat="1" applyFont="1" applyFill="1" applyBorder="1" applyAlignment="1">
      <alignment horizontal="center" vertical="center"/>
    </xf>
    <xf numFmtId="2" fontId="41" fillId="25" borderId="169" xfId="0" applyNumberFormat="1" applyFont="1" applyFill="1" applyBorder="1" applyAlignment="1">
      <alignment horizontal="center" vertical="center"/>
    </xf>
    <xf numFmtId="2" fontId="41" fillId="25" borderId="167" xfId="0" applyNumberFormat="1" applyFont="1" applyFill="1" applyBorder="1" applyAlignment="1">
      <alignment horizontal="center" vertical="center"/>
    </xf>
    <xf numFmtId="0" fontId="0" fillId="0" borderId="164" xfId="0" applyBorder="1"/>
    <xf numFmtId="0" fontId="30" fillId="21" borderId="122" xfId="0" applyFont="1" applyFill="1" applyBorder="1" applyAlignment="1">
      <alignment horizontal="center" vertical="center" wrapText="1"/>
    </xf>
    <xf numFmtId="0" fontId="0" fillId="0" borderId="3" xfId="0" applyBorder="1"/>
    <xf numFmtId="0" fontId="0" fillId="0" borderId="53" xfId="0" applyBorder="1"/>
    <xf numFmtId="0" fontId="30" fillId="27" borderId="49" xfId="0" applyFont="1" applyFill="1" applyBorder="1" applyAlignment="1">
      <alignment horizontal="center" vertical="center" wrapText="1"/>
    </xf>
    <xf numFmtId="0" fontId="0" fillId="0" borderId="136" xfId="0" applyBorder="1"/>
    <xf numFmtId="0" fontId="0" fillId="0" borderId="50" xfId="0" applyBorder="1"/>
    <xf numFmtId="0" fontId="30" fillId="27" borderId="166" xfId="0" applyFont="1" applyFill="1" applyBorder="1" applyAlignment="1">
      <alignment horizontal="center" vertical="center" wrapText="1"/>
    </xf>
    <xf numFmtId="0" fontId="0" fillId="0" borderId="172" xfId="0" applyBorder="1"/>
    <xf numFmtId="0" fontId="0" fillId="0" borderId="95" xfId="0" applyBorder="1"/>
    <xf numFmtId="0" fontId="30" fillId="24" borderId="49" xfId="0" applyFont="1" applyFill="1" applyBorder="1" applyAlignment="1">
      <alignment horizontal="center" vertical="center" wrapText="1"/>
    </xf>
    <xf numFmtId="0" fontId="30" fillId="24" borderId="166" xfId="0" applyFont="1" applyFill="1" applyBorder="1" applyAlignment="1">
      <alignment horizontal="center" vertical="center" wrapText="1"/>
    </xf>
    <xf numFmtId="0" fontId="30" fillId="19" borderId="49" xfId="0" applyFont="1" applyFill="1" applyBorder="1" applyAlignment="1">
      <alignment horizontal="center" vertical="center" wrapText="1"/>
    </xf>
    <xf numFmtId="0" fontId="30" fillId="24" borderId="173" xfId="0" applyFont="1" applyFill="1" applyBorder="1" applyAlignment="1">
      <alignment horizontal="center" vertical="center" wrapText="1"/>
    </xf>
    <xf numFmtId="0" fontId="0" fillId="0" borderId="97" xfId="0" applyBorder="1"/>
    <xf numFmtId="0" fontId="0" fillId="0" borderId="174" xfId="0" applyBorder="1"/>
    <xf numFmtId="0" fontId="32" fillId="0" borderId="152" xfId="0" applyFont="1" applyBorder="1" applyAlignment="1">
      <alignment horizontal="left" vertical="center"/>
    </xf>
    <xf numFmtId="0" fontId="0" fillId="0" borderId="70" xfId="0" applyBorder="1"/>
    <xf numFmtId="0" fontId="28" fillId="0" borderId="159" xfId="0" applyFont="1" applyBorder="1" applyAlignment="1">
      <alignment horizontal="left" vertical="center"/>
    </xf>
    <xf numFmtId="0" fontId="0" fillId="0" borderId="166" xfId="0" applyBorder="1"/>
    <xf numFmtId="0" fontId="42" fillId="26" borderId="38" xfId="0" applyFont="1" applyFill="1" applyBorder="1" applyAlignment="1">
      <alignment horizontal="center" vertical="center" wrapText="1"/>
    </xf>
    <xf numFmtId="0" fontId="0" fillId="0" borderId="38" xfId="0" applyBorder="1"/>
    <xf numFmtId="0" fontId="30" fillId="26" borderId="166" xfId="0" applyFont="1" applyFill="1" applyBorder="1" applyAlignment="1">
      <alignment horizontal="center" vertical="center" wrapText="1"/>
    </xf>
    <xf numFmtId="0" fontId="30" fillId="26" borderId="122" xfId="0" applyFont="1" applyFill="1" applyBorder="1" applyAlignment="1">
      <alignment horizontal="center" vertical="center" wrapText="1"/>
    </xf>
    <xf numFmtId="0" fontId="28" fillId="0" borderId="152" xfId="0" applyFont="1" applyBorder="1" applyAlignment="1">
      <alignment horizontal="left" vertical="center"/>
    </xf>
    <xf numFmtId="0" fontId="30" fillId="27" borderId="122" xfId="0" applyFont="1" applyFill="1" applyBorder="1" applyAlignment="1">
      <alignment horizontal="center" vertical="center" wrapText="1"/>
    </xf>
    <xf numFmtId="0" fontId="30" fillId="28" borderId="122" xfId="0" applyFont="1" applyFill="1" applyBorder="1" applyAlignment="1">
      <alignment horizontal="center" vertical="center" wrapText="1"/>
    </xf>
    <xf numFmtId="0" fontId="30" fillId="28" borderId="53" xfId="0" applyFont="1" applyFill="1" applyBorder="1" applyAlignment="1">
      <alignment horizontal="center" vertical="center" wrapText="1"/>
    </xf>
    <xf numFmtId="0" fontId="30" fillId="28" borderId="99" xfId="0" applyFont="1" applyFill="1" applyBorder="1" applyAlignment="1">
      <alignment horizontal="center" vertical="center" wrapText="1"/>
    </xf>
    <xf numFmtId="0" fontId="0" fillId="0" borderId="101" xfId="0" applyBorder="1"/>
    <xf numFmtId="0" fontId="0" fillId="0" borderId="105" xfId="0" applyBorder="1"/>
    <xf numFmtId="0" fontId="28" fillId="0" borderId="140" xfId="0" applyFont="1" applyBorder="1" applyAlignment="1">
      <alignment horizontal="left" vertical="center"/>
    </xf>
    <xf numFmtId="0" fontId="0" fillId="0" borderId="55" xfId="0" applyBorder="1"/>
    <xf numFmtId="0" fontId="28" fillId="0" borderId="168" xfId="0" applyFont="1" applyBorder="1" applyAlignment="1">
      <alignment horizontal="left" vertical="center"/>
    </xf>
    <xf numFmtId="0" fontId="0" fillId="0" borderId="6" xfId="0" applyBorder="1"/>
    <xf numFmtId="0" fontId="32" fillId="0" borderId="79" xfId="0" applyFont="1" applyBorder="1" applyAlignment="1">
      <alignment horizontal="left" vertical="center"/>
    </xf>
    <xf numFmtId="0" fontId="0" fillId="0" borderId="60" xfId="0" applyBorder="1"/>
    <xf numFmtId="0" fontId="32" fillId="0" borderId="78" xfId="0" applyFont="1" applyBorder="1" applyAlignment="1">
      <alignment horizontal="left" vertical="center"/>
    </xf>
    <xf numFmtId="0" fontId="30" fillId="26" borderId="99" xfId="0" applyFont="1" applyFill="1" applyBorder="1" applyAlignment="1">
      <alignment horizontal="center" vertical="center" wrapText="1"/>
    </xf>
    <xf numFmtId="0" fontId="30" fillId="26" borderId="49" xfId="0" applyFont="1" applyFill="1" applyBorder="1" applyAlignment="1">
      <alignment horizontal="center" vertical="center" wrapText="1"/>
    </xf>
    <xf numFmtId="0" fontId="30" fillId="26" borderId="53" xfId="0" applyFont="1" applyFill="1" applyBorder="1" applyAlignment="1">
      <alignment horizontal="center" vertical="center" wrapText="1"/>
    </xf>
    <xf numFmtId="0" fontId="28" fillId="0" borderId="12" xfId="0" applyFont="1" applyBorder="1" applyAlignment="1">
      <alignment horizontal="left" vertical="center"/>
    </xf>
    <xf numFmtId="0" fontId="40" fillId="28" borderId="172" xfId="0" applyFont="1" applyFill="1" applyBorder="1" applyAlignment="1">
      <alignment horizontal="center" vertical="center" wrapText="1"/>
    </xf>
    <xf numFmtId="2" fontId="41" fillId="27" borderId="169" xfId="0" applyNumberFormat="1" applyFont="1" applyFill="1" applyBorder="1" applyAlignment="1">
      <alignment horizontal="center" vertical="center"/>
    </xf>
    <xf numFmtId="2" fontId="41" fillId="26" borderId="169" xfId="0" applyNumberFormat="1" applyFont="1" applyFill="1" applyBorder="1" applyAlignment="1">
      <alignment horizontal="center" vertical="center"/>
    </xf>
    <xf numFmtId="2" fontId="41" fillId="26" borderId="167" xfId="0" applyNumberFormat="1" applyFont="1" applyFill="1" applyBorder="1" applyAlignment="1">
      <alignment horizontal="center" vertical="center"/>
    </xf>
    <xf numFmtId="0" fontId="30" fillId="27" borderId="53" xfId="0" applyFont="1" applyFill="1" applyBorder="1" applyAlignment="1">
      <alignment horizontal="center" vertical="center" wrapText="1"/>
    </xf>
    <xf numFmtId="0" fontId="40" fillId="27" borderId="38" xfId="0" applyFont="1" applyFill="1" applyBorder="1" applyAlignment="1">
      <alignment horizontal="center" vertical="center" wrapText="1"/>
    </xf>
    <xf numFmtId="0" fontId="30" fillId="28" borderId="159" xfId="0" applyFont="1" applyFill="1" applyBorder="1" applyAlignment="1">
      <alignment horizontal="center" vertical="center" wrapText="1"/>
    </xf>
    <xf numFmtId="0" fontId="0" fillId="0" borderId="162" xfId="0" applyBorder="1"/>
    <xf numFmtId="0" fontId="0" fillId="0" borderId="12" xfId="0" applyBorder="1"/>
    <xf numFmtId="0" fontId="26" fillId="0" borderId="0" xfId="0" applyFont="1" applyAlignment="1">
      <alignment horizontal="center" vertical="center" wrapText="1"/>
    </xf>
    <xf numFmtId="0" fontId="25" fillId="0" borderId="0" xfId="0" applyFont="1" applyAlignment="1">
      <alignment vertical="center"/>
    </xf>
    <xf numFmtId="0" fontId="25" fillId="0" borderId="0" xfId="0" applyFont="1" applyAlignment="1">
      <alignment vertical="center" wrapText="1"/>
    </xf>
    <xf numFmtId="0" fontId="25" fillId="0" borderId="0" xfId="0" applyFont="1" applyAlignment="1">
      <alignment horizontal="center" vertical="center" wrapText="1"/>
    </xf>
    <xf numFmtId="0" fontId="27" fillId="0" borderId="0" xfId="0" applyFont="1" applyAlignment="1">
      <alignment horizontal="center" vertical="center"/>
    </xf>
    <xf numFmtId="0" fontId="25" fillId="0" borderId="0" xfId="0" applyFont="1" applyAlignment="1">
      <alignment horizontal="center" vertical="center"/>
    </xf>
    <xf numFmtId="164" fontId="25" fillId="0" borderId="0" xfId="0" applyNumberFormat="1" applyFont="1" applyAlignment="1">
      <alignment horizontal="center" vertical="center"/>
    </xf>
    <xf numFmtId="0" fontId="26" fillId="22" borderId="80" xfId="0" applyFont="1" applyFill="1" applyBorder="1" applyAlignment="1">
      <alignment horizontal="left" vertical="center" wrapText="1"/>
    </xf>
    <xf numFmtId="0" fontId="0" fillId="0" borderId="28" xfId="0" applyBorder="1"/>
    <xf numFmtId="0" fontId="0" fillId="0" borderId="29" xfId="0" applyBorder="1"/>
    <xf numFmtId="0" fontId="28" fillId="23" borderId="81" xfId="0" applyFont="1" applyFill="1" applyBorder="1" applyAlignment="1">
      <alignment vertical="center" wrapText="1"/>
    </xf>
    <xf numFmtId="0" fontId="0" fillId="0" borderId="131" xfId="0" applyBorder="1"/>
    <xf numFmtId="0" fontId="0" fillId="0" borderId="30" xfId="0" applyBorder="1"/>
    <xf numFmtId="0" fontId="28" fillId="23" borderId="82" xfId="0" applyFont="1" applyFill="1" applyBorder="1" applyAlignment="1">
      <alignment vertical="center" wrapText="1"/>
    </xf>
    <xf numFmtId="0" fontId="0" fillId="0" borderId="16" xfId="0" applyBorder="1"/>
    <xf numFmtId="0" fontId="26" fillId="0" borderId="23" xfId="0" applyFont="1" applyBorder="1" applyAlignment="1">
      <alignment horizontal="right" vertical="center" wrapText="1"/>
    </xf>
    <xf numFmtId="0" fontId="0" fillId="0" borderId="39" xfId="0" applyBorder="1"/>
    <xf numFmtId="0" fontId="26" fillId="0" borderId="25" xfId="0" applyFont="1" applyBorder="1" applyAlignment="1">
      <alignment horizontal="right" vertical="center" wrapText="1"/>
    </xf>
    <xf numFmtId="0" fontId="0" fillId="0" borderId="83" xfId="0" applyBorder="1"/>
    <xf numFmtId="0" fontId="28" fillId="23" borderId="84" xfId="0" applyFont="1" applyFill="1" applyBorder="1" applyAlignment="1">
      <alignment vertical="center" wrapText="1"/>
    </xf>
    <xf numFmtId="0" fontId="0" fillId="0" borderId="18" xfId="0" applyBorder="1"/>
    <xf numFmtId="0" fontId="0" fillId="0" borderId="19" xfId="0" applyBorder="1"/>
    <xf numFmtId="0" fontId="26" fillId="0" borderId="21" xfId="0" applyFont="1" applyBorder="1" applyAlignment="1">
      <alignment horizontal="right" vertical="center" wrapText="1"/>
    </xf>
    <xf numFmtId="0" fontId="0" fillId="0" borderId="85" xfId="0" applyBorder="1"/>
    <xf numFmtId="0" fontId="40" fillId="19" borderId="172" xfId="0" applyFont="1" applyFill="1" applyBorder="1" applyAlignment="1">
      <alignment horizontal="center" vertical="center" wrapText="1"/>
    </xf>
    <xf numFmtId="0" fontId="30" fillId="24" borderId="53" xfId="0" applyFont="1" applyFill="1" applyBorder="1" applyAlignment="1">
      <alignment horizontal="center" vertical="center" wrapText="1"/>
    </xf>
    <xf numFmtId="0" fontId="30" fillId="24" borderId="122" xfId="0" applyFont="1" applyFill="1" applyBorder="1" applyAlignment="1">
      <alignment horizontal="center" vertical="center" wrapText="1"/>
    </xf>
    <xf numFmtId="2" fontId="41" fillId="19" borderId="168" xfId="0" applyNumberFormat="1" applyFont="1" applyFill="1" applyBorder="1" applyAlignment="1">
      <alignment horizontal="center" vertical="center"/>
    </xf>
    <xf numFmtId="0" fontId="32" fillId="0" borderId="61" xfId="0" applyFont="1" applyBorder="1" applyAlignment="1">
      <alignment horizontal="left" vertical="center"/>
    </xf>
    <xf numFmtId="0" fontId="28" fillId="0" borderId="166" xfId="0" applyFont="1" applyBorder="1" applyAlignment="1">
      <alignment horizontal="left" vertical="center"/>
    </xf>
    <xf numFmtId="0" fontId="40" fillId="24" borderId="38" xfId="0" applyFont="1" applyFill="1" applyBorder="1" applyAlignment="1">
      <alignment horizontal="center" vertical="center" wrapText="1"/>
    </xf>
    <xf numFmtId="2" fontId="39" fillId="19" borderId="168" xfId="0" applyNumberFormat="1" applyFont="1" applyFill="1" applyBorder="1" applyAlignment="1">
      <alignment horizontal="center" vertical="center"/>
    </xf>
    <xf numFmtId="0" fontId="11" fillId="18" borderId="0" xfId="0" applyFont="1" applyFill="1" applyAlignment="1">
      <alignment horizontal="center" vertical="center" wrapText="1"/>
    </xf>
    <xf numFmtId="0" fontId="10" fillId="0" borderId="0" xfId="0" applyFont="1" applyAlignment="1">
      <alignment horizontal="center"/>
    </xf>
    <xf numFmtId="0" fontId="26" fillId="4" borderId="86" xfId="0" applyFont="1" applyFill="1" applyBorder="1" applyAlignment="1">
      <alignment horizontal="center" vertical="center" wrapText="1"/>
    </xf>
    <xf numFmtId="0" fontId="0" fillId="0" borderId="42" xfId="0" applyBorder="1"/>
    <xf numFmtId="0" fontId="0" fillId="0" borderId="48" xfId="0" applyBorder="1"/>
    <xf numFmtId="0" fontId="27" fillId="4" borderId="86" xfId="0" applyFont="1" applyFill="1" applyBorder="1" applyAlignment="1">
      <alignment horizontal="center" vertical="center"/>
    </xf>
    <xf numFmtId="0" fontId="25" fillId="0" borderId="0" xfId="0" applyFont="1"/>
    <xf numFmtId="0" fontId="26" fillId="0" borderId="0" xfId="0" applyFont="1" applyAlignment="1">
      <alignment horizontal="right" wrapText="1"/>
    </xf>
    <xf numFmtId="14" fontId="28" fillId="0" borderId="0" xfId="0" applyNumberFormat="1" applyFont="1" applyAlignment="1">
      <alignment horizontal="left" wrapText="1"/>
    </xf>
    <xf numFmtId="0" fontId="28" fillId="0" borderId="0" xfId="0" applyFont="1" applyAlignment="1">
      <alignment wrapText="1"/>
    </xf>
    <xf numFmtId="0" fontId="27" fillId="12" borderId="86" xfId="1" applyFont="1" applyFill="1" applyBorder="1" applyAlignment="1">
      <alignment horizontal="left" vertical="center" wrapText="1"/>
    </xf>
    <xf numFmtId="0" fontId="28" fillId="0" borderId="0" xfId="0" applyFont="1" applyAlignment="1">
      <alignment horizontal="left" wrapText="1"/>
    </xf>
    <xf numFmtId="0" fontId="26" fillId="2" borderId="46" xfId="0" applyFont="1" applyFill="1" applyBorder="1" applyAlignment="1">
      <alignment horizontal="center" vertical="center" wrapText="1"/>
    </xf>
    <xf numFmtId="0" fontId="0" fillId="0" borderId="40" xfId="0" applyBorder="1"/>
    <xf numFmtId="0" fontId="0" fillId="0" borderId="41" xfId="0" applyBorder="1"/>
    <xf numFmtId="0" fontId="29" fillId="21" borderId="87" xfId="0" applyFont="1" applyFill="1" applyBorder="1" applyAlignment="1">
      <alignment horizontal="center" vertical="center" wrapText="1"/>
    </xf>
    <xf numFmtId="0" fontId="0" fillId="0" borderId="161" xfId="0" applyBorder="1"/>
    <xf numFmtId="0" fontId="0" fillId="0" borderId="73" xfId="0" applyBorder="1"/>
    <xf numFmtId="0" fontId="30" fillId="32" borderId="88" xfId="0" applyFont="1" applyFill="1" applyBorder="1" applyAlignment="1">
      <alignment horizontal="center" vertical="center" wrapText="1"/>
    </xf>
    <xf numFmtId="0" fontId="0" fillId="0" borderId="63" xfId="0" applyBorder="1"/>
    <xf numFmtId="0" fontId="0" fillId="0" borderId="65" xfId="0" applyBorder="1"/>
    <xf numFmtId="0" fontId="42" fillId="34" borderId="162" xfId="0" applyFont="1" applyFill="1" applyBorder="1" applyAlignment="1">
      <alignment horizontal="left" vertical="center" wrapText="1"/>
    </xf>
    <xf numFmtId="0" fontId="40" fillId="21" borderId="161" xfId="0" applyFont="1" applyFill="1" applyBorder="1" applyAlignment="1">
      <alignment horizontal="left" vertical="center" wrapText="1"/>
    </xf>
    <xf numFmtId="0" fontId="40" fillId="32" borderId="162" xfId="0" applyFont="1" applyFill="1" applyBorder="1" applyAlignment="1">
      <alignment horizontal="left" vertical="center" wrapText="1"/>
    </xf>
    <xf numFmtId="0" fontId="40" fillId="36" borderId="162" xfId="0" applyFont="1" applyFill="1" applyBorder="1" applyAlignment="1">
      <alignment horizontal="left" vertical="center" wrapText="1"/>
    </xf>
    <xf numFmtId="0" fontId="40" fillId="38" borderId="162" xfId="0" applyFont="1" applyFill="1" applyBorder="1" applyAlignment="1">
      <alignment horizontal="left" vertical="center" wrapText="1"/>
    </xf>
    <xf numFmtId="0" fontId="29" fillId="32" borderId="90" xfId="0" applyFont="1" applyFill="1" applyBorder="1" applyAlignment="1">
      <alignment horizontal="center" vertical="center" wrapText="1"/>
    </xf>
    <xf numFmtId="0" fontId="0" fillId="0" borderId="144" xfId="0" applyBorder="1"/>
    <xf numFmtId="2" fontId="41" fillId="33" borderId="90" xfId="0" applyNumberFormat="1" applyFont="1" applyFill="1" applyBorder="1" applyAlignment="1">
      <alignment horizontal="center" vertical="center"/>
    </xf>
    <xf numFmtId="0" fontId="0" fillId="0" borderId="69" xfId="0" applyBorder="1"/>
    <xf numFmtId="0" fontId="0" fillId="0" borderId="72" xfId="0" applyBorder="1"/>
    <xf numFmtId="2" fontId="41" fillId="32" borderId="133" xfId="0" applyNumberFormat="1" applyFont="1" applyFill="1" applyBorder="1" applyAlignment="1">
      <alignment horizontal="center" vertical="center"/>
    </xf>
    <xf numFmtId="0" fontId="29" fillId="32" borderId="162" xfId="0" applyFont="1" applyFill="1" applyBorder="1" applyAlignment="1">
      <alignment horizontal="center" vertical="center" wrapText="1"/>
    </xf>
    <xf numFmtId="0" fontId="30" fillId="34" borderId="162" xfId="0" applyFont="1" applyFill="1" applyBorder="1" applyAlignment="1">
      <alignment horizontal="center" vertical="center" wrapText="1"/>
    </xf>
    <xf numFmtId="0" fontId="30" fillId="21" borderId="88" xfId="0" applyFont="1" applyFill="1" applyBorder="1" applyAlignment="1">
      <alignment horizontal="center" vertical="center" wrapText="1"/>
    </xf>
    <xf numFmtId="2" fontId="41" fillId="21" borderId="133" xfId="0" applyNumberFormat="1" applyFont="1" applyFill="1" applyBorder="1" applyAlignment="1">
      <alignment horizontal="center" vertical="center"/>
    </xf>
    <xf numFmtId="0" fontId="30" fillId="34" borderId="90" xfId="0" applyFont="1" applyFill="1" applyBorder="1" applyAlignment="1">
      <alignment horizontal="center" vertical="center" wrapText="1"/>
    </xf>
    <xf numFmtId="0" fontId="30" fillId="32" borderId="89" xfId="0" applyFont="1" applyFill="1" applyBorder="1" applyAlignment="1">
      <alignment horizontal="center" vertical="center" wrapText="1"/>
    </xf>
    <xf numFmtId="0" fontId="0" fillId="0" borderId="66" xfId="0" applyBorder="1"/>
    <xf numFmtId="0" fontId="26" fillId="0" borderId="153" xfId="0" applyFont="1" applyBorder="1" applyAlignment="1">
      <alignment horizontal="right" vertical="center"/>
    </xf>
    <xf numFmtId="0" fontId="0" fillId="0" borderId="175" xfId="0" applyBorder="1"/>
    <xf numFmtId="0" fontId="26" fillId="0" borderId="155" xfId="0" applyFont="1" applyBorder="1" applyAlignment="1">
      <alignment horizontal="right" vertical="center"/>
    </xf>
    <xf numFmtId="0" fontId="0" fillId="0" borderId="141" xfId="0" applyBorder="1"/>
    <xf numFmtId="0" fontId="26" fillId="0" borderId="157" xfId="0" applyFont="1" applyBorder="1" applyAlignment="1">
      <alignment horizontal="right" vertical="center"/>
    </xf>
    <xf numFmtId="0" fontId="0" fillId="0" borderId="176" xfId="0" applyBorder="1"/>
    <xf numFmtId="2" fontId="41" fillId="21" borderId="144" xfId="0" applyNumberFormat="1" applyFont="1" applyFill="1" applyBorder="1" applyAlignment="1">
      <alignment horizontal="center" vertical="center"/>
    </xf>
    <xf numFmtId="0" fontId="0" fillId="0" borderId="109" xfId="0" applyBorder="1"/>
    <xf numFmtId="0" fontId="0" fillId="0" borderId="110" xfId="0" applyBorder="1"/>
    <xf numFmtId="2" fontId="41" fillId="21" borderId="90" xfId="0" applyNumberFormat="1" applyFont="1" applyFill="1" applyBorder="1" applyAlignment="1">
      <alignment horizontal="center" vertical="center"/>
    </xf>
    <xf numFmtId="0" fontId="30" fillId="38" borderId="62" xfId="0" applyFont="1" applyFill="1" applyBorder="1" applyAlignment="1">
      <alignment horizontal="center" vertical="center" wrapText="1"/>
    </xf>
    <xf numFmtId="2" fontId="41" fillId="35" borderId="90" xfId="0" applyNumberFormat="1" applyFont="1" applyFill="1" applyBorder="1" applyAlignment="1">
      <alignment horizontal="center" vertical="center"/>
    </xf>
    <xf numFmtId="2" fontId="41" fillId="35" borderId="133" xfId="0" applyNumberFormat="1" applyFont="1" applyFill="1" applyBorder="1" applyAlignment="1">
      <alignment horizontal="center" vertical="center"/>
    </xf>
    <xf numFmtId="2" fontId="41" fillId="37" borderId="90" xfId="0" applyNumberFormat="1" applyFont="1" applyFill="1" applyBorder="1" applyAlignment="1">
      <alignment horizontal="center" vertical="center"/>
    </xf>
    <xf numFmtId="2" fontId="41" fillId="37" borderId="133" xfId="0" applyNumberFormat="1" applyFont="1" applyFill="1" applyBorder="1" applyAlignment="1">
      <alignment horizontal="center" vertical="center"/>
    </xf>
    <xf numFmtId="2" fontId="41" fillId="39" borderId="90" xfId="0" applyNumberFormat="1" applyFont="1" applyFill="1" applyBorder="1" applyAlignment="1">
      <alignment horizontal="center" vertical="center"/>
    </xf>
    <xf numFmtId="0" fontId="29" fillId="36" borderId="90" xfId="0" applyFont="1" applyFill="1" applyBorder="1" applyAlignment="1">
      <alignment horizontal="center" vertical="center" wrapText="1"/>
    </xf>
    <xf numFmtId="0" fontId="29" fillId="38" borderId="90" xfId="0" applyFont="1" applyFill="1" applyBorder="1" applyAlignment="1">
      <alignment horizontal="center" vertical="center" wrapText="1"/>
    </xf>
    <xf numFmtId="0" fontId="30" fillId="34" borderId="88" xfId="0" applyFont="1" applyFill="1" applyBorder="1" applyAlignment="1">
      <alignment horizontal="center" vertical="center" wrapText="1"/>
    </xf>
    <xf numFmtId="0" fontId="30" fillId="38" borderId="89" xfId="0" applyFont="1" applyFill="1" applyBorder="1" applyAlignment="1">
      <alignment horizontal="center" vertical="center" wrapText="1"/>
    </xf>
    <xf numFmtId="0" fontId="30" fillId="38" borderId="88" xfId="0" applyFont="1" applyFill="1" applyBorder="1" applyAlignment="1">
      <alignment horizontal="center" vertical="center" wrapText="1"/>
    </xf>
    <xf numFmtId="0" fontId="30" fillId="36" borderId="88" xfId="0" applyFont="1" applyFill="1" applyBorder="1" applyAlignment="1">
      <alignment horizontal="center" vertical="center" wrapText="1"/>
    </xf>
    <xf numFmtId="0" fontId="30" fillId="32" borderId="62" xfId="0" applyFont="1" applyFill="1" applyBorder="1" applyAlignment="1">
      <alignment horizontal="center" vertical="center" wrapText="1"/>
    </xf>
    <xf numFmtId="2" fontId="41" fillId="39" borderId="132" xfId="0" applyNumberFormat="1" applyFont="1" applyFill="1" applyBorder="1" applyAlignment="1">
      <alignment horizontal="center" vertical="center"/>
    </xf>
    <xf numFmtId="0" fontId="29" fillId="36" borderId="162" xfId="0" applyFont="1" applyFill="1" applyBorder="1" applyAlignment="1">
      <alignment horizontal="center" vertical="center" wrapText="1"/>
    </xf>
    <xf numFmtId="0" fontId="29" fillId="38" borderId="162" xfId="0" applyFont="1" applyFill="1" applyBorder="1" applyAlignment="1">
      <alignment horizontal="center" vertical="center" wrapText="1"/>
    </xf>
    <xf numFmtId="0" fontId="29" fillId="21" borderId="171" xfId="0" applyFont="1" applyFill="1" applyBorder="1" applyAlignment="1">
      <alignment horizontal="center" vertical="center" wrapText="1"/>
    </xf>
    <xf numFmtId="0" fontId="29" fillId="38" borderId="170" xfId="0" applyFont="1" applyFill="1" applyBorder="1" applyAlignment="1">
      <alignment horizontal="center" vertical="center" wrapText="1"/>
    </xf>
    <xf numFmtId="0" fontId="29" fillId="36" borderId="171" xfId="0" applyFont="1" applyFill="1" applyBorder="1" applyAlignment="1">
      <alignment horizontal="center" vertical="center" wrapText="1"/>
    </xf>
    <xf numFmtId="0" fontId="30" fillId="34" borderId="170" xfId="0" applyFont="1" applyFill="1" applyBorder="1" applyAlignment="1">
      <alignment horizontal="center" vertical="center" wrapText="1"/>
    </xf>
    <xf numFmtId="0" fontId="29" fillId="32" borderId="171" xfId="0" applyFont="1" applyFill="1" applyBorder="1" applyAlignment="1">
      <alignment horizontal="center" vertical="center" wrapText="1"/>
    </xf>
    <xf numFmtId="0" fontId="10" fillId="14" borderId="0" xfId="1" applyFont="1" applyFill="1" applyAlignment="1">
      <alignment horizontal="center"/>
    </xf>
    <xf numFmtId="0" fontId="10" fillId="0" borderId="0" xfId="1" applyFont="1"/>
    <xf numFmtId="0" fontId="18" fillId="14" borderId="0" xfId="1" applyFont="1" applyFill="1" applyAlignment="1">
      <alignment horizontal="center"/>
    </xf>
    <xf numFmtId="0" fontId="18" fillId="0" borderId="0" xfId="1" applyFont="1"/>
    <xf numFmtId="0" fontId="11" fillId="23" borderId="152" xfId="1" applyFont="1" applyFill="1" applyBorder="1" applyAlignment="1">
      <alignment horizontal="left" vertical="center" wrapText="1"/>
    </xf>
    <xf numFmtId="0" fontId="18" fillId="14" borderId="18" xfId="1" applyFont="1" applyFill="1" applyBorder="1" applyAlignment="1">
      <alignment horizontal="center"/>
    </xf>
    <xf numFmtId="0" fontId="18" fillId="0" borderId="0" xfId="1" applyFont="1" applyAlignment="1" applyProtection="1">
      <alignment horizontal="left"/>
      <protection locked="0"/>
    </xf>
    <xf numFmtId="14" fontId="18" fillId="0" borderId="0" xfId="1" applyNumberFormat="1" applyFont="1" applyAlignment="1" applyProtection="1">
      <alignment horizontal="left"/>
      <protection locked="0"/>
    </xf>
    <xf numFmtId="0" fontId="0" fillId="3" borderId="0" xfId="0" applyFill="1" applyAlignment="1">
      <alignment horizontal="center" vertical="center"/>
    </xf>
    <xf numFmtId="0" fontId="0" fillId="0" borderId="0" xfId="0"/>
    <xf numFmtId="0" fontId="6" fillId="12" borderId="86" xfId="1" applyFont="1" applyFill="1" applyBorder="1" applyAlignment="1">
      <alignment horizontal="left" vertical="center" wrapText="1"/>
    </xf>
    <xf numFmtId="0" fontId="2" fillId="0" borderId="20" xfId="0" applyFont="1" applyBorder="1" applyAlignment="1">
      <alignment horizontal="center"/>
    </xf>
    <xf numFmtId="0" fontId="0" fillId="0" borderId="0" xfId="0" applyAlignment="1">
      <alignment vertical="top"/>
    </xf>
    <xf numFmtId="0" fontId="43" fillId="0" borderId="0" xfId="0" applyFont="1" applyAlignment="1">
      <alignment vertical="top" wrapText="1"/>
    </xf>
    <xf numFmtId="0" fontId="44" fillId="0" borderId="0" xfId="0" applyFont="1" applyAlignment="1">
      <alignment vertical="top" wrapText="1"/>
    </xf>
  </cellXfs>
  <cellStyles count="6">
    <cellStyle name="Followed Hyperlink" xfId="4" builtinId="9" hidden="1"/>
    <cellStyle name="Hyperlink 2" xfId="3" xr:uid="{00000000-0005-0000-0000-000003000000}"/>
    <cellStyle name="Normal" xfId="0" builtinId="0"/>
    <cellStyle name="Normal 2" xfId="1" xr:uid="{00000000-0005-0000-0000-000001000000}"/>
    <cellStyle name="Normal 2 2" xfId="5" xr:uid="{00000000-0005-0000-0000-000005000000}"/>
    <cellStyle name="Percent 2" xfId="2" xr:uid="{00000000-0005-0000-0000-000002000000}"/>
  </cellStyles>
  <dxfs count="241">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E2D0D6"/>
        </patternFill>
      </fill>
    </dxf>
    <dxf>
      <font>
        <color theme="1"/>
      </font>
      <fill>
        <patternFill>
          <bgColor rgb="FFE2D0D6"/>
        </patternFill>
      </fill>
    </dxf>
    <dxf>
      <font>
        <color theme="1"/>
      </font>
      <fill>
        <patternFill>
          <bgColor rgb="FFECE651"/>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C5E2B6"/>
        </patternFill>
      </fill>
    </dxf>
    <dxf>
      <font>
        <color theme="1"/>
      </font>
      <fill>
        <patternFill>
          <bgColor rgb="FFECE651"/>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CE651"/>
        </patternFill>
      </fill>
    </dxf>
    <dxf>
      <font>
        <color theme="1"/>
      </font>
      <fill>
        <patternFill>
          <bgColor rgb="FFE2D0D6"/>
        </patternFill>
      </fill>
    </dxf>
    <dxf>
      <font>
        <color theme="1"/>
      </font>
      <fill>
        <patternFill>
          <bgColor rgb="FFE2D0D6"/>
        </patternFill>
      </fill>
    </dxf>
    <dxf>
      <font>
        <color theme="1"/>
      </font>
      <fill>
        <patternFill>
          <bgColor rgb="FFECE651"/>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CFD9E2"/>
        </patternFill>
      </fill>
    </dxf>
    <dxf>
      <font>
        <color theme="1"/>
      </font>
      <fill>
        <patternFill>
          <bgColor rgb="FFECE651"/>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D7D7DA"/>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E2D0D6"/>
        </patternFill>
      </fill>
    </dxf>
    <dxf>
      <font>
        <color theme="1"/>
      </font>
      <fill>
        <patternFill>
          <bgColor rgb="FFECE651"/>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ECE651"/>
        </patternFill>
      </fill>
    </dxf>
    <dxf>
      <font>
        <color theme="1"/>
      </font>
      <fill>
        <patternFill>
          <bgColor rgb="FFC5E2B6"/>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D7D7DA"/>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CE651"/>
        </patternFill>
      </fill>
    </dxf>
    <dxf>
      <font>
        <color theme="1"/>
      </font>
      <fill>
        <patternFill>
          <bgColor rgb="FFE2D0D6"/>
        </patternFill>
      </fill>
    </dxf>
    <dxf>
      <font>
        <color theme="1"/>
      </font>
      <fill>
        <patternFill>
          <bgColor rgb="FFE2D0D6"/>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ECE651"/>
        </patternFill>
      </fill>
    </dxf>
    <dxf>
      <font>
        <color theme="1"/>
      </font>
      <fill>
        <patternFill>
          <bgColor rgb="FFE2D0D6"/>
        </patternFill>
      </fill>
    </dxf>
    <dxf>
      <font>
        <color theme="1"/>
      </font>
      <fill>
        <patternFill>
          <bgColor rgb="FFECE651"/>
        </patternFill>
      </fill>
    </dxf>
    <dxf>
      <font>
        <color theme="1"/>
      </font>
      <fill>
        <patternFill>
          <bgColor rgb="FFC5E2B6"/>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C5E2B6"/>
        </patternFill>
      </fill>
    </dxf>
    <dxf>
      <font>
        <color theme="1"/>
      </font>
      <fill>
        <patternFill>
          <bgColor rgb="FFECE651"/>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FED4B3"/>
        </patternFill>
      </fill>
    </dxf>
    <dxf>
      <font>
        <color theme="1"/>
      </font>
      <fill>
        <patternFill>
          <bgColor rgb="FFECE651"/>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FED4B3"/>
        </patternFill>
      </fill>
    </dxf>
    <dxf>
      <font>
        <color theme="1"/>
      </font>
      <fill>
        <patternFill>
          <bgColor rgb="FFECE651"/>
        </patternFill>
      </fill>
    </dxf>
    <dxf>
      <font>
        <color theme="1"/>
      </font>
      <fill>
        <patternFill>
          <bgColor rgb="FFCFD9E2"/>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CFD9E2"/>
        </patternFill>
      </fill>
    </dxf>
    <dxf>
      <font>
        <color theme="1"/>
      </font>
      <fill>
        <patternFill>
          <bgColor rgb="FFECE651"/>
        </patternFill>
      </fill>
    </dxf>
    <dxf>
      <font>
        <color theme="1"/>
      </font>
      <fill>
        <patternFill>
          <bgColor rgb="FFECE651"/>
        </patternFill>
      </fill>
    </dxf>
    <dxf>
      <font>
        <color theme="1"/>
      </font>
      <fill>
        <patternFill>
          <bgColor rgb="FFCFD9E2"/>
        </patternFill>
      </fill>
    </dxf>
    <dxf>
      <font>
        <color theme="1"/>
      </font>
      <fill>
        <patternFill>
          <bgColor rgb="FFCFD9E2"/>
        </patternFill>
      </fill>
    </dxf>
    <dxf>
      <font>
        <color theme="1"/>
      </font>
      <fill>
        <patternFill>
          <bgColor rgb="FFECE651"/>
        </patternFill>
      </fill>
    </dxf>
    <dxf>
      <fill>
        <gradientFill degree="180">
          <stop position="0">
            <color theme="0"/>
          </stop>
          <stop position="1">
            <color theme="4"/>
          </stop>
        </gradient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10000"/>
      <rgbColor rgb="00FFFFFF"/>
      <rgbColor rgb="0099CCFF"/>
      <rgbColor rgb="00B3D580"/>
      <rgbColor rgb="00339966"/>
      <rgbColor rgb="00FF0000"/>
      <rgbColor rgb="00003366"/>
      <rgbColor rgb="00FFCC99"/>
      <rgbColor rgb="00FF6600"/>
      <rgbColor rgb="00008000"/>
      <rgbColor rgb="00DDDDDD"/>
      <rgbColor rgb="00E69999"/>
      <rgbColor rgb="00CCFFC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CC"/>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rPr lang="en-US"/>
              <a:t>SAMM Current Score</a:t>
            </a:r>
          </a:p>
        </c:rich>
      </c:tx>
      <c:layout>
        <c:manualLayout>
          <c:xMode val="edge"/>
          <c:yMode val="edge"/>
          <c:x val="0.68834891732283499"/>
          <c:y val="0.91054313099041495"/>
        </c:manualLayout>
      </c:layout>
      <c:overlay val="1"/>
      <c:spPr>
        <a:noFill/>
        <a:ln>
          <a:noFill/>
          <a:prstDash val="solid"/>
        </a:ln>
      </c:spPr>
    </c:title>
    <c:autoTitleDeleted val="0"/>
    <c:plotArea>
      <c:layout/>
      <c:radarChart>
        <c:radarStyle val="filled"/>
        <c:varyColors val="0"/>
        <c:ser>
          <c:idx val="0"/>
          <c:order val="0"/>
          <c:tx>
            <c:strRef>
              <c:f>Scorecard!$V$13</c:f>
              <c:strCache>
                <c:ptCount val="1"/>
                <c:pt idx="0">
                  <c:v>Governance</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prstDash val="solid"/>
            </a:ln>
            <a:sp3d/>
          </c:spPr>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Scorecard!$V$14:$V$28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74F4-004E-A0FA-1CD911B61DA6}"/>
            </c:ext>
          </c:extLst>
        </c:ser>
        <c:ser>
          <c:idx val="1"/>
          <c:order val="1"/>
          <c:tx>
            <c:strRef>
              <c:f>Scorecard!$W$13</c:f>
              <c:strCache>
                <c:ptCount val="1"/>
                <c:pt idx="0">
                  <c:v>Design</c:v>
                </c:pt>
              </c:strCache>
            </c:strRef>
          </c:tx>
          <c:spPr>
            <a:solidFill>
              <a:srgbClr val="B75727"/>
            </a:solidFill>
            <a:ln>
              <a:noFill/>
              <a:prstDash val="solid"/>
            </a:ln>
            <a:sp3d/>
          </c:spPr>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Scorecard!$W$14:$W$28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1-74F4-004E-A0FA-1CD911B61DA6}"/>
            </c:ext>
          </c:extLst>
        </c:ser>
        <c:ser>
          <c:idx val="2"/>
          <c:order val="2"/>
          <c:tx>
            <c:strRef>
              <c:f>Scorecard!$X$13</c:f>
              <c:strCache>
                <c:ptCount val="1"/>
                <c:pt idx="0">
                  <c:v>Implementation</c:v>
                </c:pt>
              </c:strCache>
            </c:strRef>
          </c:tx>
          <c:spPr>
            <a:solidFill>
              <a:srgbClr val="FFC221"/>
            </a:solidFill>
            <a:ln w="25400">
              <a:noFill/>
              <a:prstDash val="solid"/>
            </a:ln>
            <a:sp3d/>
          </c:spPr>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Scorecard!$X$14:$X$28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2-74F4-004E-A0FA-1CD911B61DA6}"/>
            </c:ext>
          </c:extLst>
        </c:ser>
        <c:ser>
          <c:idx val="3"/>
          <c:order val="3"/>
          <c:tx>
            <c:strRef>
              <c:f>Scorecard!$Y$13</c:f>
              <c:strCache>
                <c:ptCount val="1"/>
                <c:pt idx="0">
                  <c:v>Verification</c:v>
                </c:pt>
              </c:strCache>
            </c:strRef>
          </c:tx>
          <c:spPr>
            <a:solidFill>
              <a:srgbClr val="37793E"/>
            </a:solidFill>
            <a:ln>
              <a:noFill/>
              <a:prstDash val="solid"/>
            </a:ln>
            <a:sp3d/>
          </c:spPr>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Scorecard!$Y$14:$Y$28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3-74F4-004E-A0FA-1CD911B61DA6}"/>
            </c:ext>
          </c:extLst>
        </c:ser>
        <c:ser>
          <c:idx val="4"/>
          <c:order val="4"/>
          <c:tx>
            <c:strRef>
              <c:f>Scorecard!$Z$13</c:f>
              <c:strCache>
                <c:ptCount val="1"/>
                <c:pt idx="0">
                  <c:v>Operations</c:v>
                </c:pt>
              </c:strCache>
            </c:strRef>
          </c:tx>
          <c:spPr>
            <a:gradFill rotWithShape="1">
              <a:gsLst>
                <a:gs pos="0">
                  <a:schemeClr val="accent2">
                    <a:shade val="51000"/>
                    <a:satMod val="130000"/>
                    <a:lumMod val="60000"/>
                  </a:schemeClr>
                </a:gs>
                <a:gs pos="80000">
                  <a:schemeClr val="accent2">
                    <a:shade val="93000"/>
                    <a:satMod val="130000"/>
                    <a:lumMod val="60000"/>
                  </a:schemeClr>
                </a:gs>
                <a:gs pos="100000">
                  <a:schemeClr val="accent2">
                    <a:shade val="94000"/>
                    <a:satMod val="135000"/>
                    <a:lumMod val="60000"/>
                  </a:schemeClr>
                </a:gs>
              </a:gsLst>
              <a:lin ang="16200000" scaled="0"/>
            </a:gradFill>
            <a:ln>
              <a:noFill/>
              <a:prstDash val="solid"/>
            </a:ln>
            <a:sp3d/>
          </c:spPr>
          <c:cat>
            <c:strRef>
              <c:f>Scorecard!$U$14:$U$28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Scorecard!$Z$14:$Z$28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4-74F4-004E-A0FA-1CD911B61DA6}"/>
            </c:ext>
          </c:extLst>
        </c:ser>
        <c:dLbls>
          <c:showLegendKey val="0"/>
          <c:showVal val="0"/>
          <c:showCatName val="0"/>
          <c:showSerName val="0"/>
          <c:showPercent val="0"/>
          <c:showBubbleSize val="0"/>
        </c:dLbls>
        <c:axId val="-1853951552"/>
        <c:axId val="-1733289472"/>
      </c:radarChart>
      <c:catAx>
        <c:axId val="-18539515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33289472"/>
        <c:crosses val="autoZero"/>
        <c:auto val="1"/>
        <c:lblAlgn val="ctr"/>
        <c:lblOffset val="100"/>
        <c:noMultiLvlLbl val="0"/>
      </c:catAx>
      <c:valAx>
        <c:axId val="-1733289472"/>
        <c:scaling>
          <c:orientation val="minMax"/>
          <c:max val="3"/>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853951552"/>
        <c:crosses val="autoZero"/>
        <c:crossBetween val="between"/>
      </c:valAx>
    </c:plotArea>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rPr lang="en-US"/>
              <a:t>Phase II Score</a:t>
            </a:r>
          </a:p>
        </c:rich>
      </c:tx>
      <c:layout>
        <c:manualLayout>
          <c:xMode val="edge"/>
          <c:yMode val="edge"/>
          <c:x val="0.76723734622399797"/>
          <c:y val="0.91054322690624079"/>
        </c:manualLayout>
      </c:layout>
      <c:overlay val="1"/>
      <c:spPr>
        <a:noFill/>
        <a:ln>
          <a:noFill/>
          <a:prstDash val="solid"/>
        </a:ln>
      </c:spPr>
    </c:title>
    <c:autoTitleDeleted val="0"/>
    <c:plotArea>
      <c:layout/>
      <c:radarChart>
        <c:radarStyle val="filled"/>
        <c:varyColors val="0"/>
        <c:ser>
          <c:idx val="33"/>
          <c:order val="0"/>
          <c:tx>
            <c:strRef>
              <c:f>Scorecard!$V$53</c:f>
              <c:strCache>
                <c:ptCount val="1"/>
                <c:pt idx="0">
                  <c:v>Governance</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prstDash val="solid"/>
            </a:ln>
            <a:sp3d/>
          </c:spPr>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Scorecard!$V$54:$V$68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116E-8749-B21B-3FF5528123E9}"/>
            </c:ext>
          </c:extLst>
        </c:ser>
        <c:ser>
          <c:idx val="34"/>
          <c:order val="1"/>
          <c:tx>
            <c:strRef>
              <c:f>Scorecard!$W$53</c:f>
              <c:strCache>
                <c:ptCount val="1"/>
                <c:pt idx="0">
                  <c:v>Design</c:v>
                </c:pt>
              </c:strCache>
            </c:strRef>
          </c:tx>
          <c:spPr>
            <a:solidFill>
              <a:srgbClr val="B75727"/>
            </a:solidFill>
            <a:ln>
              <a:noFill/>
              <a:prstDash val="solid"/>
            </a:ln>
            <a:sp3d/>
          </c:spPr>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Scorecard!$W$54:$W$68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1-116E-8749-B21B-3FF5528123E9}"/>
            </c:ext>
          </c:extLst>
        </c:ser>
        <c:ser>
          <c:idx val="35"/>
          <c:order val="2"/>
          <c:tx>
            <c:strRef>
              <c:f>Scorecard!$X$53</c:f>
              <c:strCache>
                <c:ptCount val="1"/>
                <c:pt idx="0">
                  <c:v>Implementation</c:v>
                </c:pt>
              </c:strCache>
            </c:strRef>
          </c:tx>
          <c:spPr>
            <a:solidFill>
              <a:srgbClr val="BDBF17"/>
            </a:solidFill>
            <a:ln w="25400">
              <a:noFill/>
              <a:prstDash val="solid"/>
            </a:ln>
            <a:sp3d/>
          </c:spPr>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Scorecard!$X$54:$X$68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2-116E-8749-B21B-3FF5528123E9}"/>
            </c:ext>
          </c:extLst>
        </c:ser>
        <c:ser>
          <c:idx val="36"/>
          <c:order val="3"/>
          <c:tx>
            <c:strRef>
              <c:f>Scorecard!$Y$53</c:f>
              <c:strCache>
                <c:ptCount val="1"/>
                <c:pt idx="0">
                  <c:v>Verification</c:v>
                </c:pt>
              </c:strCache>
            </c:strRef>
          </c:tx>
          <c:spPr>
            <a:solidFill>
              <a:srgbClr val="37793E"/>
            </a:solidFill>
            <a:ln>
              <a:noFill/>
              <a:prstDash val="solid"/>
            </a:ln>
            <a:sp3d/>
          </c:spPr>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Scorecard!$Y$54:$Y$68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3-116E-8749-B21B-3FF5528123E9}"/>
            </c:ext>
          </c:extLst>
        </c:ser>
        <c:ser>
          <c:idx val="37"/>
          <c:order val="4"/>
          <c:tx>
            <c:strRef>
              <c:f>Scorecard!$Z$53</c:f>
              <c:strCache>
                <c:ptCount val="1"/>
                <c:pt idx="0">
                  <c:v>Operations</c:v>
                </c:pt>
              </c:strCache>
            </c:strRef>
          </c:tx>
          <c:spPr>
            <a:gradFill rotWithShape="1">
              <a:gsLst>
                <a:gs pos="0">
                  <a:schemeClr val="accent2">
                    <a:shade val="51000"/>
                    <a:satMod val="130000"/>
                    <a:lumMod val="60000"/>
                  </a:schemeClr>
                </a:gs>
                <a:gs pos="80000">
                  <a:schemeClr val="accent2">
                    <a:shade val="93000"/>
                    <a:satMod val="130000"/>
                    <a:lumMod val="60000"/>
                  </a:schemeClr>
                </a:gs>
                <a:gs pos="100000">
                  <a:schemeClr val="accent2">
                    <a:shade val="94000"/>
                    <a:satMod val="135000"/>
                    <a:lumMod val="60000"/>
                  </a:schemeClr>
                </a:gs>
              </a:gsLst>
              <a:lin ang="16200000" scaled="0"/>
            </a:gradFill>
            <a:ln>
              <a:noFill/>
              <a:prstDash val="solid"/>
            </a:ln>
            <a:sp3d/>
          </c:spPr>
          <c:cat>
            <c:strRef>
              <c:f>Scorecard!$U$54:$U$68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Scorecard!$Z$54:$Z$68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4-116E-8749-B21B-3FF5528123E9}"/>
            </c:ext>
          </c:extLst>
        </c:ser>
        <c:dLbls>
          <c:showLegendKey val="0"/>
          <c:showVal val="0"/>
          <c:showCatName val="0"/>
          <c:showSerName val="0"/>
          <c:showPercent val="0"/>
          <c:showBubbleSize val="0"/>
        </c:dLbls>
        <c:axId val="-1853951552"/>
        <c:axId val="-1733289472"/>
      </c:radarChart>
      <c:catAx>
        <c:axId val="-18539515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33289472"/>
        <c:crosses val="autoZero"/>
        <c:auto val="1"/>
        <c:lblAlgn val="ctr"/>
        <c:lblOffset val="100"/>
        <c:noMultiLvlLbl val="0"/>
      </c:catAx>
      <c:valAx>
        <c:axId val="-1733289472"/>
        <c:scaling>
          <c:orientation val="minMax"/>
          <c:max val="3"/>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853951552"/>
        <c:crosses val="autoZero"/>
        <c:crossBetween val="between"/>
      </c:valAx>
    </c:plotArea>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rPr lang="en-US"/>
              <a:t>Phase I Score</a:t>
            </a:r>
          </a:p>
        </c:rich>
      </c:tx>
      <c:layout>
        <c:manualLayout>
          <c:xMode val="edge"/>
          <c:yMode val="edge"/>
          <c:x val="0.76723734622399797"/>
          <c:y val="0.91054322690624079"/>
        </c:manualLayout>
      </c:layout>
      <c:overlay val="1"/>
      <c:spPr>
        <a:noFill/>
        <a:ln>
          <a:noFill/>
          <a:prstDash val="solid"/>
        </a:ln>
      </c:spPr>
    </c:title>
    <c:autoTitleDeleted val="0"/>
    <c:plotArea>
      <c:layout/>
      <c:radarChart>
        <c:radarStyle val="filled"/>
        <c:varyColors val="0"/>
        <c:ser>
          <c:idx val="0"/>
          <c:order val="0"/>
          <c:tx>
            <c:strRef>
              <c:f>Scorecard!$V$33</c:f>
              <c:strCache>
                <c:ptCount val="1"/>
                <c:pt idx="0">
                  <c:v>Governance</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prstDash val="solid"/>
            </a:ln>
            <a:sp3d/>
          </c:spPr>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Scorecard!$V$34:$V$48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8E5-024D-8419-CA9435CACCAF}"/>
            </c:ext>
          </c:extLst>
        </c:ser>
        <c:ser>
          <c:idx val="1"/>
          <c:order val="1"/>
          <c:tx>
            <c:strRef>
              <c:f>Scorecard!$W$33</c:f>
              <c:strCache>
                <c:ptCount val="1"/>
                <c:pt idx="0">
                  <c:v>Design</c:v>
                </c:pt>
              </c:strCache>
            </c:strRef>
          </c:tx>
          <c:spPr>
            <a:solidFill>
              <a:srgbClr val="B75727"/>
            </a:solidFill>
            <a:ln>
              <a:noFill/>
              <a:prstDash val="solid"/>
            </a:ln>
            <a:sp3d/>
          </c:spPr>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Scorecard!$W$34:$W$48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1-D8E5-024D-8419-CA9435CACCAF}"/>
            </c:ext>
          </c:extLst>
        </c:ser>
        <c:ser>
          <c:idx val="2"/>
          <c:order val="2"/>
          <c:tx>
            <c:strRef>
              <c:f>Scorecard!$X$33</c:f>
              <c:strCache>
                <c:ptCount val="1"/>
                <c:pt idx="0">
                  <c:v>Implementation</c:v>
                </c:pt>
              </c:strCache>
            </c:strRef>
          </c:tx>
          <c:spPr>
            <a:solidFill>
              <a:srgbClr val="BDBF17"/>
            </a:solidFill>
            <a:ln w="25400">
              <a:noFill/>
              <a:prstDash val="solid"/>
            </a:ln>
            <a:sp3d/>
          </c:spPr>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Scorecard!$X$34:$X$48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2-D8E5-024D-8419-CA9435CACCAF}"/>
            </c:ext>
          </c:extLst>
        </c:ser>
        <c:ser>
          <c:idx val="3"/>
          <c:order val="3"/>
          <c:tx>
            <c:strRef>
              <c:f>Scorecard!$Y$33</c:f>
              <c:strCache>
                <c:ptCount val="1"/>
                <c:pt idx="0">
                  <c:v>Verification</c:v>
                </c:pt>
              </c:strCache>
            </c:strRef>
          </c:tx>
          <c:spPr>
            <a:solidFill>
              <a:srgbClr val="37793E"/>
            </a:solidFill>
            <a:ln>
              <a:noFill/>
              <a:prstDash val="solid"/>
            </a:ln>
            <a:sp3d/>
          </c:spPr>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Scorecard!$Y$34:$Y$48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3-D8E5-024D-8419-CA9435CACCAF}"/>
            </c:ext>
          </c:extLst>
        </c:ser>
        <c:ser>
          <c:idx val="4"/>
          <c:order val="4"/>
          <c:tx>
            <c:strRef>
              <c:f>Scorecard!$Z$33</c:f>
              <c:strCache>
                <c:ptCount val="1"/>
                <c:pt idx="0">
                  <c:v>Operations</c:v>
                </c:pt>
              </c:strCache>
            </c:strRef>
          </c:tx>
          <c:spPr>
            <a:gradFill rotWithShape="1">
              <a:gsLst>
                <a:gs pos="0">
                  <a:schemeClr val="accent2">
                    <a:shade val="51000"/>
                    <a:satMod val="130000"/>
                    <a:lumMod val="60000"/>
                  </a:schemeClr>
                </a:gs>
                <a:gs pos="80000">
                  <a:schemeClr val="accent2">
                    <a:shade val="93000"/>
                    <a:satMod val="130000"/>
                    <a:lumMod val="60000"/>
                  </a:schemeClr>
                </a:gs>
                <a:gs pos="100000">
                  <a:schemeClr val="accent2">
                    <a:shade val="94000"/>
                    <a:satMod val="135000"/>
                    <a:lumMod val="60000"/>
                  </a:schemeClr>
                </a:gs>
              </a:gsLst>
              <a:lin ang="16200000" scaled="0"/>
            </a:gradFill>
            <a:ln>
              <a:noFill/>
              <a:prstDash val="solid"/>
            </a:ln>
            <a:sp3d/>
          </c:spPr>
          <c:cat>
            <c:strRef>
              <c:f>Scorecard!$U$34:$U$48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Scorecard!$Z$34:$Z$48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4-D8E5-024D-8419-CA9435CACCAF}"/>
            </c:ext>
          </c:extLst>
        </c:ser>
        <c:dLbls>
          <c:showLegendKey val="0"/>
          <c:showVal val="0"/>
          <c:showCatName val="0"/>
          <c:showSerName val="0"/>
          <c:showPercent val="0"/>
          <c:showBubbleSize val="0"/>
        </c:dLbls>
        <c:axId val="-1853951552"/>
        <c:axId val="-1733289472"/>
      </c:radarChart>
      <c:catAx>
        <c:axId val="-18539515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33289472"/>
        <c:crosses val="autoZero"/>
        <c:auto val="1"/>
        <c:lblAlgn val="ctr"/>
        <c:lblOffset val="100"/>
        <c:noMultiLvlLbl val="0"/>
      </c:catAx>
      <c:valAx>
        <c:axId val="-1733289472"/>
        <c:scaling>
          <c:orientation val="minMax"/>
          <c:max val="3"/>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853951552"/>
        <c:crosses val="autoZero"/>
        <c:crossBetween val="between"/>
      </c:valAx>
    </c:plotArea>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rPr lang="en-US"/>
              <a:t>Phase IV Score</a:t>
            </a:r>
          </a:p>
        </c:rich>
      </c:tx>
      <c:layout>
        <c:manualLayout>
          <c:xMode val="edge"/>
          <c:yMode val="edge"/>
          <c:x val="0.76723734622399797"/>
          <c:y val="0.91054322690624079"/>
        </c:manualLayout>
      </c:layout>
      <c:overlay val="1"/>
      <c:spPr>
        <a:noFill/>
        <a:ln>
          <a:noFill/>
          <a:prstDash val="solid"/>
        </a:ln>
      </c:spPr>
    </c:title>
    <c:autoTitleDeleted val="0"/>
    <c:plotArea>
      <c:layout/>
      <c:radarChart>
        <c:radarStyle val="filled"/>
        <c:varyColors val="0"/>
        <c:ser>
          <c:idx val="33"/>
          <c:order val="0"/>
          <c:tx>
            <c:strRef>
              <c:f>Scorecard!$V$93</c:f>
              <c:strCache>
                <c:ptCount val="1"/>
                <c:pt idx="0">
                  <c:v>Governance</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prstDash val="solid"/>
            </a:ln>
            <a:sp3d/>
          </c:spPr>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Scorecard!$V$94:$V$108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3600-4546-84C6-C6D0DD926A7B}"/>
            </c:ext>
          </c:extLst>
        </c:ser>
        <c:ser>
          <c:idx val="34"/>
          <c:order val="1"/>
          <c:tx>
            <c:strRef>
              <c:f>Scorecard!$W$93</c:f>
              <c:strCache>
                <c:ptCount val="1"/>
                <c:pt idx="0">
                  <c:v>Design</c:v>
                </c:pt>
              </c:strCache>
            </c:strRef>
          </c:tx>
          <c:spPr>
            <a:solidFill>
              <a:srgbClr val="B75727"/>
            </a:solidFill>
            <a:ln>
              <a:noFill/>
              <a:prstDash val="solid"/>
            </a:ln>
            <a:sp3d/>
          </c:spPr>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Scorecard!$W$94:$W$108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1-3600-4546-84C6-C6D0DD926A7B}"/>
            </c:ext>
          </c:extLst>
        </c:ser>
        <c:ser>
          <c:idx val="35"/>
          <c:order val="2"/>
          <c:tx>
            <c:strRef>
              <c:f>Scorecard!$X$93</c:f>
              <c:strCache>
                <c:ptCount val="1"/>
                <c:pt idx="0">
                  <c:v>Implementation</c:v>
                </c:pt>
              </c:strCache>
            </c:strRef>
          </c:tx>
          <c:spPr>
            <a:solidFill>
              <a:srgbClr val="BDBF17"/>
            </a:solidFill>
            <a:ln w="25400">
              <a:noFill/>
              <a:prstDash val="solid"/>
            </a:ln>
            <a:sp3d/>
          </c:spPr>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Scorecard!$X$94:$X$108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2-3600-4546-84C6-C6D0DD926A7B}"/>
            </c:ext>
          </c:extLst>
        </c:ser>
        <c:ser>
          <c:idx val="36"/>
          <c:order val="3"/>
          <c:tx>
            <c:strRef>
              <c:f>Scorecard!$Y$93</c:f>
              <c:strCache>
                <c:ptCount val="1"/>
                <c:pt idx="0">
                  <c:v>Verification</c:v>
                </c:pt>
              </c:strCache>
            </c:strRef>
          </c:tx>
          <c:spPr>
            <a:solidFill>
              <a:srgbClr val="37793E"/>
            </a:solidFill>
            <a:ln>
              <a:noFill/>
              <a:prstDash val="solid"/>
            </a:ln>
            <a:sp3d/>
          </c:spPr>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Scorecard!$Y$94:$Y$108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3-3600-4546-84C6-C6D0DD926A7B}"/>
            </c:ext>
          </c:extLst>
        </c:ser>
        <c:ser>
          <c:idx val="37"/>
          <c:order val="4"/>
          <c:tx>
            <c:strRef>
              <c:f>Scorecard!$Z$93</c:f>
              <c:strCache>
                <c:ptCount val="1"/>
                <c:pt idx="0">
                  <c:v>Operations</c:v>
                </c:pt>
              </c:strCache>
            </c:strRef>
          </c:tx>
          <c:spPr>
            <a:gradFill rotWithShape="1">
              <a:gsLst>
                <a:gs pos="0">
                  <a:schemeClr val="accent2">
                    <a:shade val="51000"/>
                    <a:satMod val="130000"/>
                    <a:lumMod val="60000"/>
                  </a:schemeClr>
                </a:gs>
                <a:gs pos="80000">
                  <a:schemeClr val="accent2">
                    <a:shade val="93000"/>
                    <a:satMod val="130000"/>
                    <a:lumMod val="60000"/>
                  </a:schemeClr>
                </a:gs>
                <a:gs pos="100000">
                  <a:schemeClr val="accent2">
                    <a:shade val="94000"/>
                    <a:satMod val="135000"/>
                    <a:lumMod val="60000"/>
                  </a:schemeClr>
                </a:gs>
              </a:gsLst>
              <a:lin ang="16200000" scaled="0"/>
            </a:gradFill>
            <a:ln>
              <a:noFill/>
              <a:prstDash val="solid"/>
            </a:ln>
            <a:sp3d/>
          </c:spPr>
          <c:cat>
            <c:strRef>
              <c:f>Scorecard!$U$94:$U$108</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Scorecard!$Z$94:$Z$108</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4-3600-4546-84C6-C6D0DD926A7B}"/>
            </c:ext>
          </c:extLst>
        </c:ser>
        <c:dLbls>
          <c:showLegendKey val="0"/>
          <c:showVal val="0"/>
          <c:showCatName val="0"/>
          <c:showSerName val="0"/>
          <c:showPercent val="0"/>
          <c:showBubbleSize val="0"/>
        </c:dLbls>
        <c:axId val="-1853951552"/>
        <c:axId val="-1733289472"/>
      </c:radarChart>
      <c:catAx>
        <c:axId val="-18539515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33289472"/>
        <c:crosses val="autoZero"/>
        <c:auto val="1"/>
        <c:lblAlgn val="ctr"/>
        <c:lblOffset val="100"/>
        <c:noMultiLvlLbl val="0"/>
      </c:catAx>
      <c:valAx>
        <c:axId val="-1733289472"/>
        <c:scaling>
          <c:orientation val="minMax"/>
          <c:max val="3"/>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853951552"/>
        <c:crosses val="autoZero"/>
        <c:crossBetween val="between"/>
      </c:valAx>
    </c:plotArea>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rPr lang="en-US"/>
              <a:t>Phase III Score</a:t>
            </a:r>
          </a:p>
        </c:rich>
      </c:tx>
      <c:layout>
        <c:manualLayout>
          <c:xMode val="edge"/>
          <c:yMode val="edge"/>
          <c:x val="0.76723734622399797"/>
          <c:y val="0.91054322690624079"/>
        </c:manualLayout>
      </c:layout>
      <c:overlay val="1"/>
      <c:spPr>
        <a:noFill/>
        <a:ln>
          <a:noFill/>
          <a:prstDash val="solid"/>
        </a:ln>
      </c:spPr>
    </c:title>
    <c:autoTitleDeleted val="0"/>
    <c:plotArea>
      <c:layout/>
      <c:radarChart>
        <c:radarStyle val="filled"/>
        <c:varyColors val="0"/>
        <c:ser>
          <c:idx val="33"/>
          <c:order val="0"/>
          <c:tx>
            <c:strRef>
              <c:f>Scorecard!$V$72</c:f>
              <c:strCache>
                <c:ptCount val="1"/>
                <c:pt idx="0">
                  <c:v>Governance</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prstDash val="solid"/>
            </a:ln>
            <a:sp3d/>
          </c:spPr>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Scorecard!$V$73:$V$87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EC98-6A47-88D0-B45E31DC8C20}"/>
            </c:ext>
          </c:extLst>
        </c:ser>
        <c:ser>
          <c:idx val="34"/>
          <c:order val="1"/>
          <c:tx>
            <c:strRef>
              <c:f>Scorecard!$W$72</c:f>
              <c:strCache>
                <c:ptCount val="1"/>
                <c:pt idx="0">
                  <c:v>Design</c:v>
                </c:pt>
              </c:strCache>
            </c:strRef>
          </c:tx>
          <c:spPr>
            <a:solidFill>
              <a:srgbClr val="B75727"/>
            </a:solidFill>
            <a:ln>
              <a:noFill/>
              <a:prstDash val="solid"/>
            </a:ln>
            <a:sp3d/>
          </c:spPr>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Scorecard!$W$73:$W$87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1-EC98-6A47-88D0-B45E31DC8C20}"/>
            </c:ext>
          </c:extLst>
        </c:ser>
        <c:ser>
          <c:idx val="35"/>
          <c:order val="2"/>
          <c:tx>
            <c:strRef>
              <c:f>Scorecard!$X$72</c:f>
              <c:strCache>
                <c:ptCount val="1"/>
                <c:pt idx="0">
                  <c:v>Implementation</c:v>
                </c:pt>
              </c:strCache>
            </c:strRef>
          </c:tx>
          <c:spPr>
            <a:solidFill>
              <a:srgbClr val="BDBF17"/>
            </a:solidFill>
            <a:ln w="25400">
              <a:noFill/>
              <a:prstDash val="solid"/>
            </a:ln>
            <a:sp3d/>
          </c:spPr>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Scorecard!$X$73:$X$87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2-EC98-6A47-88D0-B45E31DC8C20}"/>
            </c:ext>
          </c:extLst>
        </c:ser>
        <c:ser>
          <c:idx val="36"/>
          <c:order val="3"/>
          <c:tx>
            <c:strRef>
              <c:f>Scorecard!$Y$72</c:f>
              <c:strCache>
                <c:ptCount val="1"/>
                <c:pt idx="0">
                  <c:v>Verification</c:v>
                </c:pt>
              </c:strCache>
            </c:strRef>
          </c:tx>
          <c:spPr>
            <a:solidFill>
              <a:srgbClr val="37793E"/>
            </a:solidFill>
            <a:ln>
              <a:noFill/>
              <a:prstDash val="solid"/>
            </a:ln>
            <a:sp3d/>
          </c:spPr>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Scorecard!$Y$73:$Y$87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3-EC98-6A47-88D0-B45E31DC8C20}"/>
            </c:ext>
          </c:extLst>
        </c:ser>
        <c:ser>
          <c:idx val="37"/>
          <c:order val="4"/>
          <c:tx>
            <c:strRef>
              <c:f>Scorecard!$Z$72</c:f>
              <c:strCache>
                <c:ptCount val="1"/>
                <c:pt idx="0">
                  <c:v>Operations</c:v>
                </c:pt>
              </c:strCache>
            </c:strRef>
          </c:tx>
          <c:spPr>
            <a:gradFill rotWithShape="1">
              <a:gsLst>
                <a:gs pos="0">
                  <a:schemeClr val="accent2">
                    <a:shade val="51000"/>
                    <a:satMod val="130000"/>
                    <a:lumMod val="60000"/>
                  </a:schemeClr>
                </a:gs>
                <a:gs pos="80000">
                  <a:schemeClr val="accent2">
                    <a:shade val="93000"/>
                    <a:satMod val="130000"/>
                    <a:lumMod val="60000"/>
                  </a:schemeClr>
                </a:gs>
                <a:gs pos="100000">
                  <a:schemeClr val="accent2">
                    <a:shade val="94000"/>
                    <a:satMod val="135000"/>
                    <a:lumMod val="60000"/>
                  </a:schemeClr>
                </a:gs>
              </a:gsLst>
              <a:lin ang="16200000" scaled="0"/>
            </a:gradFill>
            <a:ln>
              <a:noFill/>
              <a:prstDash val="solid"/>
            </a:ln>
            <a:sp3d/>
          </c:spPr>
          <c:cat>
            <c:strRef>
              <c:f>Scorecard!$U$73:$U$87</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Scorecard!$Z$73:$Z$87</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4-EC98-6A47-88D0-B45E31DC8C20}"/>
            </c:ext>
          </c:extLst>
        </c:ser>
        <c:dLbls>
          <c:showLegendKey val="0"/>
          <c:showVal val="0"/>
          <c:showCatName val="0"/>
          <c:showSerName val="0"/>
          <c:showPercent val="0"/>
          <c:showBubbleSize val="0"/>
        </c:dLbls>
        <c:axId val="-1853951552"/>
        <c:axId val="-1733289472"/>
      </c:radarChart>
      <c:catAx>
        <c:axId val="-18539515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33289472"/>
        <c:crosses val="autoZero"/>
        <c:auto val="1"/>
        <c:lblAlgn val="ctr"/>
        <c:lblOffset val="100"/>
        <c:noMultiLvlLbl val="0"/>
      </c:catAx>
      <c:valAx>
        <c:axId val="-1733289472"/>
        <c:scaling>
          <c:orientation val="minMax"/>
          <c:max val="3"/>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853951552"/>
        <c:crosses val="autoZero"/>
        <c:crossBetween val="between"/>
      </c:valAx>
    </c:plotArea>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6178055086399501E-2"/>
          <c:y val="7.9787234042553203E-3"/>
          <c:w val="0.94939079780008895"/>
          <c:h val="0.98457446808510596"/>
        </c:manualLayout>
      </c:layout>
      <c:areaChart>
        <c:grouping val="stacked"/>
        <c:varyColors val="0"/>
        <c:ser>
          <c:idx val="0"/>
          <c:order val="0"/>
          <c:spPr>
            <a:noFill/>
            <a:ln w="25400">
              <a:noFill/>
              <a:prstDash val="solid"/>
            </a:ln>
          </c:spPr>
          <c:val>
            <c:numRef>
              <c:f>'Roadmap Chart'!$Y$4:$AA$4</c:f>
              <c:numCache>
                <c:formatCode>General</c:formatCode>
                <c:ptCount val="3"/>
              </c:numCache>
            </c:numRef>
          </c:val>
          <c:extLst>
            <c:ext xmlns:c16="http://schemas.microsoft.com/office/drawing/2014/chart" uri="{C3380CC4-5D6E-409C-BE32-E72D297353CC}">
              <c16:uniqueId val="{00000000-4062-914F-825D-10BED99F40B9}"/>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General"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453555370854797E-2"/>
          <c:y val="0.16025741347038699"/>
          <c:w val="0.92047529424983898"/>
          <c:h val="0.64102965388154698"/>
        </c:manualLayout>
      </c:layout>
      <c:areaChart>
        <c:grouping val="standard"/>
        <c:varyColors val="0"/>
        <c:ser>
          <c:idx val="0"/>
          <c:order val="0"/>
          <c:spPr>
            <a:solidFill>
              <a:schemeClr val="accent2"/>
            </a:solidFill>
            <a:ln>
              <a:noFill/>
              <a:prstDash val="solid"/>
            </a:ln>
          </c:spPr>
          <c:val>
            <c:numRef>
              <c:f>'Roadmap Chart'!$B$12:$J$12</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2575-7346-8A41-B759D74B8A6E}"/>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364908055410102E-2"/>
          <c:y val="0.158227848101266"/>
          <c:w val="0.92060886742575798"/>
          <c:h val="0.645569620253165"/>
        </c:manualLayout>
      </c:layout>
      <c:areaChart>
        <c:grouping val="standard"/>
        <c:varyColors val="0"/>
        <c:ser>
          <c:idx val="0"/>
          <c:order val="0"/>
          <c:spPr>
            <a:solidFill>
              <a:schemeClr val="accent2"/>
            </a:solidFill>
            <a:ln>
              <a:noFill/>
              <a:prstDash val="solid"/>
            </a:ln>
          </c:spPr>
          <c:val>
            <c:numRef>
              <c:f>'Roadmap Chart'!$B$13:$J$13</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8B7C-9144-B6E5-C4036000916A}"/>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276559865092699E-2"/>
          <c:y val="0.15723367011639"/>
          <c:w val="0.92074198988195599"/>
          <c:h val="0.64780272087952595"/>
        </c:manualLayout>
      </c:layout>
      <c:areaChart>
        <c:grouping val="standard"/>
        <c:varyColors val="0"/>
        <c:ser>
          <c:idx val="0"/>
          <c:order val="0"/>
          <c:spPr>
            <a:solidFill>
              <a:schemeClr val="accent2"/>
            </a:solidFill>
            <a:ln>
              <a:noFill/>
              <a:prstDash val="solid"/>
            </a:ln>
          </c:spPr>
          <c:val>
            <c:numRef>
              <c:f>'Roadmap Chart'!$B$14:$J$14</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6B4D-0A4F-AC02-D2FD040C46B2}"/>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453555370854797E-2"/>
          <c:y val="0.158227848101266"/>
          <c:w val="0.92047529424983898"/>
          <c:h val="0.645569620253165"/>
        </c:manualLayout>
      </c:layout>
      <c:areaChart>
        <c:grouping val="standard"/>
        <c:varyColors val="0"/>
        <c:ser>
          <c:idx val="0"/>
          <c:order val="0"/>
          <c:spPr>
            <a:solidFill>
              <a:schemeClr val="accent3"/>
            </a:solidFill>
            <a:ln>
              <a:noFill/>
              <a:prstDash val="solid"/>
            </a:ln>
          </c:spPr>
          <c:val>
            <c:numRef>
              <c:f>'Roadmap Chart'!$B$15:$J$15</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C413-0D47-B803-37E6F6243C58}"/>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453555370854797E-2"/>
          <c:y val="0.158227848101266"/>
          <c:w val="0.92047529424983898"/>
          <c:h val="0.645569620253165"/>
        </c:manualLayout>
      </c:layout>
      <c:areaChart>
        <c:grouping val="standard"/>
        <c:varyColors val="0"/>
        <c:ser>
          <c:idx val="0"/>
          <c:order val="0"/>
          <c:spPr>
            <a:solidFill>
              <a:schemeClr val="accent3"/>
            </a:solidFill>
            <a:ln>
              <a:noFill/>
              <a:prstDash val="solid"/>
            </a:ln>
          </c:spPr>
          <c:val>
            <c:numRef>
              <c:f>'Roadmap Chart'!$B$16:$J$16</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A23A-414B-8FEA-C178E7F4842B}"/>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364908055410102E-2"/>
          <c:y val="0.15723367011639"/>
          <c:w val="0.92060886742575798"/>
          <c:h val="0.64780272087952595"/>
        </c:manualLayout>
      </c:layout>
      <c:areaChart>
        <c:grouping val="standard"/>
        <c:varyColors val="0"/>
        <c:ser>
          <c:idx val="0"/>
          <c:order val="0"/>
          <c:spPr>
            <a:solidFill>
              <a:schemeClr val="accent3"/>
            </a:solidFill>
            <a:ln>
              <a:noFill/>
              <a:prstDash val="solid"/>
            </a:ln>
          </c:spPr>
          <c:val>
            <c:numRef>
              <c:f>'Roadmap Chart'!$B$17:$J$17</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222A-B548-BC12-5034E1CBD034}"/>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453555370854797E-2"/>
          <c:y val="0.15625047683861301"/>
          <c:w val="0.92047529424983898"/>
          <c:h val="0.65000198364863204"/>
        </c:manualLayout>
      </c:layout>
      <c:areaChart>
        <c:grouping val="standard"/>
        <c:varyColors val="0"/>
        <c:ser>
          <c:idx val="0"/>
          <c:order val="0"/>
          <c:spPr>
            <a:solidFill>
              <a:schemeClr val="accent5"/>
            </a:solidFill>
            <a:ln>
              <a:noFill/>
              <a:prstDash val="solid"/>
            </a:ln>
          </c:spPr>
          <c:val>
            <c:numRef>
              <c:f>'Roadmap Chart'!$B$21:$J$21</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17B6-9240-BA09-047524431518}"/>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364908055410102E-2"/>
          <c:y val="0.15527950310558999"/>
          <c:w val="0.92060886742575798"/>
          <c:h val="0.65217391304347905"/>
        </c:manualLayout>
      </c:layout>
      <c:areaChart>
        <c:grouping val="standard"/>
        <c:varyColors val="0"/>
        <c:ser>
          <c:idx val="0"/>
          <c:order val="0"/>
          <c:spPr>
            <a:solidFill>
              <a:schemeClr val="accent5"/>
            </a:solidFill>
            <a:ln>
              <a:noFill/>
              <a:prstDash val="solid"/>
            </a:ln>
          </c:spPr>
          <c:val>
            <c:numRef>
              <c:f>'Roadmap Chart'!$B$22:$J$22</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3729-8A4B-A6B9-4DCC1570BE4A}"/>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542372881355902E-2"/>
          <c:y val="0.15527950310558999"/>
          <c:w val="0.92033898305084705"/>
          <c:h val="0.65217391304347905"/>
        </c:manualLayout>
      </c:layout>
      <c:areaChart>
        <c:grouping val="standard"/>
        <c:varyColors val="0"/>
        <c:ser>
          <c:idx val="0"/>
          <c:order val="0"/>
          <c:spPr>
            <a:solidFill>
              <a:schemeClr val="accent5"/>
            </a:solidFill>
            <a:ln>
              <a:noFill/>
              <a:prstDash val="solid"/>
            </a:ln>
          </c:spPr>
          <c:val>
            <c:numRef>
              <c:f>'Roadmap Chart'!$B$23:$J$23</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9A3F-424F-9929-28AA59010ACB}"/>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453555370854797E-2"/>
          <c:y val="0.15432191793208599"/>
          <c:w val="0.92047529424983898"/>
          <c:h val="0.654324932032046"/>
        </c:manualLayout>
      </c:layout>
      <c:areaChart>
        <c:grouping val="standard"/>
        <c:varyColors val="0"/>
        <c:ser>
          <c:idx val="0"/>
          <c:order val="0"/>
          <c:spPr>
            <a:solidFill>
              <a:schemeClr val="accent6"/>
            </a:solidFill>
            <a:ln>
              <a:noFill/>
              <a:prstDash val="solid"/>
            </a:ln>
          </c:spPr>
          <c:val>
            <c:numRef>
              <c:f>'Roadmap Chart'!$B$24:$J$24</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BB15-F741-A910-D473C70A765E}"/>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364908055410102E-2"/>
          <c:y val="0.15337469257660499"/>
          <c:w val="0.92060886742575798"/>
          <c:h val="0.65644368422786903"/>
        </c:manualLayout>
      </c:layout>
      <c:areaChart>
        <c:grouping val="standard"/>
        <c:varyColors val="0"/>
        <c:ser>
          <c:idx val="0"/>
          <c:order val="0"/>
          <c:spPr>
            <a:solidFill>
              <a:schemeClr val="accent6"/>
            </a:solidFill>
            <a:ln>
              <a:noFill/>
              <a:prstDash val="solid"/>
            </a:ln>
          </c:spPr>
          <c:val>
            <c:numRef>
              <c:f>'Roadmap Chart'!$B$25:$J$25</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CBD9-0F42-865F-F2F617705778}"/>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364908055410102E-2"/>
          <c:y val="0.15337469257660499"/>
          <c:w val="0.92060886742575798"/>
          <c:h val="0.65644368422786903"/>
        </c:manualLayout>
      </c:layout>
      <c:areaChart>
        <c:grouping val="standard"/>
        <c:varyColors val="0"/>
        <c:ser>
          <c:idx val="0"/>
          <c:order val="0"/>
          <c:spPr>
            <a:solidFill>
              <a:schemeClr val="accent6"/>
            </a:solidFill>
            <a:ln>
              <a:noFill/>
              <a:prstDash val="solid"/>
            </a:ln>
          </c:spPr>
          <c:val>
            <c:numRef>
              <c:f>'Roadmap Chart'!$B$26:$J$26</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A179-A943-8D1E-66F79B5457BB}"/>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radarChart>
        <c:radarStyle val="filled"/>
        <c:varyColors val="0"/>
        <c:ser>
          <c:idx val="0"/>
          <c:order val="0"/>
          <c:tx>
            <c:strRef>
              <c:f>'Roadmap Chart'!$AA$11</c:f>
              <c:strCache>
                <c:ptCount val="1"/>
                <c:pt idx="0">
                  <c:v>Phase 4</c:v>
                </c:pt>
              </c:strCache>
            </c:strRef>
          </c:tx>
          <c:spPr>
            <a:solidFill>
              <a:schemeClr val="accent3"/>
            </a:solidFill>
            <a:ln>
              <a:solidFill>
                <a:schemeClr val="accent3"/>
              </a:solidFill>
              <a:prstDash val="solid"/>
            </a:ln>
          </c:spPr>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Chart'!$AA$12:$AA$26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23D4-C44C-B746-4EAD91DAC3F9}"/>
            </c:ext>
          </c:extLst>
        </c:ser>
        <c:ser>
          <c:idx val="1"/>
          <c:order val="1"/>
          <c:tx>
            <c:strRef>
              <c:f>'Roadmap Chart'!$AB$11</c:f>
              <c:strCache>
                <c:ptCount val="1"/>
                <c:pt idx="0">
                  <c:v>Phase 3</c:v>
                </c:pt>
              </c:strCache>
            </c:strRef>
          </c:tx>
          <c:spPr>
            <a:solidFill>
              <a:srgbClr val="00B0F0"/>
            </a:solidFill>
            <a:ln>
              <a:prstDash val="solid"/>
            </a:ln>
          </c:spPr>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Chart'!$AB$12:$AB$26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1-23D4-C44C-B746-4EAD91DAC3F9}"/>
            </c:ext>
          </c:extLst>
        </c:ser>
        <c:ser>
          <c:idx val="2"/>
          <c:order val="2"/>
          <c:tx>
            <c:strRef>
              <c:f>'Roadmap Chart'!$AC$11</c:f>
              <c:strCache>
                <c:ptCount val="1"/>
                <c:pt idx="0">
                  <c:v>Phase 2</c:v>
                </c:pt>
              </c:strCache>
            </c:strRef>
          </c:tx>
          <c:spPr>
            <a:solidFill>
              <a:srgbClr val="FFC000"/>
            </a:solidFill>
            <a:ln>
              <a:prstDash val="solid"/>
            </a:ln>
          </c:spPr>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Chart'!$AC$12:$AC$26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2-23D4-C44C-B746-4EAD91DAC3F9}"/>
            </c:ext>
          </c:extLst>
        </c:ser>
        <c:ser>
          <c:idx val="3"/>
          <c:order val="3"/>
          <c:tx>
            <c:strRef>
              <c:f>'Roadmap Chart'!$AD$11</c:f>
              <c:strCache>
                <c:ptCount val="1"/>
                <c:pt idx="0">
                  <c:v>Phase 1</c:v>
                </c:pt>
              </c:strCache>
            </c:strRef>
          </c:tx>
          <c:spPr>
            <a:solidFill>
              <a:schemeClr val="accent2"/>
            </a:solidFill>
            <a:ln>
              <a:solidFill>
                <a:schemeClr val="accent2"/>
              </a:solidFill>
              <a:prstDash val="solid"/>
            </a:ln>
          </c:spPr>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Chart'!$AD$12:$AD$26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3-23D4-C44C-B746-4EAD91DAC3F9}"/>
            </c:ext>
          </c:extLst>
        </c:ser>
        <c:ser>
          <c:idx val="4"/>
          <c:order val="4"/>
          <c:tx>
            <c:strRef>
              <c:f>'Roadmap Chart'!$AE$11</c:f>
              <c:strCache>
                <c:ptCount val="1"/>
                <c:pt idx="0">
                  <c:v>Start</c:v>
                </c:pt>
              </c:strCache>
            </c:strRef>
          </c:tx>
          <c:spPr>
            <a:solidFill>
              <a:schemeClr val="bg2">
                <a:lumMod val="90000"/>
              </a:schemeClr>
            </a:solidFill>
            <a:ln>
              <a:prstDash val="solid"/>
            </a:ln>
          </c:spPr>
          <c:cat>
            <c:strRef>
              <c:f>'Roadmap Chart'!$Z$12:$Z$26</c:f>
              <c:strCache>
                <c:ptCount val="15"/>
                <c:pt idx="0">
                  <c:v>Strategy &amp; Metrics</c:v>
                </c:pt>
                <c:pt idx="1">
                  <c:v>Policy &amp; Compliance</c:v>
                </c:pt>
                <c:pt idx="2">
                  <c:v>Education &amp; Guidance</c:v>
                </c:pt>
                <c:pt idx="3">
                  <c:v>Threat Assessment</c:v>
                </c:pt>
                <c:pt idx="4">
                  <c:v>Security Requirements</c:v>
                </c:pt>
                <c:pt idx="5">
                  <c:v>Secure Architecture</c:v>
                </c:pt>
                <c:pt idx="6">
                  <c:v>Secure Build</c:v>
                </c:pt>
                <c:pt idx="7">
                  <c:v>Secure Deployment</c:v>
                </c:pt>
                <c:pt idx="8">
                  <c:v>Defect Management</c:v>
                </c:pt>
                <c:pt idx="9">
                  <c:v>Architecture Assessment</c:v>
                </c:pt>
                <c:pt idx="10">
                  <c:v>Requirements Testing</c:v>
                </c:pt>
                <c:pt idx="11">
                  <c:v>Security Testing</c:v>
                </c:pt>
                <c:pt idx="12">
                  <c:v>Incident Management</c:v>
                </c:pt>
                <c:pt idx="13">
                  <c:v>Environment Management</c:v>
                </c:pt>
                <c:pt idx="14">
                  <c:v>Operational Management</c:v>
                </c:pt>
              </c:strCache>
            </c:strRef>
          </c:cat>
          <c:val>
            <c:numRef>
              <c:f>'Roadmap Chart'!$AE$12:$AE$26</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4-23D4-C44C-B746-4EAD91DAC3F9}"/>
            </c:ext>
          </c:extLst>
        </c:ser>
        <c:dLbls>
          <c:showLegendKey val="0"/>
          <c:showVal val="0"/>
          <c:showCatName val="0"/>
          <c:showSerName val="0"/>
          <c:showPercent val="0"/>
          <c:showBubbleSize val="0"/>
        </c:dLbls>
        <c:axId val="-1708641200"/>
        <c:axId val="-1708638880"/>
      </c:radarChart>
      <c:catAx>
        <c:axId val="-1708641200"/>
        <c:scaling>
          <c:orientation val="minMax"/>
        </c:scaling>
        <c:delete val="0"/>
        <c:axPos val="b"/>
        <c:majorGridlines/>
        <c:numFmt formatCode="General" sourceLinked="0"/>
        <c:majorTickMark val="out"/>
        <c:minorTickMark val="none"/>
        <c:tickLblPos val="nextTo"/>
        <c:txPr>
          <a:bodyPr/>
          <a:lstStyle/>
          <a:p>
            <a:pPr>
              <a:defRPr b="1"/>
            </a:pPr>
            <a:endParaRPr lang="en-US"/>
          </a:p>
        </c:txPr>
        <c:crossAx val="-1708638880"/>
        <c:crosses val="autoZero"/>
        <c:auto val="1"/>
        <c:lblAlgn val="ctr"/>
        <c:lblOffset val="100"/>
        <c:noMultiLvlLbl val="0"/>
      </c:catAx>
      <c:valAx>
        <c:axId val="-1708638880"/>
        <c:scaling>
          <c:orientation val="minMax"/>
        </c:scaling>
        <c:delete val="0"/>
        <c:axPos val="l"/>
        <c:majorGridlines/>
        <c:numFmt formatCode="0.00" sourceLinked="1"/>
        <c:majorTickMark val="cross"/>
        <c:minorTickMark val="none"/>
        <c:tickLblPos val="nextTo"/>
        <c:txPr>
          <a:bodyPr/>
          <a:lstStyle/>
          <a:p>
            <a:pPr>
              <a:defRPr sz="1100" b="0">
                <a:latin typeface="+mj-lt"/>
              </a:defRPr>
            </a:pPr>
            <a:endParaRPr lang="en-US"/>
          </a:p>
        </c:txPr>
        <c:crossAx val="-1708641200"/>
        <c:crosses val="autoZero"/>
        <c:crossBetween val="between"/>
        <c:majorUnit val="1"/>
      </c:valAx>
    </c:plotArea>
    <c:legend>
      <c:legendPos val="r"/>
      <c:overlay val="0"/>
    </c:legend>
    <c:plotVisOnly val="1"/>
    <c:dispBlanksAs val="gap"/>
    <c:showDLblsOverMax val="0"/>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364908055410102E-2"/>
          <c:y val="0.15723367011639"/>
          <c:w val="0.92060886742575798"/>
          <c:h val="0.64780272087952595"/>
        </c:manualLayout>
      </c:layout>
      <c:areaChart>
        <c:grouping val="standard"/>
        <c:varyColors val="0"/>
        <c:ser>
          <c:idx val="0"/>
          <c:order val="0"/>
          <c:spPr>
            <a:solidFill>
              <a:schemeClr val="accent4"/>
            </a:solidFill>
            <a:ln>
              <a:noFill/>
              <a:prstDash val="solid"/>
            </a:ln>
          </c:spPr>
          <c:val>
            <c:numRef>
              <c:f>'Roadmap Chart'!$B$18:$J$18</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A0A5-6443-BB57-10C2EC16337B}"/>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364908055410102E-2"/>
          <c:y val="0.15723367011639"/>
          <c:w val="0.92060886742575798"/>
          <c:h val="0.64780272087952595"/>
        </c:manualLayout>
      </c:layout>
      <c:areaChart>
        <c:grouping val="standard"/>
        <c:varyColors val="0"/>
        <c:ser>
          <c:idx val="0"/>
          <c:order val="0"/>
          <c:spPr>
            <a:solidFill>
              <a:schemeClr val="accent4"/>
            </a:solidFill>
            <a:ln>
              <a:noFill/>
              <a:prstDash val="solid"/>
            </a:ln>
          </c:spPr>
          <c:val>
            <c:numRef>
              <c:f>'Roadmap Chart'!$B$19:$J$19</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FB22-9245-9DE9-2841C05662F4}"/>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2364908055410102E-2"/>
          <c:y val="0.15723367011639"/>
          <c:w val="0.92060886742575798"/>
          <c:h val="0.64780272087952595"/>
        </c:manualLayout>
      </c:layout>
      <c:areaChart>
        <c:grouping val="standard"/>
        <c:varyColors val="0"/>
        <c:ser>
          <c:idx val="0"/>
          <c:order val="0"/>
          <c:spPr>
            <a:solidFill>
              <a:schemeClr val="accent4"/>
            </a:solidFill>
            <a:ln>
              <a:noFill/>
              <a:prstDash val="solid"/>
            </a:ln>
          </c:spPr>
          <c:val>
            <c:numRef>
              <c:f>'Roadmap Chart'!$B$20:$J$20</c:f>
              <c:numCache>
                <c:formatCode>0.00</c:formatCode>
                <c:ptCount val="9"/>
                <c:pt idx="0">
                  <c:v>0</c:v>
                </c:pt>
                <c:pt idx="1">
                  <c:v>0</c:v>
                </c:pt>
                <c:pt idx="2" formatCode="General">
                  <c:v>0</c:v>
                </c:pt>
                <c:pt idx="3">
                  <c:v>0</c:v>
                </c:pt>
                <c:pt idx="4" formatCode="General">
                  <c:v>0</c:v>
                </c:pt>
                <c:pt idx="5">
                  <c:v>0</c:v>
                </c:pt>
                <c:pt idx="6" formatCode="General">
                  <c:v>0</c:v>
                </c:pt>
                <c:pt idx="7">
                  <c:v>0</c:v>
                </c:pt>
                <c:pt idx="8" formatCode="General">
                  <c:v>0</c:v>
                </c:pt>
              </c:numCache>
            </c:numRef>
          </c:val>
          <c:extLst>
            <c:ext xmlns:c16="http://schemas.microsoft.com/office/drawing/2014/chart" uri="{C3380CC4-5D6E-409C-BE32-E72D297353CC}">
              <c16:uniqueId val="{00000000-302B-8E4F-91F8-9F900AA7C269}"/>
            </c:ext>
          </c:extLst>
        </c:ser>
        <c:dLbls>
          <c:showLegendKey val="0"/>
          <c:showVal val="0"/>
          <c:showCatName val="0"/>
          <c:showSerName val="0"/>
          <c:showPercent val="0"/>
          <c:showBubbleSize val="0"/>
        </c:dLbls>
        <c:axId val="10"/>
        <c:axId val="100"/>
      </c:areaChart>
      <c:catAx>
        <c:axId val="10"/>
        <c:scaling>
          <c:orientation val="minMax"/>
        </c:scaling>
        <c:delete val="0"/>
        <c:axPos val="b"/>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midCat"/>
      </c:valAx>
    </c:plotArea>
    <c:plotVisOnly val="1"/>
    <c:dispBlanksAs val="zero"/>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13" Type="http://schemas.openxmlformats.org/officeDocument/2006/relationships/chart" Target="../charts/chart18.xml"/><Relationship Id="rId3" Type="http://schemas.openxmlformats.org/officeDocument/2006/relationships/chart" Target="../charts/chart8.xml"/><Relationship Id="rId7" Type="http://schemas.openxmlformats.org/officeDocument/2006/relationships/chart" Target="../charts/chart12.xml"/><Relationship Id="rId12" Type="http://schemas.openxmlformats.org/officeDocument/2006/relationships/chart" Target="../charts/chart17.xml"/><Relationship Id="rId17" Type="http://schemas.openxmlformats.org/officeDocument/2006/relationships/chart" Target="../charts/chart22.xml"/><Relationship Id="rId2" Type="http://schemas.openxmlformats.org/officeDocument/2006/relationships/chart" Target="../charts/chart7.xml"/><Relationship Id="rId16" Type="http://schemas.openxmlformats.org/officeDocument/2006/relationships/chart" Target="../charts/chart21.xml"/><Relationship Id="rId1" Type="http://schemas.openxmlformats.org/officeDocument/2006/relationships/chart" Target="../charts/chart6.xml"/><Relationship Id="rId6" Type="http://schemas.openxmlformats.org/officeDocument/2006/relationships/chart" Target="../charts/chart11.xml"/><Relationship Id="rId11" Type="http://schemas.openxmlformats.org/officeDocument/2006/relationships/chart" Target="../charts/chart16.xml"/><Relationship Id="rId5" Type="http://schemas.openxmlformats.org/officeDocument/2006/relationships/chart" Target="../charts/chart10.xml"/><Relationship Id="rId15" Type="http://schemas.openxmlformats.org/officeDocument/2006/relationships/chart" Target="../charts/chart20.xml"/><Relationship Id="rId10" Type="http://schemas.openxmlformats.org/officeDocument/2006/relationships/chart" Target="../charts/chart15.xml"/><Relationship Id="rId4" Type="http://schemas.openxmlformats.org/officeDocument/2006/relationships/chart" Target="../charts/chart9.xml"/><Relationship Id="rId9" Type="http://schemas.openxmlformats.org/officeDocument/2006/relationships/chart" Target="../charts/chart14.xml"/><Relationship Id="rId14"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10</xdr:col>
      <xdr:colOff>1130300</xdr:colOff>
      <xdr:row>12</xdr:row>
      <xdr:rowOff>0</xdr:rowOff>
    </xdr:from>
    <xdr:to>
      <xdr:col>17</xdr:col>
      <xdr:colOff>647700</xdr:colOff>
      <xdr:row>27</xdr:row>
      <xdr:rowOff>292100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12700</xdr:colOff>
      <xdr:row>52</xdr:row>
      <xdr:rowOff>0</xdr:rowOff>
    </xdr:from>
    <xdr:to>
      <xdr:col>17</xdr:col>
      <xdr:colOff>660400</xdr:colOff>
      <xdr:row>68</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12700</xdr:colOff>
      <xdr:row>32</xdr:row>
      <xdr:rowOff>0</xdr:rowOff>
    </xdr:from>
    <xdr:to>
      <xdr:col>17</xdr:col>
      <xdr:colOff>660400</xdr:colOff>
      <xdr:row>48</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12700</xdr:colOff>
      <xdr:row>92</xdr:row>
      <xdr:rowOff>0</xdr:rowOff>
    </xdr:from>
    <xdr:to>
      <xdr:col>17</xdr:col>
      <xdr:colOff>660400</xdr:colOff>
      <xdr:row>108</xdr:row>
      <xdr:rowOff>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12700</xdr:colOff>
      <xdr:row>71</xdr:row>
      <xdr:rowOff>0</xdr:rowOff>
    </xdr:from>
    <xdr:to>
      <xdr:col>17</xdr:col>
      <xdr:colOff>607060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15240</xdr:colOff>
      <xdr:row>10</xdr:row>
      <xdr:rowOff>158750</xdr:rowOff>
    </xdr:from>
    <xdr:to>
      <xdr:col>22</xdr:col>
      <xdr:colOff>158750</xdr:colOff>
      <xdr:row>130</xdr:row>
      <xdr:rowOff>45720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263329</xdr:colOff>
      <xdr:row>11</xdr:row>
      <xdr:rowOff>40005</xdr:rowOff>
    </xdr:from>
    <xdr:to>
      <xdr:col>22</xdr:col>
      <xdr:colOff>154299</xdr:colOff>
      <xdr:row>18</xdr:row>
      <xdr:rowOff>154940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263330</xdr:colOff>
      <xdr:row>18</xdr:row>
      <xdr:rowOff>154305</xdr:rowOff>
    </xdr:from>
    <xdr:to>
      <xdr:col>22</xdr:col>
      <xdr:colOff>154306</xdr:colOff>
      <xdr:row>26</xdr:row>
      <xdr:rowOff>116205</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262500</xdr:colOff>
      <xdr:row>26</xdr:row>
      <xdr:rowOff>112151</xdr:rowOff>
    </xdr:from>
    <xdr:to>
      <xdr:col>22</xdr:col>
      <xdr:colOff>154305</xdr:colOff>
      <xdr:row>34</xdr:row>
      <xdr:rowOff>93101</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262830</xdr:colOff>
      <xdr:row>34</xdr:row>
      <xdr:rowOff>93345</xdr:rowOff>
    </xdr:from>
    <xdr:to>
      <xdr:col>22</xdr:col>
      <xdr:colOff>154305</xdr:colOff>
      <xdr:row>42</xdr:row>
      <xdr:rowOff>74295</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263026</xdr:colOff>
      <xdr:row>42</xdr:row>
      <xdr:rowOff>74295</xdr:rowOff>
    </xdr:from>
    <xdr:to>
      <xdr:col>22</xdr:col>
      <xdr:colOff>154305</xdr:colOff>
      <xdr:row>50</xdr:row>
      <xdr:rowOff>55245</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262831</xdr:colOff>
      <xdr:row>50</xdr:row>
      <xdr:rowOff>53340</xdr:rowOff>
    </xdr:from>
    <xdr:to>
      <xdr:col>22</xdr:col>
      <xdr:colOff>154305</xdr:colOff>
      <xdr:row>58</xdr:row>
      <xdr:rowOff>43815</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263558</xdr:colOff>
      <xdr:row>82</xdr:row>
      <xdr:rowOff>5715</xdr:rowOff>
    </xdr:from>
    <xdr:to>
      <xdr:col>22</xdr:col>
      <xdr:colOff>154305</xdr:colOff>
      <xdr:row>90</xdr:row>
      <xdr:rowOff>5715</xdr:rowOff>
    </xdr:to>
    <xdr:graphicFrame macro="">
      <xdr:nvGraphicFramePr>
        <xdr:cNvPr id="9" name="Chart 8">
          <a:extLst>
            <a:ext uri="{FF2B5EF4-FFF2-40B4-BE49-F238E27FC236}">
              <a16:creationId xmlns:a16="http://schemas.microsoft.com/office/drawing/2014/main" id="{00000000-0008-0000-05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263557</xdr:colOff>
      <xdr:row>90</xdr:row>
      <xdr:rowOff>5715</xdr:rowOff>
    </xdr:from>
    <xdr:to>
      <xdr:col>22</xdr:col>
      <xdr:colOff>154305</xdr:colOff>
      <xdr:row>98</xdr:row>
      <xdr:rowOff>15240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263558</xdr:colOff>
      <xdr:row>98</xdr:row>
      <xdr:rowOff>15240</xdr:rowOff>
    </xdr:from>
    <xdr:to>
      <xdr:col>22</xdr:col>
      <xdr:colOff>154305</xdr:colOff>
      <xdr:row>106</xdr:row>
      <xdr:rowOff>24765</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263558</xdr:colOff>
      <xdr:row>106</xdr:row>
      <xdr:rowOff>24765</xdr:rowOff>
    </xdr:from>
    <xdr:to>
      <xdr:col>22</xdr:col>
      <xdr:colOff>154305</xdr:colOff>
      <xdr:row>114</xdr:row>
      <xdr:rowOff>31115</xdr:rowOff>
    </xdr:to>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263558</xdr:colOff>
      <xdr:row>114</xdr:row>
      <xdr:rowOff>28575</xdr:rowOff>
    </xdr:from>
    <xdr:to>
      <xdr:col>22</xdr:col>
      <xdr:colOff>154305</xdr:colOff>
      <xdr:row>122</xdr:row>
      <xdr:rowOff>44450</xdr:rowOff>
    </xdr:to>
    <xdr:graphicFrame macro="">
      <xdr:nvGraphicFramePr>
        <xdr:cNvPr id="13" name="Chart 12">
          <a:extLst>
            <a:ext uri="{FF2B5EF4-FFF2-40B4-BE49-F238E27FC236}">
              <a16:creationId xmlns:a16="http://schemas.microsoft.com/office/drawing/2014/main" id="{00000000-0008-0000-05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xdr:col>
      <xdr:colOff>263557</xdr:colOff>
      <xdr:row>122</xdr:row>
      <xdr:rowOff>41910</xdr:rowOff>
    </xdr:from>
    <xdr:to>
      <xdr:col>22</xdr:col>
      <xdr:colOff>154305</xdr:colOff>
      <xdr:row>130</xdr:row>
      <xdr:rowOff>63094</xdr:rowOff>
    </xdr:to>
    <xdr:graphicFrame macro="">
      <xdr:nvGraphicFramePr>
        <xdr:cNvPr id="14" name="Chart 13">
          <a:extLst>
            <a:ext uri="{FF2B5EF4-FFF2-40B4-BE49-F238E27FC236}">
              <a16:creationId xmlns:a16="http://schemas.microsoft.com/office/drawing/2014/main" id="{00000000-0008-0000-05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23</xdr:col>
      <xdr:colOff>657225</xdr:colOff>
      <xdr:row>28</xdr:row>
      <xdr:rowOff>158750</xdr:rowOff>
    </xdr:from>
    <xdr:to>
      <xdr:col>35</xdr:col>
      <xdr:colOff>317500</xdr:colOff>
      <xdr:row>64</xdr:row>
      <xdr:rowOff>50800</xdr:rowOff>
    </xdr:to>
    <xdr:graphicFrame macro="">
      <xdr:nvGraphicFramePr>
        <xdr:cNvPr id="15" name="Chart 14">
          <a:extLst>
            <a:ext uri="{FF2B5EF4-FFF2-40B4-BE49-F238E27FC236}">
              <a16:creationId xmlns:a16="http://schemas.microsoft.com/office/drawing/2014/main" id="{00000000-0008-0000-05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12</xdr:col>
      <xdr:colOff>262256</xdr:colOff>
      <xdr:row>58</xdr:row>
      <xdr:rowOff>40005</xdr:rowOff>
    </xdr:from>
    <xdr:to>
      <xdr:col>22</xdr:col>
      <xdr:colOff>154306</xdr:colOff>
      <xdr:row>66</xdr:row>
      <xdr:rowOff>30479</xdr:rowOff>
    </xdr:to>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12</xdr:col>
      <xdr:colOff>263313</xdr:colOff>
      <xdr:row>66</xdr:row>
      <xdr:rowOff>28575</xdr:rowOff>
    </xdr:from>
    <xdr:to>
      <xdr:col>22</xdr:col>
      <xdr:colOff>154305</xdr:colOff>
      <xdr:row>74</xdr:row>
      <xdr:rowOff>19050</xdr:rowOff>
    </xdr:to>
    <xdr:graphicFrame macro="">
      <xdr:nvGraphicFramePr>
        <xdr:cNvPr id="17" name="Chart 16">
          <a:extLst>
            <a:ext uri="{FF2B5EF4-FFF2-40B4-BE49-F238E27FC236}">
              <a16:creationId xmlns:a16="http://schemas.microsoft.com/office/drawing/2014/main" id="{00000000-0008-0000-05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12</xdr:col>
      <xdr:colOff>263313</xdr:colOff>
      <xdr:row>74</xdr:row>
      <xdr:rowOff>16933</xdr:rowOff>
    </xdr:from>
    <xdr:to>
      <xdr:col>22</xdr:col>
      <xdr:colOff>154305</xdr:colOff>
      <xdr:row>82</xdr:row>
      <xdr:rowOff>7407</xdr:rowOff>
    </xdr:to>
    <xdr:graphicFrame macro="">
      <xdr:nvGraphicFramePr>
        <xdr:cNvPr id="18" name="Chart 17">
          <a:extLst>
            <a:ext uri="{FF2B5EF4-FFF2-40B4-BE49-F238E27FC236}">
              <a16:creationId xmlns:a16="http://schemas.microsoft.com/office/drawing/2014/main" id="{00000000-0008-0000-05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theme/theme1.xml><?xml version="1.0" encoding="utf-8"?>
<a:theme xmlns:a="http://schemas.openxmlformats.org/drawingml/2006/main" name="Office Theme">
  <a:themeElements>
    <a:clrScheme name="SAMM">
      <a:dk1>
        <a:srgbClr val="2C3030"/>
      </a:dk1>
      <a:lt1>
        <a:srgbClr val="F9F6F6"/>
      </a:lt1>
      <a:dk2>
        <a:srgbClr val="1F497D"/>
      </a:dk2>
      <a:lt2>
        <a:srgbClr val="EEECE1"/>
      </a:lt2>
      <a:accent1>
        <a:srgbClr val="71B8B8"/>
      </a:accent1>
      <a:accent2>
        <a:srgbClr val="435B70"/>
      </a:accent2>
      <a:accent3>
        <a:srgbClr val="AD4B00"/>
      </a:accent3>
      <a:accent4>
        <a:srgbClr val="3A5F26"/>
      </a:accent4>
      <a:accent5>
        <a:srgbClr val="754858"/>
      </a:accent5>
      <a:accent6>
        <a:srgbClr val="5B5B62"/>
      </a:accent6>
      <a:hlink>
        <a:srgbClr val="0000FF"/>
      </a:hlink>
      <a:folHlink>
        <a:srgbClr val="800080"/>
      </a:folHlink>
    </a:clrScheme>
    <a:fontScheme name="Custom 1">
      <a:majorFont>
        <a:latin typeface="Open Sans"/>
        <a:ea typeface=""/>
        <a:cs typeface=""/>
      </a:majorFont>
      <a:minorFont>
        <a:latin typeface="Open Sans"/>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44D3BE7-8D6C-6C44-BFFF-3B3620FF3E18}">
  <we:reference id="WA200009404" version="1.0.0.8" store="Omex" storeType="OMEX"/>
  <we:alternateReferences>
    <we:reference id="WA200009404" version="1.0.0.8" store="WA200009404" storeType="OMEX"/>
  </we:alternateReferences>
  <we:properties>
    <we:property name="claude.fileId" value="&quot;072d0b66-26bf-4204-beea-f5040baf7949&quot;"/>
  </we:properties>
  <we:bindings/>
  <we:snapshot xmlns:r="http://schemas.openxmlformats.org/officeDocument/2006/relationships"/>
</we:webextension>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52"/>
  <sheetViews>
    <sheetView zoomScaleNormal="100" workbookViewId="0">
      <selection activeCell="B13" sqref="B13"/>
    </sheetView>
  </sheetViews>
  <sheetFormatPr baseColWidth="10" defaultColWidth="8.83203125" defaultRowHeight="14" x14ac:dyDescent="0.2"/>
  <cols>
    <col min="1" max="1" width="22.83203125" style="29" bestFit="1" customWidth="1"/>
    <col min="2" max="2" width="100.5" style="29" customWidth="1"/>
    <col min="3" max="4" width="8.83203125" style="29" customWidth="1"/>
    <col min="5" max="16384" width="8.83203125" style="29"/>
  </cols>
  <sheetData>
    <row r="1" spans="1:2" s="27" customFormat="1" ht="25" customHeight="1" x14ac:dyDescent="0.35">
      <c r="A1" s="26" t="s">
        <v>126</v>
      </c>
      <c r="B1" s="26"/>
    </row>
    <row r="2" spans="1:2" x14ac:dyDescent="0.2">
      <c r="A2" s="28"/>
      <c r="B2" s="28"/>
    </row>
    <row r="3" spans="1:2" x14ac:dyDescent="0.2">
      <c r="A3" s="28" t="s">
        <v>127</v>
      </c>
      <c r="B3" s="30" t="s">
        <v>614</v>
      </c>
    </row>
    <row r="4" spans="1:2" x14ac:dyDescent="0.2">
      <c r="A4" s="28"/>
      <c r="B4" s="28"/>
    </row>
    <row r="5" spans="1:2" ht="42" customHeight="1" x14ac:dyDescent="0.2">
      <c r="A5" s="28" t="s">
        <v>128</v>
      </c>
      <c r="B5" s="31" t="s">
        <v>129</v>
      </c>
    </row>
    <row r="7" spans="1:2" x14ac:dyDescent="0.2">
      <c r="A7" s="28" t="s">
        <v>130</v>
      </c>
      <c r="B7" s="28" t="s">
        <v>131</v>
      </c>
    </row>
    <row r="8" spans="1:2" ht="42" customHeight="1" x14ac:dyDescent="0.2">
      <c r="A8" s="28"/>
      <c r="B8" s="31" t="s">
        <v>132</v>
      </c>
    </row>
    <row r="35" spans="1:2" x14ac:dyDescent="0.2">
      <c r="A35" s="28" t="s">
        <v>133</v>
      </c>
      <c r="B35" s="28" t="s">
        <v>134</v>
      </c>
    </row>
    <row r="36" spans="1:2" x14ac:dyDescent="0.2">
      <c r="A36" s="28" t="s">
        <v>135</v>
      </c>
      <c r="B36" s="28" t="s">
        <v>136</v>
      </c>
    </row>
    <row r="37" spans="1:2" x14ac:dyDescent="0.2">
      <c r="A37" s="28" t="s">
        <v>10</v>
      </c>
      <c r="B37" s="28" t="s">
        <v>137</v>
      </c>
    </row>
    <row r="39" spans="1:2" x14ac:dyDescent="0.2">
      <c r="A39" s="28" t="s">
        <v>133</v>
      </c>
      <c r="B39" s="28" t="s">
        <v>138</v>
      </c>
    </row>
    <row r="40" spans="1:2" x14ac:dyDescent="0.2">
      <c r="A40" s="28" t="s">
        <v>135</v>
      </c>
      <c r="B40" s="28" t="s">
        <v>139</v>
      </c>
    </row>
    <row r="41" spans="1:2" x14ac:dyDescent="0.2">
      <c r="A41" s="28"/>
      <c r="B41" s="28"/>
    </row>
    <row r="42" spans="1:2" x14ac:dyDescent="0.2">
      <c r="A42" s="28" t="s">
        <v>133</v>
      </c>
      <c r="B42" s="28" t="s">
        <v>140</v>
      </c>
    </row>
    <row r="43" spans="1:2" x14ac:dyDescent="0.2">
      <c r="A43" s="28" t="s">
        <v>141</v>
      </c>
      <c r="B43" s="28" t="s">
        <v>142</v>
      </c>
    </row>
    <row r="44" spans="1:2" x14ac:dyDescent="0.2">
      <c r="A44" s="28" t="s">
        <v>10</v>
      </c>
      <c r="B44" s="28" t="s">
        <v>143</v>
      </c>
    </row>
    <row r="45" spans="1:2" x14ac:dyDescent="0.2">
      <c r="A45" s="28"/>
      <c r="B45" s="28"/>
    </row>
    <row r="46" spans="1:2" x14ac:dyDescent="0.2">
      <c r="A46" s="28" t="s">
        <v>133</v>
      </c>
      <c r="B46" s="28" t="s">
        <v>144</v>
      </c>
    </row>
    <row r="47" spans="1:2" x14ac:dyDescent="0.2">
      <c r="A47" s="28" t="s">
        <v>145</v>
      </c>
      <c r="B47" s="28" t="s">
        <v>146</v>
      </c>
    </row>
    <row r="48" spans="1:2" x14ac:dyDescent="0.2">
      <c r="A48" s="28" t="s">
        <v>10</v>
      </c>
      <c r="B48" s="28"/>
    </row>
    <row r="49" spans="1:3" x14ac:dyDescent="0.2">
      <c r="A49" s="28"/>
      <c r="B49" s="28"/>
    </row>
    <row r="50" spans="1:3" ht="28" customHeight="1" x14ac:dyDescent="0.2">
      <c r="A50" s="32" t="s">
        <v>147</v>
      </c>
      <c r="B50" s="33" t="s">
        <v>148</v>
      </c>
      <c r="C50" s="34"/>
    </row>
    <row r="51" spans="1:3" x14ac:dyDescent="0.2">
      <c r="A51" s="32"/>
      <c r="B51" s="32" t="s">
        <v>149</v>
      </c>
      <c r="C51" s="34"/>
    </row>
    <row r="52" spans="1:3" x14ac:dyDescent="0.2">
      <c r="A52" s="32"/>
      <c r="B52" s="35" t="s">
        <v>150</v>
      </c>
      <c r="C52" s="34"/>
    </row>
  </sheetData>
  <sheetProtection sheet="1"/>
  <pageMargins left="0.74803149606299213" right="0.74803149606299213" top="0.39370078740157483" bottom="0.39370078740157483" header="0.51181102362204722" footer="0.51181102362204722"/>
  <pageSetup paperSize="9" scale="71"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B9CAE-E7F2-0A43-94D9-94E3DDC10A75}">
  <dimension ref="A1:C7"/>
  <sheetViews>
    <sheetView tabSelected="1" zoomScale="130" zoomScaleNormal="130" workbookViewId="0">
      <selection activeCell="C11" sqref="C11"/>
    </sheetView>
  </sheetViews>
  <sheetFormatPr baseColWidth="10" defaultRowHeight="13" x14ac:dyDescent="0.15"/>
  <cols>
    <col min="1" max="1" width="4.83203125" style="640" bestFit="1" customWidth="1"/>
    <col min="2" max="2" width="24.6640625" style="640" bestFit="1" customWidth="1"/>
    <col min="3" max="3" width="60.83203125" style="640" customWidth="1"/>
    <col min="4" max="16384" width="10.83203125" style="640"/>
  </cols>
  <sheetData>
    <row r="1" spans="1:3" ht="15" x14ac:dyDescent="0.15">
      <c r="A1" s="641" t="s">
        <v>615</v>
      </c>
      <c r="B1" s="641" t="s">
        <v>616</v>
      </c>
      <c r="C1" s="641" t="s">
        <v>164</v>
      </c>
    </row>
    <row r="2" spans="1:3" ht="60" x14ac:dyDescent="0.15">
      <c r="A2" s="641">
        <v>1</v>
      </c>
      <c r="B2" s="641" t="s">
        <v>617</v>
      </c>
      <c r="C2" s="642" t="s">
        <v>618</v>
      </c>
    </row>
    <row r="3" spans="1:3" ht="45" x14ac:dyDescent="0.15">
      <c r="A3" s="641">
        <v>2</v>
      </c>
      <c r="B3" s="641" t="s">
        <v>619</v>
      </c>
      <c r="C3" s="642" t="s">
        <v>620</v>
      </c>
    </row>
    <row r="4" spans="1:3" ht="75" x14ac:dyDescent="0.15">
      <c r="A4" s="641">
        <v>3</v>
      </c>
      <c r="B4" s="641" t="s">
        <v>621</v>
      </c>
      <c r="C4" s="642" t="s">
        <v>625</v>
      </c>
    </row>
    <row r="5" spans="1:3" ht="45" x14ac:dyDescent="0.15">
      <c r="A5" s="641">
        <v>4</v>
      </c>
      <c r="B5" s="641" t="s">
        <v>622</v>
      </c>
      <c r="C5" s="642" t="s">
        <v>626</v>
      </c>
    </row>
    <row r="6" spans="1:3" ht="60" x14ac:dyDescent="0.15">
      <c r="A6" s="641">
        <v>5</v>
      </c>
      <c r="B6" s="641" t="s">
        <v>623</v>
      </c>
      <c r="C6" s="642" t="s">
        <v>627</v>
      </c>
    </row>
    <row r="7" spans="1:3" ht="75" x14ac:dyDescent="0.15">
      <c r="A7" s="641">
        <v>6</v>
      </c>
      <c r="B7" s="641" t="s">
        <v>624</v>
      </c>
      <c r="C7" s="642" t="s">
        <v>628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sheetPr>
  <dimension ref="B1:M128"/>
  <sheetViews>
    <sheetView workbookViewId="0">
      <selection activeCell="D1" sqref="D1"/>
    </sheetView>
  </sheetViews>
  <sheetFormatPr baseColWidth="10" defaultColWidth="8.83203125" defaultRowHeight="14" x14ac:dyDescent="0.2"/>
  <cols>
    <col min="1" max="1" width="8.83203125" style="22" customWidth="1"/>
    <col min="2" max="2" width="26.33203125" style="22" bestFit="1" customWidth="1"/>
    <col min="3" max="3" width="37.33203125" style="21" customWidth="1"/>
    <col min="4" max="4" width="90.83203125" style="22" customWidth="1"/>
    <col min="5" max="5" width="8.83203125" style="22" customWidth="1"/>
    <col min="6" max="13" width="8.6640625" style="22" hidden="1" customWidth="1"/>
    <col min="14" max="14" width="8.83203125" style="22" customWidth="1"/>
    <col min="15" max="16384" width="8.83203125" style="22"/>
  </cols>
  <sheetData>
    <row r="1" spans="2:13" ht="285" customHeight="1" x14ac:dyDescent="0.2">
      <c r="B1" s="558" t="s">
        <v>151</v>
      </c>
      <c r="C1" s="559"/>
      <c r="D1" s="24" t="s">
        <v>152</v>
      </c>
    </row>
    <row r="2" spans="2:13" x14ac:dyDescent="0.2">
      <c r="F2" s="22" t="s">
        <v>153</v>
      </c>
    </row>
    <row r="4" spans="2:13" x14ac:dyDescent="0.2">
      <c r="F4" s="22" t="s">
        <v>154</v>
      </c>
      <c r="G4" s="22" t="s">
        <v>155</v>
      </c>
      <c r="H4" s="22" t="s">
        <v>156</v>
      </c>
      <c r="I4" s="22" t="s">
        <v>157</v>
      </c>
      <c r="J4" s="22" t="s">
        <v>158</v>
      </c>
      <c r="K4" s="22" t="s">
        <v>159</v>
      </c>
      <c r="L4" s="22" t="s">
        <v>160</v>
      </c>
      <c r="M4" s="22" t="s">
        <v>161</v>
      </c>
    </row>
    <row r="5" spans="2:13" x14ac:dyDescent="0.2">
      <c r="B5" s="22" t="s">
        <v>162</v>
      </c>
      <c r="C5" s="25" t="s">
        <v>163</v>
      </c>
      <c r="D5" s="25" t="s">
        <v>164</v>
      </c>
      <c r="F5" s="22" t="s">
        <v>165</v>
      </c>
      <c r="G5" s="22" t="s">
        <v>166</v>
      </c>
      <c r="H5" s="22" t="s">
        <v>167</v>
      </c>
      <c r="I5" s="22" t="s">
        <v>168</v>
      </c>
      <c r="J5" s="22" t="s">
        <v>169</v>
      </c>
      <c r="K5" s="36" t="s">
        <v>170</v>
      </c>
      <c r="L5" s="36" t="s">
        <v>171</v>
      </c>
      <c r="M5" s="22" t="s">
        <v>172</v>
      </c>
    </row>
    <row r="6" spans="2:13" x14ac:dyDescent="0.2">
      <c r="F6" s="22" t="s">
        <v>173</v>
      </c>
      <c r="G6" s="22" t="s">
        <v>174</v>
      </c>
      <c r="H6" s="22" t="s">
        <v>175</v>
      </c>
      <c r="I6" s="22" t="s">
        <v>176</v>
      </c>
      <c r="J6" s="22" t="s">
        <v>177</v>
      </c>
      <c r="K6" s="36" t="s">
        <v>178</v>
      </c>
      <c r="L6" s="36" t="s">
        <v>179</v>
      </c>
      <c r="M6" s="22" t="s">
        <v>180</v>
      </c>
    </row>
    <row r="7" spans="2:13" x14ac:dyDescent="0.2">
      <c r="B7" s="22" t="s">
        <v>181</v>
      </c>
      <c r="C7" s="21" t="str">
        <f>'Attribution and License'!B3</f>
        <v>'v2.1.1</v>
      </c>
      <c r="D7" s="22" t="s">
        <v>182</v>
      </c>
      <c r="G7" s="22" t="s">
        <v>183</v>
      </c>
      <c r="H7" s="22" t="s">
        <v>184</v>
      </c>
      <c r="I7" s="22" t="s">
        <v>185</v>
      </c>
      <c r="J7" s="22" t="s">
        <v>186</v>
      </c>
      <c r="K7" s="36" t="s">
        <v>187</v>
      </c>
      <c r="L7" s="36" t="s">
        <v>188</v>
      </c>
      <c r="M7" s="22" t="s">
        <v>189</v>
      </c>
    </row>
    <row r="8" spans="2:13" x14ac:dyDescent="0.2">
      <c r="B8" s="22" t="s">
        <v>190</v>
      </c>
      <c r="C8" s="37">
        <f>Interview!D12</f>
        <v>0</v>
      </c>
      <c r="D8" s="22" t="s">
        <v>191</v>
      </c>
      <c r="H8" s="22" t="s">
        <v>192</v>
      </c>
      <c r="I8" s="22" t="s">
        <v>193</v>
      </c>
      <c r="J8" s="22" t="s">
        <v>194</v>
      </c>
      <c r="K8" s="36" t="s">
        <v>195</v>
      </c>
      <c r="L8" s="36" t="s">
        <v>196</v>
      </c>
      <c r="M8" s="22" t="s">
        <v>197</v>
      </c>
    </row>
    <row r="9" spans="2:13" x14ac:dyDescent="0.2">
      <c r="B9" s="22" t="s">
        <v>154</v>
      </c>
      <c r="D9" s="22" t="s">
        <v>198</v>
      </c>
      <c r="H9" s="22" t="s">
        <v>199</v>
      </c>
      <c r="I9" s="22" t="s">
        <v>200</v>
      </c>
      <c r="K9" s="36"/>
      <c r="L9" s="36" t="s">
        <v>201</v>
      </c>
    </row>
    <row r="10" spans="2:13" x14ac:dyDescent="0.2">
      <c r="B10" s="22" t="s">
        <v>202</v>
      </c>
      <c r="D10" s="22" t="s">
        <v>203</v>
      </c>
      <c r="H10" s="22" t="s">
        <v>204</v>
      </c>
      <c r="I10" s="22" t="s">
        <v>205</v>
      </c>
      <c r="K10" s="36"/>
      <c r="L10" s="36"/>
    </row>
    <row r="11" spans="2:13" x14ac:dyDescent="0.2">
      <c r="B11" s="22" t="s">
        <v>206</v>
      </c>
      <c r="D11" s="22" t="s">
        <v>207</v>
      </c>
      <c r="H11" s="22" t="s">
        <v>197</v>
      </c>
      <c r="I11" s="22" t="s">
        <v>208</v>
      </c>
      <c r="L11" s="36"/>
    </row>
    <row r="12" spans="2:13" x14ac:dyDescent="0.2">
      <c r="B12" s="22" t="s">
        <v>209</v>
      </c>
      <c r="D12" s="22" t="s">
        <v>210</v>
      </c>
      <c r="I12" s="22" t="s">
        <v>211</v>
      </c>
      <c r="L12" s="36"/>
    </row>
    <row r="13" spans="2:13" x14ac:dyDescent="0.2">
      <c r="B13" s="22" t="s">
        <v>212</v>
      </c>
      <c r="D13" s="22" t="s">
        <v>213</v>
      </c>
      <c r="I13" s="22" t="s">
        <v>214</v>
      </c>
    </row>
    <row r="14" spans="2:13" x14ac:dyDescent="0.2">
      <c r="B14" s="22" t="s">
        <v>215</v>
      </c>
      <c r="D14" s="22" t="s">
        <v>216</v>
      </c>
      <c r="I14" s="22" t="s">
        <v>217</v>
      </c>
    </row>
    <row r="15" spans="2:13" x14ac:dyDescent="0.2">
      <c r="B15" s="22" t="s">
        <v>218</v>
      </c>
      <c r="D15" s="22" t="s">
        <v>219</v>
      </c>
      <c r="I15" s="22" t="s">
        <v>220</v>
      </c>
    </row>
    <row r="16" spans="2:13" x14ac:dyDescent="0.2">
      <c r="B16" s="22" t="s">
        <v>221</v>
      </c>
      <c r="D16" s="22" t="s">
        <v>222</v>
      </c>
      <c r="I16" s="22" t="s">
        <v>223</v>
      </c>
    </row>
    <row r="17" spans="2:9" x14ac:dyDescent="0.2">
      <c r="B17" s="22" t="s">
        <v>224</v>
      </c>
      <c r="D17" s="22" t="s">
        <v>225</v>
      </c>
      <c r="I17" s="22" t="s">
        <v>226</v>
      </c>
    </row>
    <row r="18" spans="2:9" x14ac:dyDescent="0.2">
      <c r="B18" s="22" t="s">
        <v>227</v>
      </c>
      <c r="C18" s="38">
        <f ca="1">Scorecard!J19</f>
        <v>0</v>
      </c>
      <c r="D18" s="22" t="s">
        <v>228</v>
      </c>
      <c r="I18" s="22" t="s">
        <v>229</v>
      </c>
    </row>
    <row r="19" spans="2:9" x14ac:dyDescent="0.2">
      <c r="B19" s="22" t="s">
        <v>230</v>
      </c>
      <c r="C19" s="38">
        <f ca="1">Scorecard!J14</f>
        <v>0</v>
      </c>
      <c r="D19" s="22" t="s">
        <v>228</v>
      </c>
      <c r="I19" s="22" t="s">
        <v>197</v>
      </c>
    </row>
    <row r="20" spans="2:9" x14ac:dyDescent="0.2">
      <c r="B20" s="22" t="s">
        <v>231</v>
      </c>
      <c r="C20" s="38">
        <f ca="1">Scorecard!J15</f>
        <v>0</v>
      </c>
      <c r="D20" s="22" t="s">
        <v>228</v>
      </c>
    </row>
    <row r="21" spans="2:9" x14ac:dyDescent="0.2">
      <c r="B21" s="22" t="s">
        <v>232</v>
      </c>
      <c r="C21" s="38">
        <f ca="1">Scorecard!J16</f>
        <v>0</v>
      </c>
      <c r="D21" s="22" t="s">
        <v>228</v>
      </c>
    </row>
    <row r="22" spans="2:9" x14ac:dyDescent="0.2">
      <c r="B22" s="22" t="s">
        <v>233</v>
      </c>
      <c r="C22" s="38">
        <f ca="1">Scorecard!J17</f>
        <v>0</v>
      </c>
      <c r="D22" s="22" t="s">
        <v>228</v>
      </c>
    </row>
    <row r="23" spans="2:9" x14ac:dyDescent="0.2">
      <c r="B23" s="22" t="s">
        <v>234</v>
      </c>
      <c r="C23" s="38">
        <f ca="1">Scorecard!J18</f>
        <v>0</v>
      </c>
      <c r="D23" s="22" t="s">
        <v>228</v>
      </c>
    </row>
    <row r="24" spans="2:9" x14ac:dyDescent="0.2">
      <c r="B24" s="22" t="str">
        <f>Scorecard!B14</f>
        <v>Strategy &amp; Metrics</v>
      </c>
      <c r="C24" s="38">
        <f ca="1">Scorecard!C14</f>
        <v>0</v>
      </c>
      <c r="D24" s="22" t="s">
        <v>228</v>
      </c>
    </row>
    <row r="25" spans="2:9" x14ac:dyDescent="0.2">
      <c r="B25" s="22" t="str">
        <f>Scorecard!B15</f>
        <v>Policy &amp; Compliance</v>
      </c>
      <c r="C25" s="38">
        <f ca="1">Scorecard!C15</f>
        <v>0</v>
      </c>
      <c r="D25" s="22" t="s">
        <v>228</v>
      </c>
    </row>
    <row r="26" spans="2:9" x14ac:dyDescent="0.2">
      <c r="B26" s="22" t="str">
        <f>Scorecard!B16</f>
        <v>Education &amp; Guidance</v>
      </c>
      <c r="C26" s="38">
        <f ca="1">Scorecard!C16</f>
        <v>0</v>
      </c>
      <c r="D26" s="22" t="s">
        <v>228</v>
      </c>
    </row>
    <row r="27" spans="2:9" x14ac:dyDescent="0.2">
      <c r="B27" s="22" t="str">
        <f>Scorecard!B17</f>
        <v>Threat Assessment</v>
      </c>
      <c r="C27" s="38">
        <f ca="1">Scorecard!C17</f>
        <v>0</v>
      </c>
      <c r="D27" s="22" t="s">
        <v>228</v>
      </c>
    </row>
    <row r="28" spans="2:9" x14ac:dyDescent="0.2">
      <c r="B28" s="22" t="str">
        <f>Scorecard!B18</f>
        <v>Security Requirements</v>
      </c>
      <c r="C28" s="38">
        <f ca="1">Scorecard!C18</f>
        <v>0</v>
      </c>
      <c r="D28" s="22" t="s">
        <v>228</v>
      </c>
    </row>
    <row r="29" spans="2:9" x14ac:dyDescent="0.2">
      <c r="B29" s="22" t="str">
        <f>Scorecard!B19</f>
        <v>Secure Architecture</v>
      </c>
      <c r="C29" s="38">
        <f ca="1">Scorecard!C19</f>
        <v>0</v>
      </c>
      <c r="D29" s="22" t="s">
        <v>228</v>
      </c>
    </row>
    <row r="30" spans="2:9" x14ac:dyDescent="0.2">
      <c r="B30" s="22" t="str">
        <f>Scorecard!B20</f>
        <v>Secure Build</v>
      </c>
      <c r="C30" s="38">
        <f ca="1">Scorecard!C20</f>
        <v>0</v>
      </c>
      <c r="D30" s="22" t="s">
        <v>228</v>
      </c>
    </row>
    <row r="31" spans="2:9" x14ac:dyDescent="0.2">
      <c r="B31" s="22" t="str">
        <f>Scorecard!B21</f>
        <v>Secure Deployment</v>
      </c>
      <c r="C31" s="38">
        <f ca="1">Scorecard!C21</f>
        <v>0</v>
      </c>
      <c r="D31" s="22" t="s">
        <v>228</v>
      </c>
    </row>
    <row r="32" spans="2:9" x14ac:dyDescent="0.2">
      <c r="B32" s="22" t="str">
        <f>Scorecard!B22</f>
        <v>Defect Management</v>
      </c>
      <c r="C32" s="38">
        <f ca="1">Scorecard!C22</f>
        <v>0</v>
      </c>
      <c r="D32" s="22" t="s">
        <v>228</v>
      </c>
    </row>
    <row r="33" spans="2:4" x14ac:dyDescent="0.2">
      <c r="B33" s="22" t="str">
        <f>Scorecard!B23</f>
        <v>Architecture Assessment</v>
      </c>
      <c r="C33" s="38">
        <f ca="1">Scorecard!C23</f>
        <v>0</v>
      </c>
      <c r="D33" s="22" t="s">
        <v>228</v>
      </c>
    </row>
    <row r="34" spans="2:4" x14ac:dyDescent="0.2">
      <c r="B34" s="22" t="str">
        <f>Scorecard!B24</f>
        <v>Requirements Testing</v>
      </c>
      <c r="C34" s="38">
        <f ca="1">Scorecard!C24</f>
        <v>0</v>
      </c>
      <c r="D34" s="22" t="s">
        <v>228</v>
      </c>
    </row>
    <row r="35" spans="2:4" x14ac:dyDescent="0.2">
      <c r="B35" s="22" t="str">
        <f>Scorecard!B25</f>
        <v>Security Testing</v>
      </c>
      <c r="C35" s="38">
        <f ca="1">Scorecard!C25</f>
        <v>0</v>
      </c>
      <c r="D35" s="22" t="s">
        <v>228</v>
      </c>
    </row>
    <row r="36" spans="2:4" x14ac:dyDescent="0.2">
      <c r="B36" s="22" t="str">
        <f>Scorecard!B26</f>
        <v>Incident Management</v>
      </c>
      <c r="C36" s="38">
        <f ca="1">Scorecard!C26</f>
        <v>0</v>
      </c>
      <c r="D36" s="22" t="s">
        <v>228</v>
      </c>
    </row>
    <row r="37" spans="2:4" x14ac:dyDescent="0.2">
      <c r="B37" s="22" t="str">
        <f>Scorecard!B27</f>
        <v>Environment Management</v>
      </c>
      <c r="C37" s="38">
        <f ca="1">Scorecard!C27</f>
        <v>0</v>
      </c>
      <c r="D37" s="22" t="s">
        <v>228</v>
      </c>
    </row>
    <row r="38" spans="2:4" x14ac:dyDescent="0.2">
      <c r="B38" s="22" t="str">
        <f>Scorecard!B28</f>
        <v>Operational Management</v>
      </c>
      <c r="C38" s="38">
        <f ca="1">Scorecard!C28</f>
        <v>0</v>
      </c>
      <c r="D38" s="22" t="s">
        <v>228</v>
      </c>
    </row>
    <row r="39" spans="2:4" x14ac:dyDescent="0.2">
      <c r="B39" s="21" t="s">
        <v>18</v>
      </c>
      <c r="C39" s="21">
        <f ca="1">VLOOKUP(B39,Interview!$A$18:$J$230,7,FALSE)</f>
        <v>0</v>
      </c>
      <c r="D39" s="22" t="s">
        <v>235</v>
      </c>
    </row>
    <row r="40" spans="2:4" x14ac:dyDescent="0.2">
      <c r="B40" s="21" t="s">
        <v>19</v>
      </c>
      <c r="C40" s="21">
        <f ca="1">VLOOKUP(B40,Interview!$A$18:$J$230,7,FALSE)</f>
        <v>0</v>
      </c>
      <c r="D40" s="22" t="s">
        <v>235</v>
      </c>
    </row>
    <row r="41" spans="2:4" x14ac:dyDescent="0.2">
      <c r="B41" s="21" t="s">
        <v>20</v>
      </c>
      <c r="C41" s="21">
        <f ca="1">VLOOKUP(B41,Interview!$A$18:$J$230,7,FALSE)</f>
        <v>0</v>
      </c>
      <c r="D41" s="22" t="s">
        <v>235</v>
      </c>
    </row>
    <row r="42" spans="2:4" x14ac:dyDescent="0.2">
      <c r="B42" s="21" t="s">
        <v>21</v>
      </c>
      <c r="C42" s="21">
        <f ca="1">VLOOKUP(B42,Interview!$A$18:$J$230,7,FALSE)</f>
        <v>0</v>
      </c>
      <c r="D42" s="22" t="s">
        <v>235</v>
      </c>
    </row>
    <row r="43" spans="2:4" x14ac:dyDescent="0.2">
      <c r="B43" s="21" t="s">
        <v>22</v>
      </c>
      <c r="C43" s="21">
        <f ca="1">VLOOKUP(B43,Interview!$A$18:$J$230,7,FALSE)</f>
        <v>0</v>
      </c>
      <c r="D43" s="22" t="s">
        <v>235</v>
      </c>
    </row>
    <row r="44" spans="2:4" x14ac:dyDescent="0.2">
      <c r="B44" s="21" t="s">
        <v>23</v>
      </c>
      <c r="C44" s="21">
        <f ca="1">VLOOKUP(B44,Interview!$A$18:$J$230,7,FALSE)</f>
        <v>0</v>
      </c>
      <c r="D44" s="22" t="s">
        <v>235</v>
      </c>
    </row>
    <row r="45" spans="2:4" x14ac:dyDescent="0.2">
      <c r="B45" s="21" t="s">
        <v>25</v>
      </c>
      <c r="C45" s="21">
        <f ca="1">VLOOKUP(B45,Interview!$A$18:$J$230,7,FALSE)</f>
        <v>0</v>
      </c>
      <c r="D45" s="22" t="s">
        <v>235</v>
      </c>
    </row>
    <row r="46" spans="2:4" x14ac:dyDescent="0.2">
      <c r="B46" s="21" t="s">
        <v>26</v>
      </c>
      <c r="C46" s="21">
        <f ca="1">VLOOKUP(B46,Interview!$A$18:$J$230,7,FALSE)</f>
        <v>0</v>
      </c>
      <c r="D46" s="22" t="s">
        <v>235</v>
      </c>
    </row>
    <row r="47" spans="2:4" x14ac:dyDescent="0.2">
      <c r="B47" s="21" t="s">
        <v>27</v>
      </c>
      <c r="C47" s="21">
        <f ca="1">VLOOKUP(B47,Interview!$A$18:$J$230,7,FALSE)</f>
        <v>0</v>
      </c>
      <c r="D47" s="22" t="s">
        <v>235</v>
      </c>
    </row>
    <row r="48" spans="2:4" x14ac:dyDescent="0.2">
      <c r="B48" s="21" t="s">
        <v>28</v>
      </c>
      <c r="C48" s="21">
        <f ca="1">VLOOKUP(B48,Interview!$A$18:$J$230,7,FALSE)</f>
        <v>0</v>
      </c>
      <c r="D48" s="22" t="s">
        <v>235</v>
      </c>
    </row>
    <row r="49" spans="2:4" x14ac:dyDescent="0.2">
      <c r="B49" s="21" t="s">
        <v>29</v>
      </c>
      <c r="C49" s="21">
        <f ca="1">VLOOKUP(B49,Interview!$A$18:$J$230,7,FALSE)</f>
        <v>0</v>
      </c>
      <c r="D49" s="22" t="s">
        <v>235</v>
      </c>
    </row>
    <row r="50" spans="2:4" x14ac:dyDescent="0.2">
      <c r="B50" s="21" t="s">
        <v>30</v>
      </c>
      <c r="C50" s="21">
        <f ca="1">VLOOKUP(B50,Interview!$A$18:$J$230,7,FALSE)</f>
        <v>0</v>
      </c>
      <c r="D50" s="22" t="s">
        <v>235</v>
      </c>
    </row>
    <row r="51" spans="2:4" x14ac:dyDescent="0.2">
      <c r="B51" s="23" t="s">
        <v>32</v>
      </c>
      <c r="C51" s="21">
        <f ca="1">VLOOKUP(B51,Interview!$A$18:$J$230,7,FALSE)</f>
        <v>0</v>
      </c>
      <c r="D51" s="22" t="s">
        <v>235</v>
      </c>
    </row>
    <row r="52" spans="2:4" x14ac:dyDescent="0.2">
      <c r="B52" s="23" t="s">
        <v>33</v>
      </c>
      <c r="C52" s="21">
        <f ca="1">VLOOKUP(B52,Interview!$A$18:$J$230,7,FALSE)</f>
        <v>0</v>
      </c>
      <c r="D52" s="22" t="s">
        <v>235</v>
      </c>
    </row>
    <row r="53" spans="2:4" x14ac:dyDescent="0.2">
      <c r="B53" s="23" t="s">
        <v>34</v>
      </c>
      <c r="C53" s="21">
        <f ca="1">VLOOKUP(B53,Interview!$A$18:$J$230,7,FALSE)</f>
        <v>0</v>
      </c>
      <c r="D53" s="22" t="s">
        <v>235</v>
      </c>
    </row>
    <row r="54" spans="2:4" x14ac:dyDescent="0.2">
      <c r="B54" s="23" t="s">
        <v>35</v>
      </c>
      <c r="C54" s="21">
        <f ca="1">VLOOKUP(B54,Interview!$A$18:$J$230,7,FALSE)</f>
        <v>0</v>
      </c>
      <c r="D54" s="22" t="s">
        <v>235</v>
      </c>
    </row>
    <row r="55" spans="2:4" x14ac:dyDescent="0.2">
      <c r="B55" s="23" t="s">
        <v>36</v>
      </c>
      <c r="C55" s="21">
        <f ca="1">VLOOKUP(B55,Interview!$A$18:$J$230,7,FALSE)</f>
        <v>0</v>
      </c>
      <c r="D55" s="22" t="s">
        <v>235</v>
      </c>
    </row>
    <row r="56" spans="2:4" x14ac:dyDescent="0.2">
      <c r="B56" s="23" t="s">
        <v>37</v>
      </c>
      <c r="C56" s="21">
        <f ca="1">VLOOKUP(B56,Interview!$A$18:$J$230,7,FALSE)</f>
        <v>0</v>
      </c>
      <c r="D56" s="22" t="s">
        <v>235</v>
      </c>
    </row>
    <row r="57" spans="2:4" x14ac:dyDescent="0.2">
      <c r="B57" s="23" t="s">
        <v>40</v>
      </c>
      <c r="C57" s="21">
        <f ca="1">VLOOKUP(B57,Interview!$A$18:$J$230,7,FALSE)</f>
        <v>0</v>
      </c>
      <c r="D57" s="22" t="s">
        <v>235</v>
      </c>
    </row>
    <row r="58" spans="2:4" x14ac:dyDescent="0.2">
      <c r="B58" s="23" t="s">
        <v>41</v>
      </c>
      <c r="C58" s="21">
        <f ca="1">VLOOKUP(B58,Interview!$A$18:$J$230,7,FALSE)</f>
        <v>0</v>
      </c>
      <c r="D58" s="22" t="s">
        <v>235</v>
      </c>
    </row>
    <row r="59" spans="2:4" x14ac:dyDescent="0.2">
      <c r="B59" s="23" t="s">
        <v>42</v>
      </c>
      <c r="C59" s="21">
        <f ca="1">VLOOKUP(B59,Interview!$A$18:$J$230,7,FALSE)</f>
        <v>0</v>
      </c>
      <c r="D59" s="22" t="s">
        <v>235</v>
      </c>
    </row>
    <row r="60" spans="2:4" x14ac:dyDescent="0.2">
      <c r="B60" s="23" t="s">
        <v>43</v>
      </c>
      <c r="C60" s="21">
        <f ca="1">VLOOKUP(B60,Interview!$A$18:$J$230,7,FALSE)</f>
        <v>0</v>
      </c>
      <c r="D60" s="22" t="s">
        <v>235</v>
      </c>
    </row>
    <row r="61" spans="2:4" x14ac:dyDescent="0.2">
      <c r="B61" s="23" t="s">
        <v>44</v>
      </c>
      <c r="C61" s="21">
        <f ca="1">VLOOKUP(B61,Interview!$A$18:$J$230,7,FALSE)</f>
        <v>0</v>
      </c>
      <c r="D61" s="22" t="s">
        <v>235</v>
      </c>
    </row>
    <row r="62" spans="2:4" x14ac:dyDescent="0.2">
      <c r="B62" s="23" t="s">
        <v>45</v>
      </c>
      <c r="C62" s="21">
        <f ca="1">VLOOKUP(B62,Interview!$A$18:$J$230,7,FALSE)</f>
        <v>0</v>
      </c>
      <c r="D62" s="22" t="s">
        <v>235</v>
      </c>
    </row>
    <row r="63" spans="2:4" x14ac:dyDescent="0.2">
      <c r="B63" s="23" t="s">
        <v>47</v>
      </c>
      <c r="C63" s="21">
        <f ca="1">VLOOKUP(B63,Interview!$A$18:$J$230,7,FALSE)</f>
        <v>0</v>
      </c>
      <c r="D63" s="22" t="s">
        <v>235</v>
      </c>
    </row>
    <row r="64" spans="2:4" x14ac:dyDescent="0.2">
      <c r="B64" s="23" t="s">
        <v>48</v>
      </c>
      <c r="C64" s="21">
        <f ca="1">VLOOKUP(B64,Interview!$A$18:$J$230,7,FALSE)</f>
        <v>0</v>
      </c>
      <c r="D64" s="22" t="s">
        <v>235</v>
      </c>
    </row>
    <row r="65" spans="2:4" x14ac:dyDescent="0.2">
      <c r="B65" s="23" t="s">
        <v>49</v>
      </c>
      <c r="C65" s="21">
        <f ca="1">VLOOKUP(B65,Interview!$A$18:$J$230,7,FALSE)</f>
        <v>0</v>
      </c>
      <c r="D65" s="22" t="s">
        <v>235</v>
      </c>
    </row>
    <row r="66" spans="2:4" x14ac:dyDescent="0.2">
      <c r="B66" s="23" t="s">
        <v>50</v>
      </c>
      <c r="C66" s="21">
        <f ca="1">VLOOKUP(B66,Interview!$A$18:$J$230,7,FALSE)</f>
        <v>0</v>
      </c>
      <c r="D66" s="22" t="s">
        <v>235</v>
      </c>
    </row>
    <row r="67" spans="2:4" x14ac:dyDescent="0.2">
      <c r="B67" s="23" t="s">
        <v>51</v>
      </c>
      <c r="C67" s="21">
        <f ca="1">VLOOKUP(B67,Interview!$A$18:$J$230,7,FALSE)</f>
        <v>0</v>
      </c>
      <c r="D67" s="22" t="s">
        <v>235</v>
      </c>
    </row>
    <row r="68" spans="2:4" x14ac:dyDescent="0.2">
      <c r="B68" s="23" t="s">
        <v>52</v>
      </c>
      <c r="C68" s="21">
        <f ca="1">VLOOKUP(B68,Interview!$A$18:$J$230,7,FALSE)</f>
        <v>0</v>
      </c>
      <c r="D68" s="22" t="s">
        <v>235</v>
      </c>
    </row>
    <row r="69" spans="2:4" x14ac:dyDescent="0.2">
      <c r="B69" s="23" t="s">
        <v>54</v>
      </c>
      <c r="C69" s="21">
        <f ca="1">VLOOKUP(B69,Interview!$A$18:$J$230,7,FALSE)</f>
        <v>0</v>
      </c>
      <c r="D69" s="22" t="s">
        <v>235</v>
      </c>
    </row>
    <row r="70" spans="2:4" x14ac:dyDescent="0.2">
      <c r="B70" s="23" t="s">
        <v>55</v>
      </c>
      <c r="C70" s="21">
        <f ca="1">VLOOKUP(B70,Interview!$A$18:$J$230,7,FALSE)</f>
        <v>0</v>
      </c>
      <c r="D70" s="22" t="s">
        <v>235</v>
      </c>
    </row>
    <row r="71" spans="2:4" x14ac:dyDescent="0.2">
      <c r="B71" s="23" t="s">
        <v>56</v>
      </c>
      <c r="C71" s="21">
        <f ca="1">VLOOKUP(B71,Interview!$A$18:$J$230,7,FALSE)</f>
        <v>0</v>
      </c>
      <c r="D71" s="22" t="s">
        <v>235</v>
      </c>
    </row>
    <row r="72" spans="2:4" x14ac:dyDescent="0.2">
      <c r="B72" s="23" t="s">
        <v>57</v>
      </c>
      <c r="C72" s="21">
        <f ca="1">VLOOKUP(B72,Interview!$A$18:$J$230,7,FALSE)</f>
        <v>0</v>
      </c>
      <c r="D72" s="22" t="s">
        <v>235</v>
      </c>
    </row>
    <row r="73" spans="2:4" x14ac:dyDescent="0.2">
      <c r="B73" s="23" t="s">
        <v>58</v>
      </c>
      <c r="C73" s="21">
        <f ca="1">VLOOKUP(B73,Interview!$A$18:$J$230,7,FALSE)</f>
        <v>0</v>
      </c>
      <c r="D73" s="22" t="s">
        <v>235</v>
      </c>
    </row>
    <row r="74" spans="2:4" x14ac:dyDescent="0.2">
      <c r="B74" s="23" t="s">
        <v>59</v>
      </c>
      <c r="C74" s="21">
        <f ca="1">VLOOKUP(B74,Interview!$A$18:$J$230,7,FALSE)</f>
        <v>0</v>
      </c>
      <c r="D74" s="22" t="s">
        <v>235</v>
      </c>
    </row>
    <row r="75" spans="2:4" x14ac:dyDescent="0.2">
      <c r="B75" s="23" t="s">
        <v>62</v>
      </c>
      <c r="C75" s="21">
        <f ca="1">VLOOKUP(B75,Interview!$A$18:$J$230,7,FALSE)</f>
        <v>0</v>
      </c>
      <c r="D75" s="22" t="s">
        <v>235</v>
      </c>
    </row>
    <row r="76" spans="2:4" x14ac:dyDescent="0.2">
      <c r="B76" s="23" t="s">
        <v>63</v>
      </c>
      <c r="C76" s="21">
        <f ca="1">VLOOKUP(B76,Interview!$A$18:$J$230,7,FALSE)</f>
        <v>0</v>
      </c>
      <c r="D76" s="22" t="s">
        <v>235</v>
      </c>
    </row>
    <row r="77" spans="2:4" x14ac:dyDescent="0.2">
      <c r="B77" s="23" t="s">
        <v>64</v>
      </c>
      <c r="C77" s="21">
        <f ca="1">VLOOKUP(B77,Interview!$A$18:$J$230,7,FALSE)</f>
        <v>0</v>
      </c>
      <c r="D77" s="22" t="s">
        <v>235</v>
      </c>
    </row>
    <row r="78" spans="2:4" x14ac:dyDescent="0.2">
      <c r="B78" s="23" t="s">
        <v>65</v>
      </c>
      <c r="C78" s="21">
        <f ca="1">VLOOKUP(B78,Interview!$A$18:$J$230,7,FALSE)</f>
        <v>0</v>
      </c>
      <c r="D78" s="22" t="s">
        <v>235</v>
      </c>
    </row>
    <row r="79" spans="2:4" x14ac:dyDescent="0.2">
      <c r="B79" s="23" t="s">
        <v>66</v>
      </c>
      <c r="C79" s="21">
        <f ca="1">VLOOKUP(B79,Interview!$A$18:$J$230,7,FALSE)</f>
        <v>0</v>
      </c>
      <c r="D79" s="22" t="s">
        <v>235</v>
      </c>
    </row>
    <row r="80" spans="2:4" x14ac:dyDescent="0.2">
      <c r="B80" s="23" t="s">
        <v>67</v>
      </c>
      <c r="C80" s="21">
        <f ca="1">VLOOKUP(B80,Interview!$A$18:$J$230,7,FALSE)</f>
        <v>0</v>
      </c>
      <c r="D80" s="22" t="s">
        <v>235</v>
      </c>
    </row>
    <row r="81" spans="2:4" x14ac:dyDescent="0.2">
      <c r="B81" s="23" t="s">
        <v>69</v>
      </c>
      <c r="C81" s="21">
        <f ca="1">VLOOKUP(B81,Interview!$A$18:$J$230,7,FALSE)</f>
        <v>0</v>
      </c>
      <c r="D81" s="22" t="s">
        <v>235</v>
      </c>
    </row>
    <row r="82" spans="2:4" x14ac:dyDescent="0.2">
      <c r="B82" s="23" t="s">
        <v>70</v>
      </c>
      <c r="C82" s="21">
        <f ca="1">VLOOKUP(B82,Interview!$A$18:$J$230,7,FALSE)</f>
        <v>0</v>
      </c>
      <c r="D82" s="22" t="s">
        <v>235</v>
      </c>
    </row>
    <row r="83" spans="2:4" x14ac:dyDescent="0.2">
      <c r="B83" s="23" t="s">
        <v>71</v>
      </c>
      <c r="C83" s="21">
        <f ca="1">VLOOKUP(B83,Interview!$A$18:$J$230,7,FALSE)</f>
        <v>0</v>
      </c>
      <c r="D83" s="22" t="s">
        <v>235</v>
      </c>
    </row>
    <row r="84" spans="2:4" x14ac:dyDescent="0.2">
      <c r="B84" s="23" t="s">
        <v>72</v>
      </c>
      <c r="C84" s="21">
        <f ca="1">VLOOKUP(B84,Interview!$A$18:$J$230,7,FALSE)</f>
        <v>0</v>
      </c>
      <c r="D84" s="22" t="s">
        <v>235</v>
      </c>
    </row>
    <row r="85" spans="2:4" x14ac:dyDescent="0.2">
      <c r="B85" s="23" t="s">
        <v>73</v>
      </c>
      <c r="C85" s="21">
        <f ca="1">VLOOKUP(B85,Interview!$A$18:$J$230,7,FALSE)</f>
        <v>0</v>
      </c>
      <c r="D85" s="22" t="s">
        <v>235</v>
      </c>
    </row>
    <row r="86" spans="2:4" x14ac:dyDescent="0.2">
      <c r="B86" s="23" t="s">
        <v>74</v>
      </c>
      <c r="C86" s="21">
        <f ca="1">VLOOKUP(B86,Interview!$A$18:$J$230,7,FALSE)</f>
        <v>0</v>
      </c>
      <c r="D86" s="22" t="s">
        <v>235</v>
      </c>
    </row>
    <row r="87" spans="2:4" x14ac:dyDescent="0.2">
      <c r="B87" s="23" t="s">
        <v>76</v>
      </c>
      <c r="C87" s="21">
        <f ca="1">VLOOKUP(B87,Interview!$A$18:$J$230,7,FALSE)</f>
        <v>0</v>
      </c>
      <c r="D87" s="22" t="s">
        <v>235</v>
      </c>
    </row>
    <row r="88" spans="2:4" x14ac:dyDescent="0.2">
      <c r="B88" s="23" t="s">
        <v>77</v>
      </c>
      <c r="C88" s="21">
        <f ca="1">VLOOKUP(B88,Interview!$A$18:$J$230,7,FALSE)</f>
        <v>0</v>
      </c>
      <c r="D88" s="22" t="s">
        <v>235</v>
      </c>
    </row>
    <row r="89" spans="2:4" x14ac:dyDescent="0.2">
      <c r="B89" s="23" t="s">
        <v>78</v>
      </c>
      <c r="C89" s="21">
        <f ca="1">VLOOKUP(B89,Interview!$A$18:$J$230,7,FALSE)</f>
        <v>0</v>
      </c>
      <c r="D89" s="22" t="s">
        <v>235</v>
      </c>
    </row>
    <row r="90" spans="2:4" x14ac:dyDescent="0.2">
      <c r="B90" s="23" t="s">
        <v>79</v>
      </c>
      <c r="C90" s="21">
        <f ca="1">VLOOKUP(B90,Interview!$A$18:$J$230,7,FALSE)</f>
        <v>0</v>
      </c>
      <c r="D90" s="22" t="s">
        <v>235</v>
      </c>
    </row>
    <row r="91" spans="2:4" x14ac:dyDescent="0.2">
      <c r="B91" s="23" t="s">
        <v>80</v>
      </c>
      <c r="C91" s="21">
        <f ca="1">VLOOKUP(B91,Interview!$A$18:$J$230,7,FALSE)</f>
        <v>0</v>
      </c>
      <c r="D91" s="22" t="s">
        <v>235</v>
      </c>
    </row>
    <row r="92" spans="2:4" x14ac:dyDescent="0.2">
      <c r="B92" s="23" t="s">
        <v>81</v>
      </c>
      <c r="C92" s="21">
        <f ca="1">VLOOKUP(B92,Interview!$A$18:$J$230,7,FALSE)</f>
        <v>0</v>
      </c>
      <c r="D92" s="22" t="s">
        <v>235</v>
      </c>
    </row>
    <row r="93" spans="2:4" x14ac:dyDescent="0.2">
      <c r="B93" s="23" t="s">
        <v>84</v>
      </c>
      <c r="C93" s="21">
        <f ca="1">VLOOKUP(B93,Interview!$A$18:$J$230,7,FALSE)</f>
        <v>0</v>
      </c>
      <c r="D93" s="22" t="s">
        <v>235</v>
      </c>
    </row>
    <row r="94" spans="2:4" x14ac:dyDescent="0.2">
      <c r="B94" s="23" t="s">
        <v>85</v>
      </c>
      <c r="C94" s="21">
        <f ca="1">VLOOKUP(B94,Interview!$A$18:$J$230,7,FALSE)</f>
        <v>0</v>
      </c>
      <c r="D94" s="22" t="s">
        <v>235</v>
      </c>
    </row>
    <row r="95" spans="2:4" x14ac:dyDescent="0.2">
      <c r="B95" s="23" t="s">
        <v>86</v>
      </c>
      <c r="C95" s="21">
        <f ca="1">VLOOKUP(B95,Interview!$A$18:$J$230,7,FALSE)</f>
        <v>0</v>
      </c>
      <c r="D95" s="22" t="s">
        <v>235</v>
      </c>
    </row>
    <row r="96" spans="2:4" x14ac:dyDescent="0.2">
      <c r="B96" s="23" t="s">
        <v>87</v>
      </c>
      <c r="C96" s="21">
        <f ca="1">VLOOKUP(B96,Interview!$A$18:$J$230,7,FALSE)</f>
        <v>0</v>
      </c>
      <c r="D96" s="22" t="s">
        <v>235</v>
      </c>
    </row>
    <row r="97" spans="2:4" x14ac:dyDescent="0.2">
      <c r="B97" s="23" t="s">
        <v>88</v>
      </c>
      <c r="C97" s="21">
        <f ca="1">VLOOKUP(B97,Interview!$A$18:$J$230,7,FALSE)</f>
        <v>0</v>
      </c>
      <c r="D97" s="22" t="s">
        <v>235</v>
      </c>
    </row>
    <row r="98" spans="2:4" x14ac:dyDescent="0.2">
      <c r="B98" s="23" t="s">
        <v>89</v>
      </c>
      <c r="C98" s="21">
        <f ca="1">VLOOKUP(B98,Interview!$A$18:$J$230,7,FALSE)</f>
        <v>0</v>
      </c>
      <c r="D98" s="22" t="s">
        <v>235</v>
      </c>
    </row>
    <row r="99" spans="2:4" x14ac:dyDescent="0.2">
      <c r="B99" s="23" t="s">
        <v>91</v>
      </c>
      <c r="C99" s="21">
        <f ca="1">VLOOKUP(B99,Interview!$A$18:$J$230,7,FALSE)</f>
        <v>0</v>
      </c>
      <c r="D99" s="22" t="s">
        <v>235</v>
      </c>
    </row>
    <row r="100" spans="2:4" x14ac:dyDescent="0.2">
      <c r="B100" s="23" t="s">
        <v>92</v>
      </c>
      <c r="C100" s="21">
        <f ca="1">VLOOKUP(B100,Interview!$A$18:$J$230,7,FALSE)</f>
        <v>0</v>
      </c>
      <c r="D100" s="22" t="s">
        <v>235</v>
      </c>
    </row>
    <row r="101" spans="2:4" x14ac:dyDescent="0.2">
      <c r="B101" s="23" t="s">
        <v>93</v>
      </c>
      <c r="C101" s="21">
        <f ca="1">VLOOKUP(B101,Interview!$A$18:$J$230,7,FALSE)</f>
        <v>0</v>
      </c>
      <c r="D101" s="22" t="s">
        <v>235</v>
      </c>
    </row>
    <row r="102" spans="2:4" x14ac:dyDescent="0.2">
      <c r="B102" s="23" t="s">
        <v>94</v>
      </c>
      <c r="C102" s="21">
        <f ca="1">VLOOKUP(B102,Interview!$A$18:$J$230,7,FALSE)</f>
        <v>0</v>
      </c>
      <c r="D102" s="22" t="s">
        <v>235</v>
      </c>
    </row>
    <row r="103" spans="2:4" x14ac:dyDescent="0.2">
      <c r="B103" s="23" t="s">
        <v>95</v>
      </c>
      <c r="C103" s="21">
        <f ca="1">VLOOKUP(B103,Interview!$A$18:$J$230,7,FALSE)</f>
        <v>0</v>
      </c>
      <c r="D103" s="22" t="s">
        <v>235</v>
      </c>
    </row>
    <row r="104" spans="2:4" x14ac:dyDescent="0.2">
      <c r="B104" s="23" t="s">
        <v>96</v>
      </c>
      <c r="C104" s="21">
        <f ca="1">VLOOKUP(B104,Interview!$A$18:$J$230,7,FALSE)</f>
        <v>0</v>
      </c>
      <c r="D104" s="22" t="s">
        <v>235</v>
      </c>
    </row>
    <row r="105" spans="2:4" x14ac:dyDescent="0.2">
      <c r="B105" s="23" t="s">
        <v>98</v>
      </c>
      <c r="C105" s="21">
        <f ca="1">VLOOKUP(B105,Interview!$A$18:$J$230,7,FALSE)</f>
        <v>0</v>
      </c>
      <c r="D105" s="22" t="s">
        <v>235</v>
      </c>
    </row>
    <row r="106" spans="2:4" x14ac:dyDescent="0.2">
      <c r="B106" s="23" t="s">
        <v>99</v>
      </c>
      <c r="C106" s="21">
        <f ca="1">VLOOKUP(B106,Interview!$A$18:$J$230,7,FALSE)</f>
        <v>0</v>
      </c>
      <c r="D106" s="22" t="s">
        <v>235</v>
      </c>
    </row>
    <row r="107" spans="2:4" x14ac:dyDescent="0.2">
      <c r="B107" s="23" t="s">
        <v>100</v>
      </c>
      <c r="C107" s="21">
        <f ca="1">VLOOKUP(B107,Interview!$A$18:$J$230,7,FALSE)</f>
        <v>0</v>
      </c>
      <c r="D107" s="22" t="s">
        <v>235</v>
      </c>
    </row>
    <row r="108" spans="2:4" x14ac:dyDescent="0.2">
      <c r="B108" s="23" t="s">
        <v>101</v>
      </c>
      <c r="C108" s="21">
        <f ca="1">VLOOKUP(B108,Interview!$A$18:$J$230,7,FALSE)</f>
        <v>0</v>
      </c>
      <c r="D108" s="22" t="s">
        <v>235</v>
      </c>
    </row>
    <row r="109" spans="2:4" x14ac:dyDescent="0.2">
      <c r="B109" s="23" t="s">
        <v>102</v>
      </c>
      <c r="C109" s="21">
        <f ca="1">VLOOKUP(B109,Interview!$A$18:$J$230,7,FALSE)</f>
        <v>0</v>
      </c>
      <c r="D109" s="22" t="s">
        <v>235</v>
      </c>
    </row>
    <row r="110" spans="2:4" x14ac:dyDescent="0.2">
      <c r="B110" s="23" t="s">
        <v>103</v>
      </c>
      <c r="C110" s="21">
        <f ca="1">VLOOKUP(B110,Interview!$A$18:$J$230,7,FALSE)</f>
        <v>0</v>
      </c>
      <c r="D110" s="22" t="s">
        <v>235</v>
      </c>
    </row>
    <row r="111" spans="2:4" x14ac:dyDescent="0.2">
      <c r="B111" s="23" t="s">
        <v>106</v>
      </c>
      <c r="C111" s="21">
        <f ca="1">VLOOKUP(B111,Interview!$A$18:$J$230,7,FALSE)</f>
        <v>0</v>
      </c>
      <c r="D111" s="22" t="s">
        <v>235</v>
      </c>
    </row>
    <row r="112" spans="2:4" x14ac:dyDescent="0.2">
      <c r="B112" s="23" t="s">
        <v>107</v>
      </c>
      <c r="C112" s="21">
        <f ca="1">VLOOKUP(B112,Interview!$A$18:$J$230,7,FALSE)</f>
        <v>0</v>
      </c>
      <c r="D112" s="22" t="s">
        <v>235</v>
      </c>
    </row>
    <row r="113" spans="2:4" x14ac:dyDescent="0.2">
      <c r="B113" s="23" t="s">
        <v>108</v>
      </c>
      <c r="C113" s="21">
        <f ca="1">VLOOKUP(B113,Interview!$A$18:$J$230,7,FALSE)</f>
        <v>0</v>
      </c>
      <c r="D113" s="22" t="s">
        <v>235</v>
      </c>
    </row>
    <row r="114" spans="2:4" x14ac:dyDescent="0.2">
      <c r="B114" s="23" t="s">
        <v>109</v>
      </c>
      <c r="C114" s="21">
        <f ca="1">VLOOKUP(B114,Interview!$A$18:$J$230,7,FALSE)</f>
        <v>0</v>
      </c>
      <c r="D114" s="22" t="s">
        <v>235</v>
      </c>
    </row>
    <row r="115" spans="2:4" x14ac:dyDescent="0.2">
      <c r="B115" s="23" t="s">
        <v>110</v>
      </c>
      <c r="C115" s="21">
        <f ca="1">VLOOKUP(B115,Interview!$A$18:$J$230,7,FALSE)</f>
        <v>0</v>
      </c>
      <c r="D115" s="22" t="s">
        <v>235</v>
      </c>
    </row>
    <row r="116" spans="2:4" x14ac:dyDescent="0.2">
      <c r="B116" s="23" t="s">
        <v>111</v>
      </c>
      <c r="C116" s="21">
        <f ca="1">VLOOKUP(B116,Interview!$A$18:$J$230,7,FALSE)</f>
        <v>0</v>
      </c>
      <c r="D116" s="22" t="s">
        <v>235</v>
      </c>
    </row>
    <row r="117" spans="2:4" x14ac:dyDescent="0.2">
      <c r="B117" s="23" t="s">
        <v>113</v>
      </c>
      <c r="C117" s="21">
        <f ca="1">VLOOKUP(B117,Interview!$A$18:$J$230,7,FALSE)</f>
        <v>0</v>
      </c>
      <c r="D117" s="22" t="s">
        <v>235</v>
      </c>
    </row>
    <row r="118" spans="2:4" x14ac:dyDescent="0.2">
      <c r="B118" s="23" t="s">
        <v>114</v>
      </c>
      <c r="C118" s="21">
        <f ca="1">VLOOKUP(B118,Interview!$A$18:$J$230,7,FALSE)</f>
        <v>0</v>
      </c>
      <c r="D118" s="22" t="s">
        <v>235</v>
      </c>
    </row>
    <row r="119" spans="2:4" x14ac:dyDescent="0.2">
      <c r="B119" s="23" t="s">
        <v>115</v>
      </c>
      <c r="C119" s="21">
        <f ca="1">VLOOKUP(B119,Interview!$A$18:$J$230,7,FALSE)</f>
        <v>0</v>
      </c>
      <c r="D119" s="22" t="s">
        <v>235</v>
      </c>
    </row>
    <row r="120" spans="2:4" x14ac:dyDescent="0.2">
      <c r="B120" s="23" t="s">
        <v>116</v>
      </c>
      <c r="C120" s="21">
        <f ca="1">VLOOKUP(B120,Interview!$A$18:$J$230,7,FALSE)</f>
        <v>0</v>
      </c>
      <c r="D120" s="22" t="s">
        <v>235</v>
      </c>
    </row>
    <row r="121" spans="2:4" x14ac:dyDescent="0.2">
      <c r="B121" s="23" t="s">
        <v>117</v>
      </c>
      <c r="C121" s="21">
        <f ca="1">VLOOKUP(B121,Interview!$A$18:$J$230,7,FALSE)</f>
        <v>0</v>
      </c>
      <c r="D121" s="22" t="s">
        <v>235</v>
      </c>
    </row>
    <row r="122" spans="2:4" x14ac:dyDescent="0.2">
      <c r="B122" s="23" t="s">
        <v>118</v>
      </c>
      <c r="C122" s="21">
        <f ca="1">VLOOKUP(B122,Interview!$A$18:$J$230,7,FALSE)</f>
        <v>0</v>
      </c>
      <c r="D122" s="22" t="s">
        <v>235</v>
      </c>
    </row>
    <row r="123" spans="2:4" x14ac:dyDescent="0.2">
      <c r="B123" s="23" t="s">
        <v>120</v>
      </c>
      <c r="C123" s="21">
        <f ca="1">VLOOKUP(B123,Interview!$A$18:$J$230,7,FALSE)</f>
        <v>0</v>
      </c>
      <c r="D123" s="22" t="s">
        <v>235</v>
      </c>
    </row>
    <row r="124" spans="2:4" x14ac:dyDescent="0.2">
      <c r="B124" s="23" t="s">
        <v>121</v>
      </c>
      <c r="C124" s="21">
        <f ca="1">VLOOKUP(B124,Interview!$A$18:$J$230,7,FALSE)</f>
        <v>0</v>
      </c>
      <c r="D124" s="22" t="s">
        <v>235</v>
      </c>
    </row>
    <row r="125" spans="2:4" x14ac:dyDescent="0.2">
      <c r="B125" s="23" t="s">
        <v>122</v>
      </c>
      <c r="C125" s="21">
        <f ca="1">VLOOKUP(B125,Interview!$A$18:$J$230,7,FALSE)</f>
        <v>0</v>
      </c>
      <c r="D125" s="22" t="s">
        <v>235</v>
      </c>
    </row>
    <row r="126" spans="2:4" x14ac:dyDescent="0.2">
      <c r="B126" s="23" t="s">
        <v>123</v>
      </c>
      <c r="C126" s="21">
        <f ca="1">VLOOKUP(B126,Interview!$A$18:$J$230,7,FALSE)</f>
        <v>0</v>
      </c>
      <c r="D126" s="22" t="s">
        <v>235</v>
      </c>
    </row>
    <row r="127" spans="2:4" x14ac:dyDescent="0.2">
      <c r="B127" s="23" t="s">
        <v>124</v>
      </c>
      <c r="C127" s="21">
        <f ca="1">VLOOKUP(B127,Interview!$A$18:$J$230,7,FALSE)</f>
        <v>0</v>
      </c>
      <c r="D127" s="22" t="s">
        <v>235</v>
      </c>
    </row>
    <row r="128" spans="2:4" x14ac:dyDescent="0.2">
      <c r="B128" s="23" t="s">
        <v>125</v>
      </c>
      <c r="C128" s="21">
        <f ca="1">VLOOKUP(B128,Interview!$A$18:$J$230,7,FALSE)</f>
        <v>0</v>
      </c>
      <c r="D128" s="22" t="s">
        <v>235</v>
      </c>
    </row>
  </sheetData>
  <mergeCells count="1">
    <mergeCell ref="B1:C1"/>
  </mergeCells>
  <dataValidations count="8">
    <dataValidation type="list" showInputMessage="1" showErrorMessage="1" sqref="C15" xr:uid="{00000000-0002-0000-0100-000000000000}">
      <formula1>$L$5:$L$9</formula1>
    </dataValidation>
    <dataValidation type="list" showInputMessage="1" showErrorMessage="1" sqref="C14" xr:uid="{00000000-0002-0000-0100-000001000000}">
      <formula1>$K$5:$K$8</formula1>
    </dataValidation>
    <dataValidation type="list" showInputMessage="1" showErrorMessage="1" sqref="C16 C13" xr:uid="{00000000-0002-0000-0100-000002000000}">
      <formula1>$J$5:$J$8</formula1>
    </dataValidation>
    <dataValidation type="list" showInputMessage="1" showErrorMessage="1" sqref="C12" xr:uid="{00000000-0002-0000-0100-000003000000}">
      <formula1>$I$5:$I$19</formula1>
    </dataValidation>
    <dataValidation type="list" showInputMessage="1" showErrorMessage="1" sqref="C10" xr:uid="{00000000-0002-0000-0100-000004000000}">
      <formula1>$G$5:$G$7</formula1>
    </dataValidation>
    <dataValidation type="list" showInputMessage="1" showErrorMessage="1" sqref="C11" xr:uid="{00000000-0002-0000-0100-000005000000}">
      <formula1>$H$5:$H$11</formula1>
    </dataValidation>
    <dataValidation type="list" showInputMessage="1" showErrorMessage="1" sqref="C9" xr:uid="{00000000-0002-0000-0100-000006000000}">
      <formula1>$F$5:$F$6</formula1>
    </dataValidation>
    <dataValidation type="list" showInputMessage="1" showErrorMessage="1" sqref="C17" xr:uid="{00000000-0002-0000-0100-000007000000}">
      <formula1>$M$5:$M$8</formula1>
    </dataValidation>
  </dataValidations>
  <pageMargins left="0.7" right="0.7" top="0.75" bottom="0.75" header="0.3" footer="0.3"/>
  <pageSetup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230"/>
  <sheetViews>
    <sheetView topLeftCell="B69" zoomScaleNormal="100" workbookViewId="0">
      <selection activeCell="F84" sqref="F84"/>
    </sheetView>
  </sheetViews>
  <sheetFormatPr baseColWidth="10" defaultColWidth="8.83203125" defaultRowHeight="13" x14ac:dyDescent="0.15"/>
  <cols>
    <col min="1" max="1" width="10.5" style="87" hidden="1" customWidth="1"/>
    <col min="2" max="2" width="15.33203125" style="89" customWidth="1"/>
    <col min="3" max="3" width="7.5" style="89" customWidth="1"/>
    <col min="4" max="4" width="107.83203125" style="90" customWidth="1"/>
    <col min="5" max="5" width="5.1640625" style="91" hidden="1" customWidth="1"/>
    <col min="6" max="6" width="33.5" style="92" customWidth="1"/>
    <col min="7" max="7" width="8.5" style="87" hidden="1" customWidth="1"/>
    <col min="8" max="8" width="8.5" style="93" hidden="1" customWidth="1"/>
    <col min="9" max="9" width="33.5" style="89" customWidth="1"/>
    <col min="10" max="10" width="15" style="203" customWidth="1"/>
    <col min="11" max="11" width="15" style="89" bestFit="1" customWidth="1"/>
    <col min="12" max="12" width="26" style="89" customWidth="1"/>
    <col min="13" max="13" width="24.5" style="89" customWidth="1"/>
    <col min="14" max="14" width="26.5" style="89" customWidth="1"/>
    <col min="15" max="15" width="25.5" style="89" customWidth="1"/>
    <col min="16" max="16" width="28.5" style="89" customWidth="1"/>
    <col min="17" max="26" width="15" style="89" bestFit="1" customWidth="1"/>
    <col min="27" max="27" width="8.83203125" style="89" customWidth="1"/>
    <col min="28" max="16384" width="8.83203125" style="89"/>
  </cols>
  <sheetData>
    <row r="1" spans="1:26" ht="18" customHeight="1" x14ac:dyDescent="0.15">
      <c r="B1" s="526" t="str">
        <f>CONCATENATE("SAMM Assessment Interview: ",D11," For ",D10)</f>
        <v xml:space="preserve">SAMM Assessment Interview:  For </v>
      </c>
      <c r="C1" s="527"/>
      <c r="D1" s="528"/>
      <c r="E1" s="529"/>
      <c r="F1" s="530"/>
      <c r="G1" s="531"/>
      <c r="H1" s="532"/>
      <c r="I1" s="527"/>
      <c r="J1" s="94"/>
      <c r="K1" s="95"/>
      <c r="L1" s="95"/>
      <c r="M1" s="95"/>
      <c r="N1" s="95"/>
      <c r="O1" s="95"/>
      <c r="P1" s="95"/>
      <c r="Q1" s="95"/>
      <c r="R1" s="95"/>
      <c r="S1" s="95"/>
      <c r="T1" s="95"/>
      <c r="U1" s="95"/>
      <c r="V1" s="95"/>
      <c r="W1" s="95"/>
      <c r="X1" s="95"/>
      <c r="Y1" s="95"/>
      <c r="Z1" s="95"/>
    </row>
    <row r="2" spans="1:26" ht="15" customHeight="1" thickBot="1" x14ac:dyDescent="0.2">
      <c r="B2" s="95"/>
      <c r="C2" s="95"/>
      <c r="D2" s="95"/>
      <c r="E2" s="96"/>
      <c r="F2" s="88"/>
      <c r="G2" s="96"/>
      <c r="H2" s="97"/>
      <c r="I2" s="98"/>
      <c r="J2" s="94"/>
      <c r="K2" s="95"/>
      <c r="L2" s="95"/>
      <c r="M2" s="95"/>
      <c r="N2" s="95"/>
      <c r="O2" s="95"/>
      <c r="P2" s="95"/>
      <c r="Q2" s="95"/>
      <c r="R2" s="95"/>
      <c r="S2" s="95"/>
      <c r="T2" s="95"/>
      <c r="U2" s="95"/>
      <c r="V2" s="95"/>
      <c r="W2" s="95"/>
      <c r="X2" s="95"/>
      <c r="Y2" s="95"/>
      <c r="Z2" s="95"/>
    </row>
    <row r="3" spans="1:26" x14ac:dyDescent="0.15">
      <c r="B3" s="533" t="s">
        <v>0</v>
      </c>
      <c r="C3" s="534"/>
      <c r="D3" s="534"/>
      <c r="E3" s="534"/>
      <c r="F3" s="534"/>
      <c r="G3" s="534"/>
      <c r="H3" s="534"/>
      <c r="I3" s="535"/>
      <c r="J3" s="94"/>
      <c r="K3" s="95"/>
      <c r="L3" s="95"/>
      <c r="M3" s="95"/>
      <c r="N3" s="95"/>
      <c r="O3" s="95"/>
      <c r="P3" s="95"/>
      <c r="Q3" s="95"/>
      <c r="R3" s="95"/>
      <c r="S3" s="95"/>
      <c r="T3" s="95"/>
      <c r="U3" s="95"/>
      <c r="V3" s="95"/>
      <c r="W3" s="95"/>
      <c r="X3" s="95"/>
      <c r="Y3" s="95"/>
      <c r="Z3" s="95"/>
    </row>
    <row r="4" spans="1:26" x14ac:dyDescent="0.15">
      <c r="B4" s="536" t="s">
        <v>1</v>
      </c>
      <c r="C4" s="537"/>
      <c r="D4" s="537"/>
      <c r="E4" s="537"/>
      <c r="F4" s="537"/>
      <c r="G4" s="537"/>
      <c r="H4" s="537"/>
      <c r="I4" s="538"/>
      <c r="J4" s="94"/>
      <c r="K4" s="95"/>
      <c r="L4" s="95"/>
      <c r="M4" s="95"/>
      <c r="N4" s="95"/>
      <c r="O4" s="95"/>
      <c r="P4" s="95"/>
      <c r="Q4" s="95"/>
      <c r="R4" s="95"/>
      <c r="S4" s="95"/>
      <c r="T4" s="95"/>
      <c r="U4" s="95"/>
      <c r="V4" s="95"/>
      <c r="W4" s="95"/>
      <c r="X4" s="95"/>
      <c r="Y4" s="95"/>
      <c r="Z4" s="95"/>
    </row>
    <row r="5" spans="1:26" x14ac:dyDescent="0.15">
      <c r="B5" s="539" t="s">
        <v>2</v>
      </c>
      <c r="C5" s="527"/>
      <c r="D5" s="528"/>
      <c r="E5" s="529"/>
      <c r="F5" s="530"/>
      <c r="G5" s="531"/>
      <c r="H5" s="532"/>
      <c r="I5" s="540"/>
      <c r="J5" s="94"/>
      <c r="K5" s="95"/>
      <c r="L5" s="95"/>
      <c r="M5" s="95"/>
      <c r="N5" s="95"/>
      <c r="O5" s="95"/>
      <c r="P5" s="95"/>
      <c r="Q5" s="95"/>
      <c r="R5" s="95"/>
      <c r="S5" s="95"/>
      <c r="T5" s="95"/>
      <c r="U5" s="95"/>
      <c r="V5" s="95"/>
      <c r="W5" s="95"/>
      <c r="X5" s="95"/>
      <c r="Y5" s="95"/>
      <c r="Z5" s="95"/>
    </row>
    <row r="6" spans="1:26" x14ac:dyDescent="0.15">
      <c r="B6" s="539" t="s">
        <v>3</v>
      </c>
      <c r="C6" s="527"/>
      <c r="D6" s="528"/>
      <c r="E6" s="529"/>
      <c r="F6" s="530"/>
      <c r="G6" s="531"/>
      <c r="H6" s="532"/>
      <c r="I6" s="540"/>
      <c r="J6" s="94"/>
      <c r="K6" s="95"/>
      <c r="L6" s="95"/>
      <c r="M6" s="95"/>
      <c r="N6" s="95"/>
      <c r="O6" s="95"/>
      <c r="P6" s="95"/>
      <c r="Q6" s="95"/>
      <c r="R6" s="95"/>
      <c r="S6" s="95"/>
      <c r="T6" s="95"/>
      <c r="U6" s="95"/>
      <c r="V6" s="95"/>
      <c r="W6" s="95"/>
      <c r="X6" s="95"/>
      <c r="Y6" s="95"/>
      <c r="Z6" s="95"/>
    </row>
    <row r="7" spans="1:26" x14ac:dyDescent="0.15">
      <c r="B7" s="539" t="s">
        <v>4</v>
      </c>
      <c r="C7" s="527"/>
      <c r="D7" s="528"/>
      <c r="E7" s="529"/>
      <c r="F7" s="530"/>
      <c r="G7" s="531"/>
      <c r="H7" s="532"/>
      <c r="I7" s="540"/>
      <c r="J7" s="94"/>
      <c r="K7" s="95"/>
      <c r="L7" s="95"/>
      <c r="M7" s="95"/>
      <c r="N7" s="95"/>
      <c r="O7" s="95"/>
      <c r="P7" s="95"/>
      <c r="Q7" s="95"/>
      <c r="R7" s="95"/>
      <c r="S7" s="95"/>
      <c r="T7" s="95"/>
      <c r="U7" s="95"/>
      <c r="V7" s="95"/>
      <c r="W7" s="95"/>
      <c r="X7" s="95"/>
      <c r="Y7" s="95"/>
      <c r="Z7" s="95"/>
    </row>
    <row r="8" spans="1:26" ht="15" customHeight="1" thickBot="1" x14ac:dyDescent="0.2">
      <c r="B8" s="545" t="s">
        <v>5</v>
      </c>
      <c r="C8" s="546"/>
      <c r="D8" s="546"/>
      <c r="E8" s="546"/>
      <c r="F8" s="546"/>
      <c r="G8" s="546"/>
      <c r="H8" s="546"/>
      <c r="I8" s="547"/>
      <c r="J8" s="94"/>
      <c r="K8" s="95"/>
      <c r="L8" s="95"/>
      <c r="M8" s="95"/>
      <c r="N8" s="95"/>
      <c r="O8" s="95"/>
      <c r="P8" s="95"/>
      <c r="Q8" s="95"/>
      <c r="R8" s="95"/>
      <c r="S8" s="95"/>
      <c r="T8" s="95"/>
      <c r="U8" s="95"/>
      <c r="V8" s="95"/>
      <c r="W8" s="95"/>
      <c r="X8" s="95"/>
      <c r="Y8" s="95"/>
      <c r="Z8" s="95"/>
    </row>
    <row r="9" spans="1:26" ht="15" customHeight="1" thickBot="1" x14ac:dyDescent="0.2">
      <c r="B9" s="95"/>
      <c r="C9" s="95"/>
      <c r="D9" s="95"/>
      <c r="E9" s="96"/>
      <c r="F9" s="88"/>
      <c r="G9" s="96"/>
      <c r="H9" s="97"/>
      <c r="I9" s="98"/>
      <c r="J9" s="94"/>
      <c r="K9" s="95"/>
      <c r="L9" s="95"/>
      <c r="M9" s="95"/>
      <c r="N9" s="95"/>
      <c r="O9" s="95"/>
      <c r="P9" s="95"/>
      <c r="Q9" s="95"/>
      <c r="R9" s="95"/>
      <c r="S9" s="95"/>
      <c r="T9" s="95"/>
      <c r="U9" s="95"/>
      <c r="V9" s="95"/>
      <c r="W9" s="95"/>
      <c r="X9" s="95"/>
      <c r="Y9" s="95"/>
      <c r="Z9" s="95"/>
    </row>
    <row r="10" spans="1:26" x14ac:dyDescent="0.15">
      <c r="B10" s="548" t="s">
        <v>6</v>
      </c>
      <c r="C10" s="549"/>
      <c r="D10" s="99"/>
      <c r="E10" s="96"/>
      <c r="F10" s="88"/>
      <c r="G10" s="96"/>
      <c r="H10" s="97"/>
      <c r="I10" s="98"/>
      <c r="J10" s="94"/>
      <c r="K10" s="95"/>
      <c r="L10" s="95"/>
      <c r="M10" s="95"/>
      <c r="N10" s="95"/>
      <c r="O10" s="95"/>
      <c r="P10" s="95"/>
      <c r="Q10" s="95"/>
      <c r="R10" s="95"/>
      <c r="S10" s="95"/>
      <c r="T10" s="95"/>
      <c r="U10" s="95"/>
      <c r="V10" s="95"/>
      <c r="W10" s="95"/>
      <c r="X10" s="95"/>
      <c r="Y10" s="95"/>
      <c r="Z10" s="95"/>
    </row>
    <row r="11" spans="1:26" x14ac:dyDescent="0.15">
      <c r="B11" s="541" t="s">
        <v>7</v>
      </c>
      <c r="C11" s="542"/>
      <c r="D11" s="100"/>
      <c r="E11" s="96"/>
      <c r="F11" s="88"/>
      <c r="G11" s="96"/>
      <c r="H11" s="97"/>
      <c r="I11" s="98"/>
      <c r="J11" s="94"/>
      <c r="K11" s="95"/>
      <c r="L11" s="95"/>
      <c r="M11" s="95"/>
      <c r="N11" s="95"/>
      <c r="O11" s="95"/>
      <c r="P11" s="95"/>
      <c r="Q11" s="95"/>
      <c r="R11" s="95"/>
      <c r="S11" s="95"/>
      <c r="T11" s="95"/>
      <c r="U11" s="95"/>
      <c r="V11" s="95"/>
      <c r="W11" s="95"/>
      <c r="X11" s="95"/>
      <c r="Y11" s="95"/>
      <c r="Z11" s="95"/>
    </row>
    <row r="12" spans="1:26" x14ac:dyDescent="0.15">
      <c r="B12" s="541" t="s">
        <v>8</v>
      </c>
      <c r="C12" s="542"/>
      <c r="D12" s="101"/>
      <c r="E12" s="102"/>
      <c r="F12" s="88"/>
      <c r="G12" s="96"/>
      <c r="H12" s="97"/>
      <c r="I12" s="98"/>
      <c r="J12" s="94"/>
      <c r="K12" s="95"/>
      <c r="L12" s="95"/>
      <c r="M12" s="95"/>
      <c r="N12" s="95"/>
      <c r="O12" s="95"/>
      <c r="P12" s="95"/>
      <c r="Q12" s="95"/>
      <c r="R12" s="95"/>
      <c r="S12" s="95"/>
      <c r="T12" s="95"/>
      <c r="U12" s="95"/>
      <c r="V12" s="95"/>
      <c r="W12" s="95"/>
      <c r="X12" s="95"/>
      <c r="Y12" s="95"/>
      <c r="Z12" s="95"/>
    </row>
    <row r="13" spans="1:26" x14ac:dyDescent="0.15">
      <c r="B13" s="541" t="s">
        <v>9</v>
      </c>
      <c r="C13" s="542"/>
      <c r="D13" s="100"/>
      <c r="E13" s="96"/>
      <c r="F13" s="88"/>
      <c r="G13" s="96"/>
      <c r="H13" s="97"/>
      <c r="I13" s="98"/>
      <c r="J13" s="94"/>
      <c r="K13" s="95"/>
      <c r="L13" s="95"/>
      <c r="M13" s="95"/>
      <c r="N13" s="95"/>
      <c r="O13" s="95"/>
      <c r="P13" s="95"/>
      <c r="Q13" s="95"/>
      <c r="R13" s="95"/>
      <c r="S13" s="95"/>
      <c r="T13" s="95"/>
      <c r="U13" s="95"/>
      <c r="V13" s="95"/>
      <c r="W13" s="95"/>
      <c r="X13" s="95"/>
      <c r="Y13" s="95"/>
      <c r="Z13" s="95"/>
    </row>
    <row r="14" spans="1:26" ht="24" customHeight="1" thickBot="1" x14ac:dyDescent="0.2">
      <c r="A14" s="103"/>
      <c r="B14" s="543" t="s">
        <v>10</v>
      </c>
      <c r="C14" s="544"/>
      <c r="D14" s="104"/>
      <c r="E14" s="96"/>
      <c r="F14" s="88"/>
      <c r="G14" s="96"/>
      <c r="H14" s="97"/>
      <c r="I14" s="98"/>
      <c r="J14" s="94"/>
      <c r="K14" s="95"/>
      <c r="L14" s="95"/>
      <c r="M14" s="95"/>
      <c r="N14" s="95"/>
      <c r="O14" s="95"/>
      <c r="P14" s="95"/>
      <c r="Q14" s="95"/>
      <c r="R14" s="95"/>
      <c r="S14" s="95"/>
      <c r="T14" s="95"/>
      <c r="U14" s="95"/>
      <c r="V14" s="95"/>
      <c r="W14" s="95"/>
      <c r="X14" s="95"/>
      <c r="Y14" s="95"/>
      <c r="Z14" s="95"/>
    </row>
    <row r="15" spans="1:26" x14ac:dyDescent="0.15">
      <c r="B15" s="95"/>
      <c r="C15" s="95"/>
      <c r="D15" s="95"/>
      <c r="E15" s="96"/>
      <c r="F15" s="88"/>
      <c r="G15" s="96"/>
      <c r="H15" s="97"/>
      <c r="I15" s="98"/>
      <c r="J15" s="94"/>
      <c r="K15" s="95"/>
      <c r="L15" s="95"/>
      <c r="M15" s="95"/>
      <c r="N15" s="95"/>
      <c r="O15" s="95"/>
      <c r="P15" s="95"/>
      <c r="Q15" s="95"/>
      <c r="R15" s="95"/>
      <c r="S15" s="95"/>
      <c r="T15" s="95"/>
      <c r="U15" s="95"/>
      <c r="V15" s="95"/>
      <c r="W15" s="95"/>
      <c r="X15" s="95"/>
      <c r="Y15" s="95"/>
      <c r="Z15" s="95"/>
    </row>
    <row r="16" spans="1:26" ht="22.25" customHeight="1" x14ac:dyDescent="0.15">
      <c r="B16" s="550" t="s">
        <v>11</v>
      </c>
      <c r="C16" s="483"/>
      <c r="D16" s="483"/>
      <c r="E16" s="483"/>
      <c r="F16" s="483"/>
      <c r="G16" s="483"/>
      <c r="H16" s="483"/>
      <c r="I16" s="483"/>
      <c r="J16" s="483"/>
      <c r="K16" s="95"/>
      <c r="Q16" s="95"/>
      <c r="R16" s="95"/>
      <c r="S16" s="95"/>
      <c r="T16" s="95"/>
      <c r="U16" s="95"/>
      <c r="V16" s="95"/>
      <c r="W16" s="95"/>
      <c r="X16" s="95"/>
      <c r="Y16" s="95"/>
      <c r="Z16" s="95"/>
    </row>
    <row r="17" spans="1:26" ht="15" customHeight="1" x14ac:dyDescent="0.15">
      <c r="B17" s="105" t="s">
        <v>12</v>
      </c>
      <c r="C17" s="106" t="s">
        <v>13</v>
      </c>
      <c r="D17" s="106" t="s">
        <v>14</v>
      </c>
      <c r="E17" s="107"/>
      <c r="F17" s="108" t="s">
        <v>15</v>
      </c>
      <c r="G17" s="108"/>
      <c r="H17" s="109"/>
      <c r="I17" s="110" t="s">
        <v>16</v>
      </c>
      <c r="J17" s="110" t="s">
        <v>17</v>
      </c>
      <c r="K17" s="95"/>
      <c r="Q17" s="95"/>
      <c r="R17" s="95"/>
      <c r="S17" s="95"/>
      <c r="T17" s="95"/>
      <c r="U17" s="95"/>
      <c r="V17" s="95"/>
      <c r="W17" s="95"/>
      <c r="X17" s="95"/>
      <c r="Y17" s="95"/>
      <c r="Z17" s="95"/>
    </row>
    <row r="18" spans="1:26" ht="14" x14ac:dyDescent="0.15">
      <c r="A18" s="87" t="s">
        <v>18</v>
      </c>
      <c r="B18" s="476" t="str">
        <f>INDEX('imp-questions'!D:D, MATCH(A18, 'imp-questions'!A:A, 0))</f>
        <v>Create and Promote</v>
      </c>
      <c r="C18" s="111">
        <f>INDEX('imp-questions'!E:E, MATCH(A18, 'imp-questions'!A:A, 0))</f>
        <v>1</v>
      </c>
      <c r="D18" s="112" t="str">
        <f>INDEX('imp-questions'!F:F, MATCH(A18, 'imp-questions'!A:A, 0))</f>
        <v>Do you understand the enterprise-wide risk appetite for your applications?</v>
      </c>
      <c r="E18" s="113" t="str">
        <f>CHAR(65+INDEX('imp-questions'!H:H, MATCH(A18, 'imp-questions'!A:A, 0)))</f>
        <v>N</v>
      </c>
      <c r="F18" s="114"/>
      <c r="G18" s="89">
        <f ca="1">IFERROR(INDEX(INDIRECT("Ans" &amp; E18 &amp; "TBL"), MATCH(F18, INDEX(INDIRECT("Ans" &amp; E18 &amp; "TBL"), 0, 1), 0), 2), 0)</f>
        <v>0</v>
      </c>
      <c r="H18" s="115">
        <f ca="1">IFERROR(AVERAGE(G18,G25),0)</f>
        <v>0</v>
      </c>
      <c r="I18" s="508"/>
      <c r="J18" s="553">
        <f ca="1">SUM(H18,H20,H22)</f>
        <v>0</v>
      </c>
      <c r="K18" s="95"/>
      <c r="L18" s="96"/>
      <c r="M18" s="96"/>
      <c r="N18" s="96"/>
      <c r="O18" s="96"/>
      <c r="P18" s="96"/>
      <c r="Q18" s="95"/>
      <c r="R18" s="95"/>
      <c r="S18" s="95"/>
      <c r="T18" s="95"/>
      <c r="U18" s="95"/>
      <c r="V18" s="95"/>
      <c r="W18" s="95"/>
      <c r="X18" s="95"/>
      <c r="Y18" s="95"/>
      <c r="Z18" s="95"/>
    </row>
    <row r="19" spans="1:26" ht="59" customHeight="1" x14ac:dyDescent="0.15">
      <c r="B19" s="477"/>
      <c r="C19" s="434"/>
      <c r="D19" s="435" t="str">
        <f>INDEX('imp-questions'!G:G, MATCH(A18, 'imp-questions'!A:A, 0))</f>
        <v>You capture the risk appetite of your organization's executive leadership
 The organization's leadership vet and approve the set of risks
 You identify the main business and technical threats to your assets and data
 You document risks and store them in an accessible location</v>
      </c>
      <c r="E19" s="436"/>
      <c r="F19" s="437"/>
      <c r="G19" s="116"/>
      <c r="H19" s="117"/>
      <c r="I19" s="509"/>
      <c r="J19" s="509"/>
      <c r="K19" s="95"/>
      <c r="L19" s="96"/>
      <c r="M19" s="96"/>
      <c r="N19" s="96"/>
      <c r="O19" s="96"/>
      <c r="P19" s="96"/>
      <c r="Q19" s="95"/>
      <c r="R19" s="95"/>
      <c r="S19" s="95"/>
      <c r="T19" s="95"/>
      <c r="U19" s="95"/>
      <c r="V19" s="95"/>
      <c r="W19" s="95"/>
      <c r="X19" s="95"/>
      <c r="Y19" s="95"/>
      <c r="Z19" s="95"/>
    </row>
    <row r="20" spans="1:26" ht="14" x14ac:dyDescent="0.15">
      <c r="A20" s="87" t="s">
        <v>19</v>
      </c>
      <c r="B20" s="477"/>
      <c r="C20" s="111">
        <f>INDEX('imp-questions'!E:E, MATCH(A20, 'imp-questions'!A:A, 0))</f>
        <v>2</v>
      </c>
      <c r="D20" s="112" t="str">
        <f>INDEX('imp-questions'!F:F, MATCH(A20, 'imp-questions'!A:A, 0))</f>
        <v>Do you have a strategic plan for application security and use it to make decisions?</v>
      </c>
      <c r="E20" s="113" t="str">
        <f>CHAR(65+INDEX('imp-questions'!H:H, MATCH(A20, 'imp-questions'!A:A, 0)))</f>
        <v>O</v>
      </c>
      <c r="F20" s="118"/>
      <c r="G20" s="119">
        <f ca="1">IFERROR(INDEX(INDIRECT("Ans" &amp; E20 &amp; "TBL"), MATCH(F20, INDEX(INDIRECT("Ans" &amp; E20 &amp; "TBL"), 0, 1), 0), 2), 0)</f>
        <v>0</v>
      </c>
      <c r="H20" s="120">
        <f ca="1">IFERROR(AVERAGE(G20,G27),0)</f>
        <v>0</v>
      </c>
      <c r="I20" s="506"/>
      <c r="J20" s="121"/>
      <c r="K20" s="95"/>
      <c r="L20" s="96"/>
      <c r="M20" s="96"/>
      <c r="N20" s="96"/>
      <c r="O20" s="96"/>
      <c r="P20" s="96"/>
      <c r="Q20" s="95"/>
      <c r="R20" s="95"/>
      <c r="S20" s="95"/>
      <c r="T20" s="95"/>
      <c r="U20" s="95"/>
      <c r="V20" s="95"/>
      <c r="W20" s="95"/>
      <c r="X20" s="95"/>
      <c r="Y20" s="95"/>
      <c r="Z20" s="95"/>
    </row>
    <row r="21" spans="1:26" ht="72" customHeight="1" x14ac:dyDescent="0.15">
      <c r="B21" s="477"/>
      <c r="C21" s="434"/>
      <c r="D21" s="435" t="str">
        <f>INDEX('imp-questions'!G:G, MATCH(A20, 'imp-questions'!A:A, 0))</f>
        <v>The plan reflects the organization's business priorities and risk appetite
 The plan includes measurable milestones and a budget
 The plan is consistent with the organization's business drivers and risks
 The plan lays out a roadmap for strategic and tactical initiatives
 You have buy-in from stakeholders, including development teams</v>
      </c>
      <c r="E21" s="436"/>
      <c r="F21" s="438"/>
      <c r="G21" s="116"/>
      <c r="H21" s="122"/>
      <c r="I21" s="507"/>
      <c r="J21" s="121"/>
      <c r="K21" s="95"/>
      <c r="L21" s="96"/>
      <c r="M21" s="96"/>
      <c r="N21" s="96"/>
      <c r="O21" s="96"/>
      <c r="P21" s="96"/>
      <c r="Q21" s="95"/>
      <c r="R21" s="95"/>
      <c r="S21" s="95"/>
      <c r="T21" s="95"/>
      <c r="U21" s="95"/>
      <c r="V21" s="95"/>
      <c r="W21" s="95"/>
      <c r="X21" s="95"/>
      <c r="Y21" s="95"/>
      <c r="Z21" s="95"/>
    </row>
    <row r="22" spans="1:26" ht="14" x14ac:dyDescent="0.15">
      <c r="A22" s="87" t="s">
        <v>20</v>
      </c>
      <c r="B22" s="477"/>
      <c r="C22" s="111">
        <f>INDEX('imp-questions'!E:E, MATCH(A22, 'imp-questions'!A:A, 0))</f>
        <v>3</v>
      </c>
      <c r="D22" s="112" t="str">
        <f>INDEX('imp-questions'!F:F, MATCH(A22, 'imp-questions'!A:A, 0))</f>
        <v>Do you regularly review and update the Strategic Plan for Application Security?</v>
      </c>
      <c r="E22" s="113" t="str">
        <f>CHAR(65+INDEX('imp-questions'!H:H, MATCH(A22, 'imp-questions'!A:A, 0)))</f>
        <v>P</v>
      </c>
      <c r="F22" s="118"/>
      <c r="G22" s="119">
        <f ca="1">IFERROR(INDEX(INDIRECT("Ans" &amp; E22 &amp; "TBL"), MATCH(F22, INDEX(INDIRECT("Ans" &amp; E22 &amp; "TBL"), 0, 1), 0), 2), 0)</f>
        <v>0</v>
      </c>
      <c r="H22" s="120">
        <f ca="1">IFERROR(AVERAGE(G22,G29),0)</f>
        <v>0</v>
      </c>
      <c r="I22" s="506"/>
      <c r="J22" s="121"/>
      <c r="K22" s="95"/>
      <c r="L22" s="96"/>
      <c r="M22" s="96"/>
      <c r="N22" s="96"/>
      <c r="O22" s="96"/>
      <c r="P22" s="96"/>
      <c r="Q22" s="95"/>
      <c r="R22" s="95"/>
      <c r="S22" s="95"/>
      <c r="T22" s="95"/>
      <c r="U22" s="95"/>
      <c r="V22" s="95"/>
      <c r="W22" s="95"/>
      <c r="X22" s="95"/>
      <c r="Y22" s="95"/>
      <c r="Z22" s="95"/>
    </row>
    <row r="23" spans="1:26" ht="60" customHeight="1" x14ac:dyDescent="0.15">
      <c r="B23" s="478"/>
      <c r="C23" s="434"/>
      <c r="D23" s="435" t="str">
        <f>INDEX('imp-questions'!G:G, MATCH(A22, 'imp-questions'!A:A, 0))</f>
        <v>You review and update the plan in response to significant changes in the business environment, the organization, or its risk appetite
 Plan update steps include reviewing the plan with all the stakeholders and updating the business drivers and strategies
 You adjust the plan and roadmap based on lessons learned from completed roadmap activities
 You publish progress information on roadmap activities, making sure they are available to all stakeholders</v>
      </c>
      <c r="E23" s="436"/>
      <c r="F23" s="438"/>
      <c r="G23" s="116"/>
      <c r="H23" s="122"/>
      <c r="I23" s="507"/>
      <c r="J23" s="121"/>
      <c r="K23" s="95"/>
      <c r="L23" s="96"/>
      <c r="M23" s="96"/>
      <c r="N23" s="96"/>
      <c r="O23" s="96"/>
      <c r="P23" s="96"/>
      <c r="Q23" s="95"/>
      <c r="R23" s="95"/>
      <c r="S23" s="95"/>
      <c r="T23" s="95"/>
      <c r="U23" s="95"/>
      <c r="V23" s="95"/>
      <c r="W23" s="95"/>
      <c r="X23" s="95"/>
      <c r="Y23" s="95"/>
      <c r="Z23" s="95"/>
    </row>
    <row r="24" spans="1:26" x14ac:dyDescent="0.15">
      <c r="B24" s="123"/>
      <c r="C24" s="124"/>
      <c r="D24" s="125"/>
      <c r="E24" s="125"/>
      <c r="F24" s="125"/>
      <c r="G24" s="125"/>
      <c r="H24" s="125"/>
      <c r="I24" s="126"/>
      <c r="J24" s="121"/>
      <c r="K24" s="95"/>
      <c r="L24" s="96"/>
      <c r="M24" s="96"/>
      <c r="N24" s="96"/>
      <c r="O24" s="96"/>
      <c r="P24" s="96"/>
      <c r="Q24" s="95"/>
      <c r="R24" s="95"/>
      <c r="S24" s="95"/>
      <c r="T24" s="95"/>
      <c r="U24" s="95"/>
      <c r="V24" s="95"/>
      <c r="W24" s="95"/>
      <c r="X24" s="95"/>
      <c r="Y24" s="95"/>
      <c r="Z24" s="95"/>
    </row>
    <row r="25" spans="1:26" ht="28" customHeight="1" x14ac:dyDescent="0.15">
      <c r="A25" s="87" t="s">
        <v>21</v>
      </c>
      <c r="B25" s="476" t="str">
        <f>INDEX('imp-questions'!D:D, MATCH(A25, 'imp-questions'!A:A, 0))</f>
        <v>Measure and Improve</v>
      </c>
      <c r="C25" s="111">
        <f>INDEX('imp-questions'!E:E, MATCH(A25, 'imp-questions'!A:A, 0))</f>
        <v>1</v>
      </c>
      <c r="D25" s="112" t="str">
        <f>INDEX('imp-questions'!F:F, MATCH(A25, 'imp-questions'!A:A, 0))</f>
        <v>Do you use a set of metrics to measure the effectiveness and efficiency of the application security program across applications?</v>
      </c>
      <c r="E25" s="113" t="str">
        <f>CHAR(65+INDEX('imp-questions'!H:H, MATCH(A25, 'imp-questions'!A:A, 0)))</f>
        <v>Q</v>
      </c>
      <c r="F25" s="114"/>
      <c r="G25" s="119">
        <f ca="1">IFERROR(INDEX(INDIRECT("Ans" &amp; E25 &amp; "TBL"), MATCH(F25, INDEX(INDIRECT("Ans" &amp; E25 &amp; "TBL"), 0, 1), 0), 2), 0)</f>
        <v>0</v>
      </c>
      <c r="H25" s="127"/>
      <c r="I25" s="508"/>
      <c r="J25" s="121"/>
      <c r="K25" s="95"/>
      <c r="L25" s="96"/>
      <c r="M25" s="96"/>
      <c r="N25" s="96"/>
      <c r="O25" s="96"/>
      <c r="P25" s="96"/>
      <c r="Q25" s="95"/>
      <c r="R25" s="95"/>
      <c r="S25" s="95"/>
      <c r="T25" s="95"/>
      <c r="U25" s="95"/>
      <c r="V25" s="95"/>
      <c r="W25" s="95"/>
      <c r="X25" s="95"/>
      <c r="Y25" s="95"/>
      <c r="Z25" s="95"/>
    </row>
    <row r="26" spans="1:26" ht="71" customHeight="1" x14ac:dyDescent="0.15">
      <c r="B26" s="477"/>
      <c r="C26" s="434"/>
      <c r="D26" s="435" t="str">
        <f>INDEX('imp-questions'!G:G, MATCH(A25, 'imp-questions'!A:A, 0))</f>
        <v>You document each metric, including a description of the sources, measurement coverage, and guidance on how to use it to explain application security trends
 Metrics include measures of efforts, results, and the environment measurement categories
 Most of the metrics are frequently measured, easy or inexpensive to gather, and expressed as a cardinal number or a percentage
 Application security and development teams publish metrics</v>
      </c>
      <c r="E26" s="436"/>
      <c r="F26" s="438"/>
      <c r="G26" s="116"/>
      <c r="H26" s="122"/>
      <c r="I26" s="509"/>
      <c r="J26" s="121"/>
      <c r="K26" s="95"/>
      <c r="L26" s="96"/>
      <c r="M26" s="96"/>
      <c r="N26" s="96"/>
      <c r="O26" s="96"/>
      <c r="P26" s="96"/>
      <c r="Q26" s="95"/>
      <c r="R26" s="95"/>
      <c r="S26" s="95"/>
      <c r="T26" s="95"/>
      <c r="U26" s="95"/>
      <c r="V26" s="95"/>
      <c r="W26" s="95"/>
      <c r="X26" s="95"/>
      <c r="Y26" s="95"/>
      <c r="Z26" s="95"/>
    </row>
    <row r="27" spans="1:26" ht="14" x14ac:dyDescent="0.15">
      <c r="A27" s="87" t="s">
        <v>22</v>
      </c>
      <c r="B27" s="477"/>
      <c r="C27" s="111">
        <f>INDEX('imp-questions'!E:E, MATCH(A27, 'imp-questions'!A:A, 0))</f>
        <v>2</v>
      </c>
      <c r="D27" s="112" t="str">
        <f>INDEX('imp-questions'!F:F, MATCH(A27, 'imp-questions'!A:A, 0))</f>
        <v>Did you define Key Performance Indicators (KPI) from available application security metrics?</v>
      </c>
      <c r="E27" s="113" t="str">
        <f>CHAR(65+INDEX('imp-questions'!H:H, MATCH(A27, 'imp-questions'!A:A, 0)))</f>
        <v>S</v>
      </c>
      <c r="F27" s="118"/>
      <c r="G27" s="119">
        <f ca="1">IFERROR(INDEX(INDIRECT("Ans" &amp; E27 &amp; "TBL"), MATCH(F27, INDEX(INDIRECT("Ans" &amp; E27 &amp; "TBL"), 0, 1), 0), 2), 0)</f>
        <v>0</v>
      </c>
      <c r="H27" s="127"/>
      <c r="I27" s="508"/>
      <c r="J27" s="121"/>
      <c r="K27" s="95"/>
      <c r="L27" s="96"/>
      <c r="M27" s="96"/>
      <c r="N27" s="96"/>
      <c r="O27" s="96"/>
      <c r="P27" s="96"/>
      <c r="Q27" s="95"/>
      <c r="R27" s="95"/>
      <c r="S27" s="95"/>
      <c r="T27" s="95"/>
      <c r="U27" s="95"/>
      <c r="V27" s="95"/>
      <c r="W27" s="95"/>
      <c r="X27" s="95"/>
      <c r="Y27" s="95"/>
      <c r="Z27" s="95"/>
    </row>
    <row r="28" spans="1:26" ht="60" customHeight="1" x14ac:dyDescent="0.15">
      <c r="B28" s="477"/>
      <c r="C28" s="434"/>
      <c r="D28" s="435" t="str">
        <f>INDEX('imp-questions'!G:G, MATCH(A27, 'imp-questions'!A:A, 0))</f>
        <v>You defined KPIs after gathering enough information to establish realistic objectives
 You developed KPIs with the buy-in from the leadership and teams responsible for application security
 KPIs are available to the application teams and include acceptability thresholds and guidance in case teams need to take action
 Success of the application security program is clearly visible based on defined KPIs</v>
      </c>
      <c r="E28" s="436"/>
      <c r="F28" s="438"/>
      <c r="G28" s="116"/>
      <c r="H28" s="122"/>
      <c r="I28" s="509"/>
      <c r="J28" s="121"/>
      <c r="K28" s="95"/>
      <c r="L28" s="96"/>
      <c r="M28" s="96"/>
      <c r="N28" s="96"/>
      <c r="O28" s="96"/>
      <c r="P28" s="96"/>
      <c r="Q28" s="95"/>
      <c r="R28" s="95"/>
      <c r="S28" s="95"/>
      <c r="T28" s="95"/>
      <c r="U28" s="95"/>
      <c r="V28" s="95"/>
      <c r="W28" s="95"/>
      <c r="X28" s="95"/>
      <c r="Y28" s="95"/>
      <c r="Z28" s="95"/>
    </row>
    <row r="29" spans="1:26" ht="14" x14ac:dyDescent="0.15">
      <c r="A29" s="87" t="s">
        <v>23</v>
      </c>
      <c r="B29" s="477"/>
      <c r="C29" s="111">
        <f>INDEX('imp-questions'!E:E, MATCH(A29, 'imp-questions'!A:A, 0))</f>
        <v>3</v>
      </c>
      <c r="D29" s="112" t="str">
        <f>INDEX('imp-questions'!F:F, MATCH(A29, 'imp-questions'!A:A, 0))</f>
        <v>Do you update the Application Security strategy and roadmap based on application security metrics and KPIs?</v>
      </c>
      <c r="E29" s="113" t="str">
        <f>CHAR(65+INDEX('imp-questions'!H:H, MATCH(A29, 'imp-questions'!A:A, 0)))</f>
        <v>P</v>
      </c>
      <c r="F29" s="118"/>
      <c r="G29" s="119">
        <f ca="1">IFERROR(INDEX(INDIRECT("Ans" &amp; E29 &amp; "TBL"), MATCH(F29, INDEX(INDIRECT("Ans" &amp; E29 &amp; "TBL"), 0, 1), 0), 2), 0)</f>
        <v>0</v>
      </c>
      <c r="H29" s="127"/>
      <c r="I29" s="508"/>
      <c r="J29" s="121"/>
      <c r="K29" s="95"/>
      <c r="L29" s="96"/>
      <c r="M29" s="96"/>
      <c r="N29" s="96"/>
      <c r="O29" s="96"/>
      <c r="P29" s="96"/>
      <c r="Q29" s="95"/>
      <c r="R29" s="95"/>
      <c r="S29" s="95"/>
      <c r="T29" s="95"/>
      <c r="U29" s="95"/>
      <c r="V29" s="95"/>
      <c r="W29" s="95"/>
      <c r="X29" s="95"/>
      <c r="Y29" s="95"/>
      <c r="Z29" s="95"/>
    </row>
    <row r="30" spans="1:26" ht="38" customHeight="1" x14ac:dyDescent="0.15">
      <c r="B30" s="478"/>
      <c r="C30" s="434"/>
      <c r="D30" s="439" t="str">
        <f>INDEX('imp-questions'!G:G, MATCH(A29, 'imp-questions'!A:A, 0))</f>
        <v>You review KPIs at least yearly for their efficiency and effectiveness
 KPIs and application security metrics trigger most of the changes to the application security strategy</v>
      </c>
      <c r="E30" s="436"/>
      <c r="F30" s="438"/>
      <c r="G30" s="116"/>
      <c r="H30" s="122"/>
      <c r="I30" s="509"/>
      <c r="J30" s="121"/>
      <c r="K30" s="95"/>
      <c r="L30" s="96"/>
      <c r="M30" s="96"/>
      <c r="N30" s="96"/>
      <c r="O30" s="96"/>
      <c r="P30" s="96"/>
      <c r="Q30" s="95"/>
      <c r="R30" s="95"/>
      <c r="S30" s="95"/>
      <c r="T30" s="95"/>
      <c r="U30" s="95"/>
      <c r="V30" s="95"/>
      <c r="W30" s="95"/>
      <c r="X30" s="95"/>
      <c r="Y30" s="95"/>
      <c r="Z30" s="95"/>
    </row>
    <row r="31" spans="1:26" ht="14" x14ac:dyDescent="0.15">
      <c r="B31" s="487" t="s">
        <v>24</v>
      </c>
      <c r="C31" s="480"/>
      <c r="D31" s="481"/>
      <c r="E31" s="128"/>
      <c r="F31" s="108" t="s">
        <v>15</v>
      </c>
      <c r="G31" s="129"/>
      <c r="H31" s="130"/>
      <c r="I31" s="110" t="s">
        <v>16</v>
      </c>
      <c r="J31" s="110" t="s">
        <v>17</v>
      </c>
      <c r="K31" s="95"/>
      <c r="L31" s="96"/>
      <c r="M31" s="96"/>
      <c r="N31" s="96"/>
      <c r="O31" s="96"/>
      <c r="P31" s="96"/>
      <c r="Q31" s="95"/>
      <c r="R31" s="95"/>
      <c r="S31" s="95"/>
      <c r="T31" s="95"/>
      <c r="U31" s="95"/>
      <c r="V31" s="95"/>
      <c r="W31" s="95"/>
      <c r="X31" s="95"/>
      <c r="Y31" s="95"/>
      <c r="Z31" s="95"/>
    </row>
    <row r="32" spans="1:26" ht="12.75" customHeight="1" x14ac:dyDescent="0.15">
      <c r="A32" s="87" t="s">
        <v>25</v>
      </c>
      <c r="B32" s="476" t="str">
        <f>INDEX('imp-questions'!D:D, MATCH(A32, 'imp-questions'!A:A, 0))</f>
        <v>Policy and Standards</v>
      </c>
      <c r="C32" s="111">
        <f>INDEX('imp-questions'!E:E, MATCH(A32, 'imp-questions'!A:A, 0))</f>
        <v>1</v>
      </c>
      <c r="D32" s="131" t="str">
        <f>INDEX('imp-questions'!F:F, MATCH(A32, 'imp-questions'!A:A, 0))</f>
        <v>Do you have and apply a common set of policies and standards throughout your organization?</v>
      </c>
      <c r="E32" s="113" t="str">
        <f>CHAR(65+INDEX('imp-questions'!H:H, MATCH(A32, 'imp-questions'!A:A, 0)))</f>
        <v>A</v>
      </c>
      <c r="F32" s="114"/>
      <c r="G32" s="119">
        <f ca="1">IFERROR(INDEX(INDIRECT("Ans" &amp; E32 &amp; "TBL"), MATCH(F32, INDEX(INDIRECT("Ans" &amp; E32 &amp; "TBL"), 0, 1), 0), 2), 0)</f>
        <v>0</v>
      </c>
      <c r="H32" s="115">
        <f ca="1">IFERROR(AVERAGE(G32,G39),0)</f>
        <v>0</v>
      </c>
      <c r="I32" s="508"/>
      <c r="J32" s="557">
        <f ca="1">SUM(H32,H34,H36)</f>
        <v>0</v>
      </c>
      <c r="K32" s="95"/>
      <c r="L32" s="96"/>
      <c r="M32" s="96"/>
      <c r="N32" s="96"/>
      <c r="O32" s="96"/>
      <c r="P32" s="96"/>
      <c r="Q32" s="95"/>
      <c r="R32" s="95"/>
      <c r="S32" s="95"/>
      <c r="T32" s="95"/>
      <c r="U32" s="95"/>
      <c r="V32" s="95"/>
      <c r="W32" s="95"/>
      <c r="X32" s="95"/>
      <c r="Y32" s="95"/>
      <c r="Z32" s="95"/>
    </row>
    <row r="33" spans="1:26" ht="36" customHeight="1" x14ac:dyDescent="0.15">
      <c r="B33" s="477"/>
      <c r="C33" s="434"/>
      <c r="D33" s="435" t="str">
        <f>INDEX('imp-questions'!G:G, MATCH(A32, 'imp-questions'!A:A, 0))</f>
        <v>You have adapted existing standards appropriate for the organization’s industry to account for domain-specific considerations
 Your standards are aligned with your policies and incorporate technology-specific implementation guidance</v>
      </c>
      <c r="E33" s="436"/>
      <c r="F33" s="438"/>
      <c r="G33" s="116"/>
      <c r="H33" s="117"/>
      <c r="I33" s="509"/>
      <c r="J33" s="509"/>
      <c r="K33" s="95"/>
      <c r="L33" s="96"/>
      <c r="M33" s="96"/>
      <c r="N33" s="96"/>
      <c r="O33" s="96"/>
      <c r="P33" s="96"/>
      <c r="Q33" s="95"/>
      <c r="R33" s="95"/>
      <c r="S33" s="95"/>
      <c r="T33" s="95"/>
      <c r="U33" s="95"/>
      <c r="V33" s="95"/>
      <c r="W33" s="95"/>
      <c r="X33" s="95"/>
      <c r="Y33" s="95"/>
      <c r="Z33" s="95"/>
    </row>
    <row r="34" spans="1:26" ht="15" customHeight="1" x14ac:dyDescent="0.15">
      <c r="A34" s="87" t="s">
        <v>26</v>
      </c>
      <c r="B34" s="477"/>
      <c r="C34" s="111">
        <f>INDEX('imp-questions'!E:E, MATCH(A34, 'imp-questions'!A:A, 0))</f>
        <v>2</v>
      </c>
      <c r="D34" s="112" t="str">
        <f>INDEX('imp-questions'!F:F, MATCH(A34, 'imp-questions'!A:A, 0))</f>
        <v>Do you publish the organization's policies as test scripts or run-books for easy interpretation by development teams?</v>
      </c>
      <c r="E34" s="113" t="str">
        <f>CHAR(65+INDEX('imp-questions'!H:H, MATCH(A34, 'imp-questions'!A:A, 0)))</f>
        <v>C</v>
      </c>
      <c r="F34" s="114"/>
      <c r="G34" s="119">
        <f ca="1">IFERROR(INDEX(INDIRECT("Ans" &amp; E34 &amp; "TBL"), MATCH(F34, INDEX(INDIRECT("Ans" &amp; E34 &amp; "TBL"), 0, 1), 0), 2), 0)</f>
        <v>0</v>
      </c>
      <c r="H34" s="120">
        <f ca="1">IFERROR(AVERAGE(G34,G41),0)</f>
        <v>0</v>
      </c>
      <c r="I34" s="506"/>
      <c r="J34" s="121"/>
      <c r="K34" s="95"/>
      <c r="L34" s="96"/>
      <c r="M34" s="96"/>
      <c r="N34" s="96"/>
      <c r="O34" s="96"/>
      <c r="P34" s="96"/>
      <c r="Q34" s="95"/>
      <c r="R34" s="95"/>
      <c r="S34" s="95"/>
      <c r="T34" s="95"/>
      <c r="U34" s="95"/>
      <c r="V34" s="95"/>
      <c r="W34" s="95"/>
      <c r="X34" s="95"/>
      <c r="Y34" s="95"/>
      <c r="Z34" s="95"/>
    </row>
    <row r="35" spans="1:26" ht="43" customHeight="1" x14ac:dyDescent="0.15">
      <c r="B35" s="477"/>
      <c r="C35" s="434"/>
      <c r="D35" s="435" t="str">
        <f>INDEX('imp-questions'!G:G, MATCH(A34, 'imp-questions'!A:A, 0))</f>
        <v>You create verification checklists and test scripts where applicable, aligned with the policy's requirements and the implementation guidance in the associated standards
 You create versions adapted to each development methodology and technology the organization uses</v>
      </c>
      <c r="E35" s="436"/>
      <c r="F35" s="438"/>
      <c r="G35" s="116"/>
      <c r="H35" s="122"/>
      <c r="I35" s="507"/>
      <c r="J35" s="121"/>
      <c r="K35" s="95"/>
      <c r="L35" s="96"/>
      <c r="M35" s="96"/>
      <c r="N35" s="96"/>
      <c r="O35" s="96"/>
      <c r="P35" s="96"/>
      <c r="Q35" s="95"/>
      <c r="R35" s="95"/>
      <c r="S35" s="95"/>
      <c r="T35" s="95"/>
      <c r="U35" s="95"/>
      <c r="V35" s="95"/>
      <c r="W35" s="95"/>
      <c r="X35" s="95"/>
      <c r="Y35" s="95"/>
      <c r="Z35" s="95"/>
    </row>
    <row r="36" spans="1:26" ht="28.5" customHeight="1" x14ac:dyDescent="0.15">
      <c r="A36" s="87" t="s">
        <v>27</v>
      </c>
      <c r="B36" s="477"/>
      <c r="C36" s="111">
        <f>INDEX('imp-questions'!E:E, MATCH(A36, 'imp-questions'!A:A, 0))</f>
        <v>3</v>
      </c>
      <c r="D36" s="112" t="str">
        <f>INDEX('imp-questions'!F:F, MATCH(A36, 'imp-questions'!A:A, 0))</f>
        <v>Do you regularly report on policy and standard compliance, and use that information to guide compliance improvement efforts?</v>
      </c>
      <c r="E36" s="113" t="str">
        <f>CHAR(65+INDEX('imp-questions'!H:H, MATCH(A36, 'imp-questions'!A:A, 0)))</f>
        <v>T</v>
      </c>
      <c r="F36" s="114"/>
      <c r="G36" s="119">
        <f ca="1">IFERROR(INDEX(INDIRECT("Ans" &amp; E36 &amp; "TBL"), MATCH(F36, INDEX(INDIRECT("Ans" &amp; E36 &amp; "TBL"), 0, 1), 0), 2), 0)</f>
        <v>0</v>
      </c>
      <c r="H36" s="120">
        <f ca="1">IFERROR(AVERAGE(G36,G43),0)</f>
        <v>0</v>
      </c>
      <c r="I36" s="506"/>
      <c r="J36" s="121"/>
      <c r="K36" s="95"/>
      <c r="L36" s="96"/>
      <c r="M36" s="96"/>
      <c r="N36" s="96"/>
      <c r="O36" s="96"/>
      <c r="P36" s="96"/>
      <c r="Q36" s="95"/>
      <c r="R36" s="95"/>
      <c r="S36" s="95"/>
      <c r="T36" s="95"/>
      <c r="U36" s="95"/>
      <c r="V36" s="95"/>
      <c r="W36" s="95"/>
      <c r="X36" s="95"/>
      <c r="Y36" s="95"/>
      <c r="Z36" s="95"/>
    </row>
    <row r="37" spans="1:26" ht="47" customHeight="1" x14ac:dyDescent="0.15">
      <c r="B37" s="478"/>
      <c r="C37" s="434"/>
      <c r="D37" s="435" t="str">
        <f>INDEX('imp-questions'!G:G, MATCH(A36, 'imp-questions'!A:A, 0))</f>
        <v>You have procedures (automated, if possible) to regularly generate compliance reports
 You deliver compliance reports to all relevant stakeholders
 Stakeholders use the reported compliance status information to identify areas for improvement</v>
      </c>
      <c r="E37" s="436"/>
      <c r="F37" s="438"/>
      <c r="G37" s="116"/>
      <c r="H37" s="122"/>
      <c r="I37" s="507"/>
      <c r="J37" s="121"/>
      <c r="K37" s="95"/>
      <c r="L37" s="96"/>
      <c r="M37" s="96"/>
      <c r="N37" s="96"/>
      <c r="O37" s="96"/>
      <c r="P37" s="96"/>
      <c r="Q37" s="95"/>
      <c r="R37" s="95"/>
      <c r="S37" s="95"/>
      <c r="T37" s="95"/>
      <c r="U37" s="95"/>
      <c r="V37" s="95"/>
      <c r="W37" s="95"/>
      <c r="X37" s="95"/>
      <c r="Y37" s="95"/>
      <c r="Z37" s="95"/>
    </row>
    <row r="38" spans="1:26" x14ac:dyDescent="0.15">
      <c r="B38" s="132"/>
      <c r="C38" s="124"/>
      <c r="D38" s="124"/>
      <c r="E38" s="124"/>
      <c r="F38" s="124"/>
      <c r="G38" s="124"/>
      <c r="H38" s="124"/>
      <c r="I38" s="133"/>
      <c r="J38" s="94"/>
      <c r="K38" s="95"/>
      <c r="L38" s="96"/>
      <c r="M38" s="96"/>
      <c r="N38" s="96"/>
      <c r="O38" s="96"/>
      <c r="P38" s="96"/>
      <c r="Q38" s="95"/>
      <c r="R38" s="95"/>
      <c r="S38" s="95"/>
      <c r="T38" s="95"/>
      <c r="U38" s="95"/>
      <c r="V38" s="95"/>
      <c r="W38" s="95"/>
      <c r="X38" s="95"/>
      <c r="Y38" s="95"/>
      <c r="Z38" s="95"/>
    </row>
    <row r="39" spans="1:26" ht="15" customHeight="1" x14ac:dyDescent="0.15">
      <c r="A39" s="87" t="s">
        <v>28</v>
      </c>
      <c r="B39" s="476" t="str">
        <f>INDEX('imp-questions'!D:D, MATCH(A39, 'imp-questions'!A:A, 0))</f>
        <v>Compliance Management</v>
      </c>
      <c r="C39" s="111">
        <f>INDEX('imp-questions'!E:E, MATCH(A39, 'imp-questions'!A:A, 0))</f>
        <v>1</v>
      </c>
      <c r="D39" s="112" t="str">
        <f>INDEX('imp-questions'!F:F, MATCH(A39, 'imp-questions'!A:A, 0))</f>
        <v>Do you have a complete picture of your external compliance obligations?</v>
      </c>
      <c r="E39" s="113" t="str">
        <f>CHAR(65+INDEX('imp-questions'!H:H, MATCH(A39, 'imp-questions'!A:A, 0)))</f>
        <v>A</v>
      </c>
      <c r="F39" s="134"/>
      <c r="G39" s="135">
        <f ca="1">IFERROR(INDEX(INDIRECT("Ans" &amp; E39 &amp; "TBL"), MATCH(F39, INDEX(INDIRECT("Ans" &amp; E39 &amp; "TBL"), 0, 1), 0), 2), 0)</f>
        <v>0</v>
      </c>
      <c r="H39" s="136"/>
      <c r="I39" s="555"/>
      <c r="J39" s="121"/>
      <c r="K39" s="95"/>
      <c r="L39" s="96"/>
      <c r="M39" s="96"/>
      <c r="N39" s="96"/>
      <c r="O39" s="96"/>
      <c r="P39" s="96"/>
      <c r="Q39" s="95"/>
      <c r="R39" s="95"/>
      <c r="S39" s="95"/>
      <c r="T39" s="95"/>
      <c r="U39" s="95"/>
      <c r="V39" s="95"/>
      <c r="W39" s="95"/>
      <c r="X39" s="95"/>
      <c r="Y39" s="95"/>
      <c r="Z39" s="95"/>
    </row>
    <row r="40" spans="1:26" ht="37" customHeight="1" x14ac:dyDescent="0.15">
      <c r="B40" s="477"/>
      <c r="C40" s="434"/>
      <c r="D40" s="435" t="str">
        <f>INDEX('imp-questions'!G:G, MATCH(A39, 'imp-questions'!A:A, 0))</f>
        <v>You have identified all sources of external compliance obligations
 You have captured and reconciled compliance obligations from all sources</v>
      </c>
      <c r="E40" s="436"/>
      <c r="F40" s="440"/>
      <c r="G40" s="137"/>
      <c r="H40" s="138"/>
      <c r="I40" s="494"/>
      <c r="J40" s="121"/>
      <c r="K40" s="95"/>
      <c r="L40" s="96"/>
      <c r="M40" s="96"/>
      <c r="N40" s="96"/>
      <c r="O40" s="96"/>
      <c r="P40" s="96"/>
      <c r="Q40" s="95"/>
      <c r="R40" s="95"/>
      <c r="S40" s="95"/>
      <c r="T40" s="95"/>
      <c r="U40" s="95"/>
      <c r="V40" s="95"/>
      <c r="W40" s="95"/>
      <c r="X40" s="95"/>
      <c r="Y40" s="95"/>
      <c r="Z40" s="95"/>
    </row>
    <row r="41" spans="1:26" ht="28" customHeight="1" x14ac:dyDescent="0.15">
      <c r="A41" s="87" t="s">
        <v>29</v>
      </c>
      <c r="B41" s="477"/>
      <c r="C41" s="111">
        <f>INDEX('imp-questions'!E:E, MATCH(A41, 'imp-questions'!A:A, 0))</f>
        <v>2</v>
      </c>
      <c r="D41" s="112" t="str">
        <f>INDEX('imp-questions'!F:F, MATCH(A41, 'imp-questions'!A:A, 0))</f>
        <v>Do you have a standard set of security requirements and verification procedures addressing the organization's external compliance obligations?</v>
      </c>
      <c r="E41" s="113" t="str">
        <f>CHAR(65+INDEX('imp-questions'!H:H, MATCH(A41, 'imp-questions'!A:A, 0)))</f>
        <v>U</v>
      </c>
      <c r="F41" s="134"/>
      <c r="G41" s="135">
        <f ca="1">IFERROR(INDEX(INDIRECT("Ans" &amp; E41 &amp; "TBL"), MATCH(F41, INDEX(INDIRECT("Ans" &amp; E41 &amp; "TBL"), 0, 1), 0), 2), 0)</f>
        <v>0</v>
      </c>
      <c r="H41" s="136"/>
      <c r="I41" s="493"/>
      <c r="J41" s="121"/>
      <c r="K41" s="95"/>
      <c r="L41" s="96"/>
      <c r="M41" s="96"/>
      <c r="N41" s="96"/>
      <c r="O41" s="96"/>
      <c r="P41" s="96"/>
      <c r="Q41" s="95"/>
      <c r="R41" s="95"/>
      <c r="S41" s="95"/>
      <c r="T41" s="95"/>
      <c r="U41" s="95"/>
      <c r="V41" s="95"/>
      <c r="W41" s="95"/>
      <c r="X41" s="95"/>
      <c r="Y41" s="95"/>
      <c r="Z41" s="95"/>
    </row>
    <row r="42" spans="1:26" ht="38" customHeight="1" x14ac:dyDescent="0.15">
      <c r="B42" s="477"/>
      <c r="C42" s="434"/>
      <c r="D42" s="435" t="str">
        <f>INDEX('imp-questions'!G:G, MATCH(A41, 'imp-questions'!A:A, 0))</f>
        <v>You map each external compliance obligation to a well-defined set of application requirements
 You define verification procedures, including automated tests, to verify compliance with compliance-related requirements</v>
      </c>
      <c r="E42" s="436"/>
      <c r="F42" s="440"/>
      <c r="G42" s="137"/>
      <c r="H42" s="138"/>
      <c r="I42" s="494"/>
      <c r="J42" s="121"/>
      <c r="K42" s="95"/>
      <c r="L42" s="96"/>
      <c r="M42" s="96"/>
      <c r="N42" s="96"/>
      <c r="O42" s="96"/>
      <c r="P42" s="96"/>
      <c r="Q42" s="95"/>
      <c r="R42" s="95"/>
      <c r="S42" s="95"/>
      <c r="T42" s="95"/>
      <c r="U42" s="95"/>
      <c r="V42" s="95"/>
      <c r="W42" s="95"/>
      <c r="X42" s="95"/>
      <c r="Y42" s="95"/>
      <c r="Z42" s="95"/>
    </row>
    <row r="43" spans="1:26" ht="28" customHeight="1" x14ac:dyDescent="0.15">
      <c r="A43" s="87" t="s">
        <v>30</v>
      </c>
      <c r="B43" s="477"/>
      <c r="C43" s="111">
        <f>INDEX('imp-questions'!E:E, MATCH(A43, 'imp-questions'!A:A, 0))</f>
        <v>3</v>
      </c>
      <c r="D43" s="112" t="str">
        <f>INDEX('imp-questions'!F:F, MATCH(A43, 'imp-questions'!A:A, 0))</f>
        <v>Do you regularly report on adherence to external compliance obligations and use that information to guide efforts to close compliance gaps?</v>
      </c>
      <c r="E43" s="113" t="str">
        <f>CHAR(65+INDEX('imp-questions'!H:H, MATCH(A43, 'imp-questions'!A:A, 0)))</f>
        <v>T</v>
      </c>
      <c r="F43" s="134"/>
      <c r="G43" s="135">
        <f ca="1">IFERROR(INDEX(INDIRECT("Ans" &amp; E43 &amp; "TBL"), MATCH(F43, INDEX(INDIRECT("Ans" &amp; E43 &amp; "TBL"), 0, 1), 0), 2), 0)</f>
        <v>0</v>
      </c>
      <c r="H43" s="136"/>
      <c r="I43" s="493"/>
      <c r="J43" s="121"/>
      <c r="K43" s="95"/>
      <c r="L43" s="96"/>
      <c r="M43" s="96"/>
      <c r="N43" s="96"/>
      <c r="O43" s="96"/>
      <c r="P43" s="96"/>
      <c r="Q43" s="95"/>
      <c r="R43" s="95"/>
      <c r="S43" s="95"/>
      <c r="T43" s="95"/>
      <c r="U43" s="95"/>
      <c r="V43" s="95"/>
      <c r="W43" s="95"/>
      <c r="X43" s="95"/>
      <c r="Y43" s="95"/>
      <c r="Z43" s="95"/>
    </row>
    <row r="44" spans="1:26" ht="45" customHeight="1" x14ac:dyDescent="0.15">
      <c r="B44" s="478"/>
      <c r="C44" s="434"/>
      <c r="D44" s="439" t="str">
        <f>INDEX('imp-questions'!G:G, MATCH(A43, 'imp-questions'!A:A, 0))</f>
        <v>You have established, well-defined compliance metrics
 You measure and report on applications' compliance metrics regularly
 Stakeholders use the reported compliance status information to identify compliance gaps and prioritize gap remediation efforts</v>
      </c>
      <c r="E44" s="436"/>
      <c r="F44" s="440"/>
      <c r="G44" s="137"/>
      <c r="H44" s="138"/>
      <c r="I44" s="494"/>
      <c r="J44" s="121"/>
      <c r="K44" s="95"/>
      <c r="L44" s="96"/>
      <c r="M44" s="96"/>
      <c r="N44" s="96"/>
      <c r="O44" s="96"/>
      <c r="P44" s="96"/>
      <c r="Q44" s="95"/>
      <c r="R44" s="95"/>
      <c r="S44" s="95"/>
      <c r="T44" s="95"/>
      <c r="U44" s="95"/>
      <c r="V44" s="95"/>
      <c r="W44" s="95"/>
      <c r="X44" s="95"/>
      <c r="Y44" s="95"/>
      <c r="Z44" s="95"/>
    </row>
    <row r="45" spans="1:26" ht="14" x14ac:dyDescent="0.15">
      <c r="B45" s="487" t="s">
        <v>31</v>
      </c>
      <c r="C45" s="480"/>
      <c r="D45" s="481"/>
      <c r="E45" s="128"/>
      <c r="F45" s="108" t="s">
        <v>15</v>
      </c>
      <c r="G45" s="129"/>
      <c r="H45" s="130"/>
      <c r="I45" s="110" t="s">
        <v>16</v>
      </c>
      <c r="J45" s="110" t="s">
        <v>17</v>
      </c>
      <c r="K45" s="95"/>
      <c r="L45" s="96"/>
      <c r="M45" s="96"/>
      <c r="N45" s="96"/>
      <c r="O45" s="96"/>
      <c r="P45" s="96"/>
      <c r="Q45" s="95"/>
      <c r="R45" s="95"/>
      <c r="S45" s="95"/>
      <c r="T45" s="95"/>
      <c r="U45" s="95"/>
      <c r="V45" s="95"/>
      <c r="W45" s="95"/>
      <c r="X45" s="95"/>
      <c r="Y45" s="95"/>
      <c r="Z45" s="95"/>
    </row>
    <row r="46" spans="1:26" ht="12.75" customHeight="1" x14ac:dyDescent="0.15">
      <c r="A46" s="89" t="s">
        <v>32</v>
      </c>
      <c r="B46" s="476" t="str">
        <f>INDEX('imp-questions'!D:D, MATCH(A46, 'imp-questions'!A:A, 0))</f>
        <v>Training and Awareness</v>
      </c>
      <c r="C46" s="111">
        <f>INDEX('imp-questions'!E:E, MATCH(A46, 'imp-questions'!A:A, 0))</f>
        <v>1</v>
      </c>
      <c r="D46" s="131" t="str">
        <f>INDEX('imp-questions'!F:F, MATCH(A46, 'imp-questions'!A:A, 0))</f>
        <v>Do you require employees involved with application development to take SDLC training?</v>
      </c>
      <c r="E46" s="113" t="str">
        <f>CHAR(65+INDEX('imp-questions'!H:H, MATCH(A46, 'imp-questions'!A:A, 0)))</f>
        <v>B</v>
      </c>
      <c r="F46" s="114"/>
      <c r="G46" s="119">
        <f ca="1">IFERROR(INDEX(INDIRECT("Ans" &amp; E46 &amp; "TBL"), MATCH(F46, INDEX(INDIRECT("Ans" &amp; E46 &amp; "TBL"), 0, 1), 0), 2), 0)</f>
        <v>0</v>
      </c>
      <c r="H46" s="127">
        <f ca="1">IFERROR(AVERAGE(G46,G53),0)</f>
        <v>0</v>
      </c>
      <c r="I46" s="510"/>
      <c r="J46" s="472">
        <f ca="1">SUM(H46,H48,H50)</f>
        <v>0</v>
      </c>
      <c r="K46" s="95"/>
      <c r="L46" s="96"/>
      <c r="M46" s="96"/>
      <c r="N46" s="96"/>
      <c r="O46" s="96"/>
      <c r="P46" s="96"/>
      <c r="Q46" s="95"/>
      <c r="R46" s="95"/>
      <c r="S46" s="95"/>
      <c r="T46" s="95"/>
      <c r="U46" s="95"/>
      <c r="V46" s="95"/>
      <c r="W46" s="95"/>
      <c r="X46" s="95"/>
      <c r="Y46" s="95"/>
      <c r="Z46" s="95"/>
    </row>
    <row r="47" spans="1:26" ht="84" customHeight="1" x14ac:dyDescent="0.15">
      <c r="B47" s="477"/>
      <c r="C47" s="434"/>
      <c r="D47" s="435" t="str">
        <f>INDEX('imp-questions'!G:G, MATCH(A46, 'imp-questions'!A:A, 0))</f>
        <v>Training is repeatable, consistent, and available to anyone involved with software development lifecycle
 Training includes relevant content from the latest OWASP Top 10 and includes concepts such as Least Privilege, Defense-in-Depth, Fail Secure (Safe), Complete Mediation, Session Management, Open Design, and Psychological Acceptability
 Training requires a sign-off or an acknowledgement from attendees
 You have reviewed the training content within the last 12 months, and have completed any required updates
 All new covered staff are required to complete training during their onboarding process
 Existing covered staff are required to complete training when content is added/revised, or complete refresher training at least every 24 months, whichever comes first</v>
      </c>
      <c r="E47" s="436"/>
      <c r="F47" s="438"/>
      <c r="G47" s="116"/>
      <c r="H47" s="139"/>
      <c r="I47" s="511"/>
      <c r="J47" s="469"/>
      <c r="K47" s="95"/>
      <c r="L47" s="96"/>
      <c r="M47" s="96"/>
      <c r="N47" s="96"/>
      <c r="O47" s="96"/>
      <c r="P47" s="96"/>
      <c r="Q47" s="95"/>
      <c r="R47" s="95"/>
      <c r="S47" s="95"/>
      <c r="T47" s="95"/>
      <c r="U47" s="95"/>
      <c r="V47" s="95"/>
      <c r="W47" s="95"/>
      <c r="X47" s="95"/>
      <c r="Y47" s="95"/>
      <c r="Z47" s="95"/>
    </row>
    <row r="48" spans="1:26" ht="14" x14ac:dyDescent="0.15">
      <c r="A48" s="89" t="s">
        <v>33</v>
      </c>
      <c r="B48" s="477"/>
      <c r="C48" s="111">
        <f>INDEX('imp-questions'!E:E, MATCH(A48, 'imp-questions'!A:A, 0))</f>
        <v>2</v>
      </c>
      <c r="D48" s="112" t="str">
        <f>INDEX('imp-questions'!F:F, MATCH(A48, 'imp-questions'!A:A, 0))</f>
        <v>Is training customized for individual roles such as developers, testers, or security champions?</v>
      </c>
      <c r="E48" s="113" t="str">
        <f>CHAR(65+INDEX('imp-questions'!H:H, MATCH(A48, 'imp-questions'!A:A, 0)))</f>
        <v>D</v>
      </c>
      <c r="F48" s="118"/>
      <c r="G48" s="119">
        <f ca="1">IFERROR(INDEX(INDIRECT("Ans" &amp; E48 &amp; "TBL"), MATCH(F48, INDEX(INDIRECT("Ans" &amp; E48 &amp; "TBL"), 0, 1), 0), 2), 0)</f>
        <v>0</v>
      </c>
      <c r="H48" s="140">
        <f ca="1">IFERROR(AVERAGE(G48,G55),0)</f>
        <v>0</v>
      </c>
      <c r="I48" s="512"/>
      <c r="J48" s="141"/>
      <c r="K48" s="95"/>
      <c r="L48" s="96"/>
      <c r="M48" s="96"/>
      <c r="N48" s="96"/>
      <c r="O48" s="96"/>
      <c r="P48" s="96"/>
      <c r="Q48" s="95"/>
      <c r="R48" s="95"/>
      <c r="S48" s="95"/>
      <c r="T48" s="95"/>
      <c r="U48" s="95"/>
      <c r="V48" s="95"/>
      <c r="W48" s="95"/>
      <c r="X48" s="95"/>
      <c r="Y48" s="95"/>
      <c r="Z48" s="95"/>
    </row>
    <row r="49" spans="1:26" ht="73" customHeight="1" x14ac:dyDescent="0.15">
      <c r="B49" s="477"/>
      <c r="C49" s="434"/>
      <c r="D49" s="435" t="str">
        <f>INDEX('imp-questions'!G:G, MATCH(A48, 'imp-questions'!A:A, 0))</f>
        <v>Training includes all topics from maturity level 1, and adds more specific tools, techniques, and demonstrations
 Training is mandatory for all employees and contractors
 Training includes input from in-house SMEs and trainees
 Training includes demonstrations of tools and techniques developed in-house
 You use feedback to enhance and make future training more relevant</v>
      </c>
      <c r="E49" s="436"/>
      <c r="F49" s="438"/>
      <c r="G49" s="116"/>
      <c r="H49" s="142"/>
      <c r="I49" s="471"/>
      <c r="J49" s="141"/>
      <c r="K49" s="95"/>
      <c r="L49" s="96"/>
      <c r="M49" s="96"/>
      <c r="N49" s="96"/>
      <c r="O49" s="96"/>
      <c r="P49" s="96"/>
      <c r="Q49" s="95"/>
      <c r="R49" s="95"/>
      <c r="S49" s="95"/>
      <c r="T49" s="95"/>
      <c r="U49" s="95"/>
      <c r="V49" s="95"/>
      <c r="W49" s="95"/>
      <c r="X49" s="95"/>
      <c r="Y49" s="95"/>
      <c r="Z49" s="95"/>
    </row>
    <row r="50" spans="1:26" ht="15" customHeight="1" x14ac:dyDescent="0.15">
      <c r="A50" s="89" t="s">
        <v>34</v>
      </c>
      <c r="B50" s="477"/>
      <c r="C50" s="111">
        <f>INDEX('imp-questions'!E:E, MATCH(A50, 'imp-questions'!A:A, 0))</f>
        <v>3</v>
      </c>
      <c r="D50" s="112" t="str">
        <f>INDEX('imp-questions'!F:F, MATCH(A50, 'imp-questions'!A:A, 0))</f>
        <v>Have you implemented a Learning Management System or equivalent to track employee training and certification processes?</v>
      </c>
      <c r="E50" s="113" t="str">
        <f>CHAR(65+INDEX('imp-questions'!H:H, MATCH(A50, 'imp-questions'!A:A, 0)))</f>
        <v>D</v>
      </c>
      <c r="F50" s="118"/>
      <c r="G50" s="119">
        <f ca="1">IFERROR(INDEX(INDIRECT("Ans" &amp; E50 &amp; "TBL"), MATCH(F50, INDEX(INDIRECT("Ans" &amp; E50 &amp; "TBL"), 0, 1), 0), 2), 0)</f>
        <v>0</v>
      </c>
      <c r="H50" s="140">
        <f ca="1">IFERROR(AVERAGE(G50,G57),0)</f>
        <v>0</v>
      </c>
      <c r="I50" s="470"/>
      <c r="J50" s="141"/>
      <c r="K50" s="95"/>
      <c r="L50" s="96"/>
      <c r="M50" s="96"/>
      <c r="N50" s="96"/>
      <c r="O50" s="96"/>
      <c r="P50" s="96"/>
      <c r="Q50" s="95"/>
      <c r="R50" s="95"/>
      <c r="S50" s="95"/>
      <c r="T50" s="95"/>
      <c r="U50" s="95"/>
      <c r="V50" s="95"/>
      <c r="W50" s="95"/>
      <c r="X50" s="95"/>
      <c r="Y50" s="95"/>
      <c r="Z50" s="95"/>
    </row>
    <row r="51" spans="1:26" ht="47" customHeight="1" x14ac:dyDescent="0.15">
      <c r="B51" s="478"/>
      <c r="C51" s="434"/>
      <c r="D51" s="435" t="str">
        <f>INDEX('imp-questions'!G:G, MATCH(A50, 'imp-questions'!A:A, 0))</f>
        <v>A Learning Management System (LMS) is used to track trainings and certifications
 Training is based on internal standards, policies, and procedures
 You use certification programs or attendance records to determine access to development systems and resources</v>
      </c>
      <c r="E51" s="436"/>
      <c r="F51" s="438"/>
      <c r="G51" s="116"/>
      <c r="H51" s="142"/>
      <c r="I51" s="471"/>
      <c r="J51" s="141"/>
      <c r="K51" s="95"/>
      <c r="L51" s="96"/>
      <c r="M51" s="96"/>
      <c r="N51" s="96"/>
      <c r="O51" s="96"/>
      <c r="P51" s="96"/>
      <c r="Q51" s="95"/>
      <c r="R51" s="95"/>
      <c r="S51" s="95"/>
      <c r="T51" s="95"/>
      <c r="U51" s="95"/>
      <c r="V51" s="95"/>
      <c r="W51" s="95"/>
      <c r="X51" s="95"/>
      <c r="Y51" s="95"/>
      <c r="Z51" s="95"/>
    </row>
    <row r="52" spans="1:26" x14ac:dyDescent="0.15">
      <c r="B52" s="123"/>
      <c r="C52" s="124"/>
      <c r="D52" s="125"/>
      <c r="E52" s="125"/>
      <c r="F52" s="125"/>
      <c r="G52" s="125"/>
      <c r="H52" s="125"/>
      <c r="I52" s="126"/>
      <c r="J52" s="121"/>
      <c r="K52" s="95"/>
      <c r="L52" s="96"/>
      <c r="M52" s="96"/>
      <c r="N52" s="96"/>
      <c r="O52" s="96"/>
      <c r="P52" s="96"/>
      <c r="Q52" s="95"/>
      <c r="R52" s="95"/>
      <c r="S52" s="95"/>
      <c r="T52" s="95"/>
      <c r="U52" s="95"/>
      <c r="V52" s="95"/>
      <c r="W52" s="95"/>
      <c r="X52" s="95"/>
      <c r="Y52" s="95"/>
      <c r="Z52" s="95"/>
    </row>
    <row r="53" spans="1:26" ht="15" customHeight="1" x14ac:dyDescent="0.15">
      <c r="A53" s="89" t="s">
        <v>35</v>
      </c>
      <c r="B53" s="476" t="str">
        <f>INDEX('imp-questions'!D:D, MATCH(A53, 'imp-questions'!A:A, 0))</f>
        <v>Organization and Culture</v>
      </c>
      <c r="C53" s="111">
        <f>INDEX('imp-questions'!E:E, MATCH(A53, 'imp-questions'!A:A, 0))</f>
        <v>1</v>
      </c>
      <c r="D53" s="112" t="str">
        <f>INDEX('imp-questions'!F:F, MATCH(A53, 'imp-questions'!A:A, 0))</f>
        <v>Have you identified a Security Champion for each development team?</v>
      </c>
      <c r="E53" s="113" t="str">
        <f>CHAR(65+INDEX('imp-questions'!H:H, MATCH(A53, 'imp-questions'!A:A, 0)))</f>
        <v>V</v>
      </c>
      <c r="F53" s="114"/>
      <c r="G53" s="119">
        <f ca="1">IFERROR(INDEX(INDIRECT("Ans" &amp; E53 &amp; "TBL"), MATCH(F53, INDEX(INDIRECT("Ans" &amp; E53 &amp; "TBL"), 0, 1), 0), 2), 0)</f>
        <v>0</v>
      </c>
      <c r="H53" s="127"/>
      <c r="I53" s="508"/>
      <c r="J53" s="121"/>
      <c r="K53" s="95"/>
      <c r="L53" s="96"/>
      <c r="M53" s="96"/>
      <c r="N53" s="96"/>
      <c r="O53" s="96"/>
      <c r="P53" s="96"/>
      <c r="Q53" s="95"/>
      <c r="R53" s="95"/>
      <c r="S53" s="95"/>
      <c r="T53" s="95"/>
      <c r="U53" s="95"/>
      <c r="V53" s="95"/>
      <c r="W53" s="95"/>
      <c r="X53" s="95"/>
      <c r="Y53" s="95"/>
      <c r="Z53" s="95"/>
    </row>
    <row r="54" spans="1:26" ht="70" customHeight="1" x14ac:dyDescent="0.15">
      <c r="B54" s="477"/>
      <c r="C54" s="434"/>
      <c r="D54" s="435" t="str">
        <f>INDEX('imp-questions'!G:G, MATCH(A53, 'imp-questions'!A:A, 0))</f>
        <v>Security Champions receive appropriate training
 Application Security and Development teams receive periodic briefings from Security Champions on the overall status of security initiatives and fixes
 The Security Champion reviews the results of external testing before adding to the application backlog</v>
      </c>
      <c r="E54" s="436"/>
      <c r="F54" s="438"/>
      <c r="G54" s="116"/>
      <c r="H54" s="122"/>
      <c r="I54" s="509"/>
      <c r="J54" s="121"/>
      <c r="K54" s="95"/>
      <c r="L54" s="96"/>
      <c r="M54" s="96"/>
      <c r="N54" s="96"/>
      <c r="O54" s="96"/>
      <c r="P54" s="96"/>
      <c r="Q54" s="95"/>
      <c r="R54" s="95"/>
      <c r="S54" s="95"/>
      <c r="T54" s="95"/>
      <c r="U54" s="95"/>
      <c r="V54" s="95"/>
      <c r="W54" s="95"/>
      <c r="X54" s="95"/>
      <c r="Y54" s="95"/>
      <c r="Z54" s="95"/>
    </row>
    <row r="55" spans="1:26" ht="14" x14ac:dyDescent="0.15">
      <c r="A55" s="89" t="s">
        <v>36</v>
      </c>
      <c r="B55" s="477"/>
      <c r="C55" s="111">
        <f>INDEX('imp-questions'!E:E, MATCH(A55, 'imp-questions'!A:A, 0))</f>
        <v>2</v>
      </c>
      <c r="D55" s="112" t="str">
        <f>INDEX('imp-questions'!F:F, MATCH(A55, 'imp-questions'!A:A, 0))</f>
        <v>Does the organization have a Secure Software Center of Excellence (SSCE)?</v>
      </c>
      <c r="E55" s="113" t="str">
        <f>CHAR(65+INDEX('imp-questions'!H:H, MATCH(A55, 'imp-questions'!A:A, 0)))</f>
        <v>F</v>
      </c>
      <c r="F55" s="118"/>
      <c r="G55" s="119">
        <f ca="1">IFERROR(INDEX(INDIRECT("Ans" &amp; E55 &amp; "TBL"), MATCH(F55, INDEX(INDIRECT("Ans" &amp; E55 &amp; "TBL"), 0, 1), 0), 2), 0)</f>
        <v>0</v>
      </c>
      <c r="H55" s="127"/>
      <c r="I55" s="506"/>
      <c r="J55" s="121"/>
      <c r="K55" s="95"/>
      <c r="L55" s="96"/>
      <c r="M55" s="96"/>
      <c r="N55" s="96"/>
      <c r="O55" s="96"/>
      <c r="P55" s="96"/>
      <c r="Q55" s="95"/>
      <c r="R55" s="95"/>
      <c r="S55" s="95"/>
      <c r="T55" s="95"/>
      <c r="U55" s="95"/>
      <c r="V55" s="95"/>
      <c r="W55" s="95"/>
      <c r="X55" s="95"/>
      <c r="Y55" s="95"/>
      <c r="Z55" s="95"/>
    </row>
    <row r="56" spans="1:26" ht="60" customHeight="1" x14ac:dyDescent="0.15">
      <c r="B56" s="477"/>
      <c r="C56" s="434"/>
      <c r="D56" s="435" t="str">
        <f>INDEX('imp-questions'!G:G, MATCH(A55, 'imp-questions'!A:A, 0))</f>
        <v>The SSCE has a charter defining its role in the organization
 Development teams review all significant architectural changes with the SSCE
 The SSCE publishes SDLC standards and guidelines related to Application Security
 Product Champions are responsible for promoting the use of specific security tools</v>
      </c>
      <c r="E56" s="436"/>
      <c r="F56" s="438"/>
      <c r="G56" s="116"/>
      <c r="H56" s="122"/>
      <c r="I56" s="507"/>
      <c r="J56" s="121"/>
      <c r="K56" s="95"/>
      <c r="L56" s="96"/>
      <c r="M56" s="96"/>
      <c r="N56" s="96"/>
      <c r="O56" s="96"/>
      <c r="P56" s="96"/>
      <c r="Q56" s="95"/>
      <c r="R56" s="95"/>
      <c r="S56" s="95"/>
      <c r="T56" s="95"/>
      <c r="U56" s="95"/>
      <c r="V56" s="95"/>
      <c r="W56" s="95"/>
      <c r="X56" s="95"/>
      <c r="Y56" s="95"/>
      <c r="Z56" s="95"/>
    </row>
    <row r="57" spans="1:26" ht="28" customHeight="1" x14ac:dyDescent="0.15">
      <c r="A57" s="89" t="s">
        <v>37</v>
      </c>
      <c r="B57" s="477"/>
      <c r="C57" s="111">
        <f>INDEX('imp-questions'!E:E, MATCH(A57, 'imp-questions'!A:A, 0))</f>
        <v>3</v>
      </c>
      <c r="D57" s="112" t="str">
        <f>INDEX('imp-questions'!F:F, MATCH(A57, 'imp-questions'!A:A, 0))</f>
        <v>Is there a centralized portal where developers and application security professionals from different teams and business units are able to communicate and share information?</v>
      </c>
      <c r="E57" s="113" t="str">
        <f>CHAR(65+INDEX('imp-questions'!H:H, MATCH(A57, 'imp-questions'!A:A, 0)))</f>
        <v>F</v>
      </c>
      <c r="F57" s="118"/>
      <c r="G57" s="119">
        <f ca="1">IFERROR(INDEX(INDIRECT("Ans" &amp; E57 &amp; "TBL"), MATCH(F57, INDEX(INDIRECT("Ans" &amp; E57 &amp; "TBL"), 0, 1), 0), 2), 0)</f>
        <v>0</v>
      </c>
      <c r="H57" s="127"/>
      <c r="I57" s="506"/>
      <c r="J57" s="121"/>
      <c r="K57" s="95"/>
      <c r="L57" s="96"/>
      <c r="M57" s="96"/>
      <c r="N57" s="96"/>
      <c r="O57" s="96"/>
      <c r="P57" s="96"/>
      <c r="Q57" s="95"/>
      <c r="R57" s="95"/>
      <c r="S57" s="95"/>
      <c r="T57" s="95"/>
      <c r="U57" s="95"/>
      <c r="V57" s="95"/>
      <c r="W57" s="95"/>
      <c r="X57" s="95"/>
      <c r="Y57" s="95"/>
      <c r="Z57" s="95"/>
    </row>
    <row r="58" spans="1:26" ht="106" customHeight="1" x14ac:dyDescent="0.15">
      <c r="B58" s="478"/>
      <c r="C58" s="434"/>
      <c r="D58" s="439" t="str">
        <f>INDEX('imp-questions'!G:G, MATCH(A57, 'imp-questions'!A:A, 0))</f>
        <v>The organization promotes use of a single portal across different teams and business units
 The portal is used for timely information such as notification of security incidents, tool updates, architectural standard changes, and other related announcements
 The portal is widely recognized by developers and architects as a centralized repository of the organization-specific application security information
 All content is considered persistent and searchable
 The portal provides access to application-specific security metrics</v>
      </c>
      <c r="E58" s="441"/>
      <c r="F58" s="442"/>
      <c r="G58" s="143"/>
      <c r="H58" s="144"/>
      <c r="I58" s="507"/>
      <c r="J58" s="121"/>
      <c r="K58" s="95"/>
      <c r="L58" s="96"/>
      <c r="M58" s="96"/>
      <c r="N58" s="96"/>
      <c r="O58" s="96"/>
      <c r="P58" s="96"/>
      <c r="Q58" s="95"/>
      <c r="R58" s="95"/>
      <c r="S58" s="95"/>
      <c r="T58" s="95"/>
      <c r="U58" s="95"/>
      <c r="V58" s="95"/>
      <c r="W58" s="95"/>
      <c r="X58" s="95"/>
      <c r="Y58" s="95"/>
      <c r="Z58" s="95"/>
    </row>
    <row r="59" spans="1:26" ht="22.25" customHeight="1" x14ac:dyDescent="0.15">
      <c r="B59" s="556" t="s">
        <v>38</v>
      </c>
      <c r="C59" s="496"/>
      <c r="D59" s="496"/>
      <c r="E59" s="496"/>
      <c r="F59" s="496"/>
      <c r="G59" s="496"/>
      <c r="H59" s="496"/>
      <c r="I59" s="496"/>
      <c r="J59" s="496"/>
      <c r="K59" s="95"/>
      <c r="L59" s="96"/>
      <c r="M59" s="96"/>
      <c r="N59" s="96"/>
      <c r="O59" s="96"/>
      <c r="P59" s="96"/>
      <c r="Q59" s="95"/>
      <c r="R59" s="95"/>
      <c r="S59" s="95"/>
      <c r="T59" s="95"/>
      <c r="U59" s="95"/>
      <c r="V59" s="95"/>
      <c r="W59" s="95"/>
      <c r="X59" s="95"/>
      <c r="Y59" s="95"/>
      <c r="Z59" s="95"/>
    </row>
    <row r="60" spans="1:26" ht="14" x14ac:dyDescent="0.15">
      <c r="B60" s="486" t="s">
        <v>39</v>
      </c>
      <c r="C60" s="483"/>
      <c r="D60" s="484"/>
      <c r="E60" s="146"/>
      <c r="F60" s="145" t="s">
        <v>15</v>
      </c>
      <c r="G60" s="145"/>
      <c r="H60" s="147"/>
      <c r="I60" s="148" t="s">
        <v>16</v>
      </c>
      <c r="J60" s="148" t="s">
        <v>17</v>
      </c>
      <c r="K60" s="95"/>
      <c r="L60" s="96"/>
      <c r="M60" s="96"/>
      <c r="N60" s="96"/>
      <c r="O60" s="96"/>
      <c r="P60" s="96"/>
      <c r="Q60" s="95"/>
      <c r="R60" s="95"/>
      <c r="S60" s="95"/>
      <c r="T60" s="95"/>
      <c r="U60" s="95"/>
      <c r="V60" s="95"/>
      <c r="W60" s="95"/>
      <c r="X60" s="95"/>
      <c r="Y60" s="95"/>
      <c r="Z60" s="95"/>
    </row>
    <row r="61" spans="1:26" ht="12.75" customHeight="1" x14ac:dyDescent="0.15">
      <c r="A61" s="89" t="s">
        <v>40</v>
      </c>
      <c r="B61" s="488" t="str">
        <f>INDEX('imp-questions'!D:D, MATCH(A61, 'imp-questions'!A:A, 0))</f>
        <v>Application Risk Profile</v>
      </c>
      <c r="C61" s="149">
        <f>INDEX('imp-questions'!E:E, MATCH(A61, 'imp-questions'!A:A, 0))</f>
        <v>1</v>
      </c>
      <c r="D61" s="112" t="str">
        <f>INDEX('imp-questions'!F:F, MATCH(A61, 'imp-questions'!A:A, 0))</f>
        <v>Do you classify applications according to business risk based on a simple and predefined set of questions?</v>
      </c>
      <c r="E61" s="113" t="str">
        <f>CHAR(65+INDEX('imp-questions'!H:H, MATCH(A61, 'imp-questions'!A:A, 0)))</f>
        <v>B</v>
      </c>
      <c r="F61" s="150"/>
      <c r="G61" s="119">
        <f ca="1">IFERROR(INDEX(INDIRECT("Ans" &amp; E61 &amp; "TBL"), MATCH(F61, INDEX(INDIRECT("Ans" &amp; E61 &amp; "TBL"), 0, 1), 0), 2), 0)</f>
        <v>0</v>
      </c>
      <c r="H61" s="127">
        <f ca="1">IFERROR(AVERAGE(G61,G68),0)</f>
        <v>0</v>
      </c>
      <c r="I61" s="510"/>
      <c r="J61" s="473">
        <f ca="1">SUM(H61,H63,H65)</f>
        <v>0</v>
      </c>
      <c r="K61" s="95"/>
      <c r="L61" s="96"/>
      <c r="M61" s="96"/>
      <c r="N61" s="96"/>
      <c r="O61" s="96"/>
      <c r="P61" s="96"/>
      <c r="Q61" s="95"/>
      <c r="R61" s="95"/>
      <c r="S61" s="95"/>
      <c r="T61" s="95"/>
      <c r="U61" s="95"/>
      <c r="V61" s="95"/>
      <c r="W61" s="95"/>
      <c r="X61" s="95"/>
      <c r="Y61" s="95"/>
      <c r="Z61" s="95"/>
    </row>
    <row r="62" spans="1:26" ht="56" customHeight="1" x14ac:dyDescent="0.15">
      <c r="B62" s="489"/>
      <c r="C62" s="419"/>
      <c r="D62" s="420" t="str">
        <f>INDEX('imp-questions'!G:G, MATCH(A61, 'imp-questions'!A:A, 0))</f>
        <v>An agreed-upon risk classification exists
 The application team understands the risk classification
 The risk classification covers critical aspects of business risks the organization is facing
 The organization has an inventory for the applications in scope</v>
      </c>
      <c r="E62" s="421"/>
      <c r="F62" s="422"/>
      <c r="G62" s="116"/>
      <c r="H62" s="139"/>
      <c r="I62" s="511"/>
      <c r="J62" s="469"/>
      <c r="K62" s="95"/>
      <c r="L62" s="96"/>
      <c r="M62" s="96"/>
      <c r="N62" s="96"/>
      <c r="O62" s="96"/>
      <c r="P62" s="96"/>
      <c r="Q62" s="95"/>
      <c r="R62" s="95"/>
      <c r="S62" s="95"/>
      <c r="T62" s="95"/>
      <c r="U62" s="95"/>
      <c r="V62" s="95"/>
      <c r="W62" s="95"/>
      <c r="X62" s="95"/>
      <c r="Y62" s="95"/>
      <c r="Z62" s="95"/>
    </row>
    <row r="63" spans="1:26" ht="15" customHeight="1" x14ac:dyDescent="0.15">
      <c r="A63" s="89" t="s">
        <v>41</v>
      </c>
      <c r="B63" s="489"/>
      <c r="C63" s="149">
        <f>INDEX('imp-questions'!E:E, MATCH(A63, 'imp-questions'!A:A, 0))</f>
        <v>2</v>
      </c>
      <c r="D63" s="112" t="str">
        <f>INDEX('imp-questions'!F:F, MATCH(A63, 'imp-questions'!A:A, 0))</f>
        <v>Do you use centralized and quantified application risk profiles to evaluate business risk?</v>
      </c>
      <c r="E63" s="113" t="str">
        <f>CHAR(65+INDEX('imp-questions'!H:H, MATCH(A63, 'imp-questions'!A:A, 0)))</f>
        <v>A</v>
      </c>
      <c r="F63" s="151"/>
      <c r="G63" s="135">
        <f ca="1">IFERROR(INDEX(INDIRECT("Ans" &amp; E63 &amp; "TBL"), MATCH(F63, INDEX(INDIRECT("Ans" &amp; E63 &amp; "TBL"), 0, 1), 0), 2), 0)</f>
        <v>0</v>
      </c>
      <c r="H63" s="414">
        <f ca="1">IFERROR(AVERAGE(G63,G70),0)</f>
        <v>0</v>
      </c>
      <c r="I63" s="491"/>
      <c r="J63" s="141"/>
      <c r="K63" s="95"/>
      <c r="L63" s="96"/>
      <c r="M63" s="96"/>
      <c r="N63" s="96"/>
      <c r="O63" s="96"/>
      <c r="P63" s="96"/>
      <c r="Q63" s="95"/>
      <c r="R63" s="95"/>
      <c r="S63" s="95"/>
      <c r="T63" s="95"/>
      <c r="U63" s="95"/>
      <c r="V63" s="95"/>
      <c r="W63" s="95"/>
      <c r="X63" s="95"/>
      <c r="Y63" s="95"/>
      <c r="Z63" s="95"/>
    </row>
    <row r="64" spans="1:26" ht="56" customHeight="1" x14ac:dyDescent="0.15">
      <c r="B64" s="489"/>
      <c r="C64" s="419"/>
      <c r="D64" s="420" t="str">
        <f>INDEX('imp-questions'!G:G, MATCH(A63, 'imp-questions'!A:A, 0))</f>
        <v>The application risk profile is in line with the organizational risk standard
 The application risk profile covers impact to security and privacy
 You validate the quality of the risk profile manually and/or automatically
 The application risk profiles are stored in a central inventory</v>
      </c>
      <c r="E64" s="421"/>
      <c r="F64" s="423"/>
      <c r="G64" s="137"/>
      <c r="H64" s="456"/>
      <c r="I64" s="492"/>
      <c r="J64" s="141"/>
      <c r="K64" s="95"/>
      <c r="L64" s="96"/>
      <c r="M64" s="96"/>
      <c r="N64" s="96"/>
      <c r="O64" s="96"/>
      <c r="P64" s="96"/>
      <c r="Q64" s="95"/>
      <c r="R64" s="95"/>
      <c r="S64" s="95"/>
      <c r="T64" s="95"/>
      <c r="U64" s="95"/>
      <c r="V64" s="95"/>
      <c r="W64" s="95"/>
      <c r="X64" s="95"/>
      <c r="Y64" s="95"/>
      <c r="Z64" s="95"/>
    </row>
    <row r="65" spans="1:26" ht="15" customHeight="1" x14ac:dyDescent="0.15">
      <c r="A65" s="89" t="s">
        <v>42</v>
      </c>
      <c r="B65" s="489"/>
      <c r="C65" s="149">
        <f>INDEX('imp-questions'!E:E, MATCH(A65, 'imp-questions'!A:A, 0))</f>
        <v>3</v>
      </c>
      <c r="D65" s="112" t="str">
        <f>INDEX('imp-questions'!F:F, MATCH(A65, 'imp-questions'!A:A, 0))</f>
        <v>Do you regularly review and update the risk profiles for your applications?</v>
      </c>
      <c r="E65" s="113" t="str">
        <f>CHAR(65+INDEX('imp-questions'!H:H, MATCH(A65, 'imp-questions'!A:A, 0)))</f>
        <v>R</v>
      </c>
      <c r="F65" s="150"/>
      <c r="G65" s="152">
        <f ca="1">IFERROR(INDEX(INDIRECT("Ans" &amp; E65 &amp; "TBL"), MATCH(F65, INDEX(INDIRECT("Ans" &amp; E65 &amp; "TBL"), 0, 1), 0), 2), 0)</f>
        <v>0</v>
      </c>
      <c r="H65" s="127">
        <f ca="1">IFERROR(AVERAGE(G65,G72),0)</f>
        <v>0</v>
      </c>
      <c r="I65" s="554"/>
      <c r="J65" s="141"/>
      <c r="K65" s="95"/>
      <c r="L65" s="96"/>
      <c r="M65" s="96"/>
      <c r="N65" s="96"/>
      <c r="O65" s="96"/>
      <c r="P65" s="96"/>
      <c r="Q65" s="95"/>
      <c r="R65" s="95"/>
      <c r="S65" s="95"/>
      <c r="T65" s="95"/>
      <c r="U65" s="95"/>
      <c r="V65" s="95"/>
      <c r="W65" s="95"/>
      <c r="X65" s="95"/>
      <c r="Y65" s="95"/>
      <c r="Z65" s="95"/>
    </row>
    <row r="66" spans="1:26" ht="28" customHeight="1" x14ac:dyDescent="0.15">
      <c r="B66" s="490"/>
      <c r="C66" s="419"/>
      <c r="D66" s="420" t="str">
        <f>INDEX('imp-questions'!G:G, MATCH(A65, 'imp-questions'!A:A, 0))</f>
        <v>The organizational risk standard considers historical feedback to improve the evaluation method
 Significant changes in the application or business context trigger a review of the relevant risk profiles</v>
      </c>
      <c r="E66" s="421"/>
      <c r="F66" s="423"/>
      <c r="G66" s="137"/>
      <c r="H66" s="142"/>
      <c r="I66" s="471"/>
      <c r="J66" s="141"/>
      <c r="K66" s="95"/>
      <c r="L66" s="96"/>
      <c r="M66" s="96"/>
      <c r="N66" s="96"/>
      <c r="O66" s="96"/>
      <c r="P66" s="96"/>
      <c r="Q66" s="95"/>
      <c r="R66" s="95"/>
      <c r="S66" s="95"/>
      <c r="T66" s="95"/>
      <c r="U66" s="95"/>
      <c r="V66" s="95"/>
      <c r="W66" s="95"/>
      <c r="X66" s="95"/>
      <c r="Y66" s="95"/>
      <c r="Z66" s="95"/>
    </row>
    <row r="67" spans="1:26" x14ac:dyDescent="0.15">
      <c r="B67" s="123"/>
      <c r="C67" s="124"/>
      <c r="D67" s="125"/>
      <c r="E67" s="125"/>
      <c r="F67" s="125"/>
      <c r="G67" s="153"/>
      <c r="H67" s="153"/>
      <c r="I67" s="459"/>
      <c r="J67" s="121"/>
      <c r="K67" s="95"/>
      <c r="L67" s="96"/>
      <c r="M67" s="96"/>
      <c r="N67" s="96"/>
      <c r="O67" s="96"/>
      <c r="P67" s="96"/>
      <c r="Q67" s="95"/>
      <c r="R67" s="95"/>
      <c r="S67" s="95"/>
      <c r="T67" s="95"/>
      <c r="U67" s="95"/>
      <c r="V67" s="95"/>
      <c r="W67" s="95"/>
      <c r="X67" s="95"/>
      <c r="Y67" s="95"/>
      <c r="Z67" s="95"/>
    </row>
    <row r="68" spans="1:26" ht="15" customHeight="1" x14ac:dyDescent="0.15">
      <c r="A68" s="89" t="s">
        <v>43</v>
      </c>
      <c r="B68" s="552" t="str">
        <f>INDEX('imp-questions'!D:D, MATCH(A68, 'imp-questions'!A:A, 0))</f>
        <v>Threat Modeling</v>
      </c>
      <c r="C68" s="154">
        <f>INDEX('imp-questions'!E:E, MATCH(A68, 'imp-questions'!A:A, 0))</f>
        <v>1</v>
      </c>
      <c r="D68" s="112" t="str">
        <f>INDEX('imp-questions'!F:F, MATCH(A68, 'imp-questions'!A:A, 0))</f>
        <v>Do you identify and manage architectural design flaws with threat modeling?</v>
      </c>
      <c r="E68" s="113" t="str">
        <f>CHAR(65+INDEX('imp-questions'!H:H, MATCH(A68, 'imp-questions'!A:A, 0)))</f>
        <v>B</v>
      </c>
      <c r="F68" s="151"/>
      <c r="G68" s="135">
        <f ca="1">IFERROR(INDEX(INDIRECT("Ans" &amp; E68 &amp; "TBL"), MATCH(F68, INDEX(INDIRECT("Ans" &amp; E68 &amp; "TBL"), 0, 1), 0), 2), 0)</f>
        <v>0</v>
      </c>
      <c r="H68" s="457"/>
      <c r="I68" s="499"/>
      <c r="J68" s="94"/>
      <c r="K68" s="95"/>
      <c r="L68" s="96"/>
      <c r="M68" s="96"/>
      <c r="N68" s="96"/>
      <c r="O68" s="96"/>
      <c r="P68" s="96"/>
      <c r="Q68" s="95"/>
      <c r="R68" s="95"/>
      <c r="S68" s="95"/>
      <c r="T68" s="95"/>
      <c r="U68" s="95"/>
      <c r="V68" s="95"/>
      <c r="W68" s="95"/>
      <c r="X68" s="95"/>
      <c r="Y68" s="95"/>
      <c r="Z68" s="95"/>
    </row>
    <row r="69" spans="1:26" ht="42" customHeight="1" x14ac:dyDescent="0.15">
      <c r="B69" s="477"/>
      <c r="C69" s="419"/>
      <c r="D69" s="420" t="str">
        <f>INDEX('imp-questions'!G:G, MATCH(A68, 'imp-questions'!A:A, 0))</f>
        <v>You perform threat modeling for high-risk applications
 You use simple threat checklists, such as STRIDE
 You persist the outcome of a threat model for later use</v>
      </c>
      <c r="E69" s="421"/>
      <c r="F69" s="423"/>
      <c r="G69" s="137"/>
      <c r="H69" s="458"/>
      <c r="I69" s="492"/>
      <c r="J69" s="94"/>
      <c r="K69" s="95"/>
      <c r="L69" s="96"/>
      <c r="M69" s="96"/>
      <c r="N69" s="96"/>
      <c r="O69" s="96"/>
      <c r="P69" s="96"/>
      <c r="Q69" s="95"/>
      <c r="R69" s="95"/>
      <c r="S69" s="95"/>
      <c r="T69" s="95"/>
      <c r="U69" s="95"/>
      <c r="V69" s="95"/>
      <c r="W69" s="95"/>
      <c r="X69" s="95"/>
      <c r="Y69" s="95"/>
      <c r="Z69" s="95"/>
    </row>
    <row r="70" spans="1:26" ht="14" x14ac:dyDescent="0.15">
      <c r="A70" s="89" t="s">
        <v>44</v>
      </c>
      <c r="B70" s="477"/>
      <c r="C70" s="149">
        <f>INDEX('imp-questions'!E:E, MATCH(A70, 'imp-questions'!A:A, 0))</f>
        <v>2</v>
      </c>
      <c r="D70" s="112" t="str">
        <f>INDEX('imp-questions'!F:F, MATCH(A70, 'imp-questions'!A:A, 0))</f>
        <v>Do you use a standard methodology, aligned with your application risk levels?</v>
      </c>
      <c r="E70" s="113" t="str">
        <f>CHAR(65+INDEX('imp-questions'!H:H, MATCH(A70, 'imp-questions'!A:A, 0)))</f>
        <v>A</v>
      </c>
      <c r="F70" s="151"/>
      <c r="G70" s="135">
        <f ca="1">IFERROR(INDEX(INDIRECT("Ans" &amp; E70 &amp; "TBL"), MATCH(F70, INDEX(INDIRECT("Ans" &amp; E70 &amp; "TBL"), 0, 1), 0), 2), 0)</f>
        <v>0</v>
      </c>
      <c r="H70" s="457"/>
      <c r="I70" s="499"/>
      <c r="J70" s="94"/>
      <c r="K70" s="95"/>
      <c r="L70" s="96"/>
      <c r="M70" s="96"/>
      <c r="N70" s="96"/>
      <c r="O70" s="96"/>
      <c r="P70" s="96"/>
      <c r="Q70" s="95"/>
      <c r="R70" s="95"/>
      <c r="S70" s="95"/>
      <c r="T70" s="95"/>
      <c r="U70" s="95"/>
      <c r="V70" s="95"/>
      <c r="W70" s="95"/>
      <c r="X70" s="95"/>
      <c r="Y70" s="95"/>
      <c r="Z70" s="95"/>
    </row>
    <row r="71" spans="1:26" ht="70" customHeight="1" x14ac:dyDescent="0.15">
      <c r="B71" s="477"/>
      <c r="C71" s="419"/>
      <c r="D71" s="420" t="str">
        <f>INDEX('imp-questions'!G:G, MATCH(A70, 'imp-questions'!A:A, 0))</f>
        <v>You train your architects, security champions, and other stakeholders on how to do practical threat modeling
 Your threat modeling methodology includes at least diagramming, threat identification, design flaw mitigations, and how to validate your threat model artifacts
 Changes in the application or business context trigger a review of the relevant threat models
 You capture the threat modeling artifacts with tools used by your application teams</v>
      </c>
      <c r="E71" s="421"/>
      <c r="F71" s="423"/>
      <c r="G71" s="137"/>
      <c r="H71" s="458"/>
      <c r="I71" s="492"/>
      <c r="J71" s="94"/>
      <c r="K71" s="95"/>
      <c r="L71" s="96"/>
      <c r="M71" s="96"/>
      <c r="N71" s="96"/>
      <c r="O71" s="96"/>
      <c r="P71" s="96"/>
      <c r="Q71" s="95"/>
      <c r="R71" s="95"/>
      <c r="S71" s="95"/>
      <c r="T71" s="95"/>
      <c r="U71" s="95"/>
      <c r="V71" s="95"/>
      <c r="W71" s="95"/>
      <c r="X71" s="95"/>
      <c r="Y71" s="95"/>
      <c r="Z71" s="95"/>
    </row>
    <row r="72" spans="1:26" ht="14" x14ac:dyDescent="0.15">
      <c r="A72" s="89" t="s">
        <v>45</v>
      </c>
      <c r="B72" s="477"/>
      <c r="C72" s="149">
        <f>INDEX('imp-questions'!E:E, MATCH(A72, 'imp-questions'!A:A, 0))</f>
        <v>3</v>
      </c>
      <c r="D72" s="112" t="str">
        <f>INDEX('imp-questions'!F:F, MATCH(A72, 'imp-questions'!A:A, 0))</f>
        <v>Do you regularly review and update the threat modeling methodology for your applications?</v>
      </c>
      <c r="E72" s="113" t="str">
        <f>CHAR(65+INDEX('imp-questions'!H:H, MATCH(A72, 'imp-questions'!A:A, 0)))</f>
        <v>P</v>
      </c>
      <c r="F72" s="134"/>
      <c r="G72" s="135">
        <f ca="1">IFERROR(INDEX(INDIRECT("Ans" &amp; E72 &amp; "TBL"), MATCH(F72, INDEX(INDIRECT("Ans" &amp; E72 &amp; "TBL"), 0, 1), 0), 2), 0)</f>
        <v>0</v>
      </c>
      <c r="H72" s="457"/>
      <c r="I72" s="499"/>
      <c r="J72" s="94"/>
      <c r="K72" s="95"/>
      <c r="L72" s="96"/>
      <c r="M72" s="96"/>
      <c r="N72" s="96"/>
      <c r="O72" s="96"/>
      <c r="P72" s="96"/>
      <c r="Q72" s="95"/>
      <c r="R72" s="95"/>
      <c r="S72" s="95"/>
      <c r="T72" s="95"/>
      <c r="U72" s="95"/>
      <c r="V72" s="95"/>
      <c r="W72" s="95"/>
      <c r="X72" s="95"/>
      <c r="Y72" s="95"/>
      <c r="Z72" s="95"/>
    </row>
    <row r="73" spans="1:26" ht="42" customHeight="1" x14ac:dyDescent="0.15">
      <c r="B73" s="478"/>
      <c r="C73" s="419"/>
      <c r="D73" s="424" t="str">
        <f>INDEX('imp-questions'!G:G, MATCH(A72, 'imp-questions'!A:A, 0))</f>
        <v>The threat model methodology considers historical feedback for improvement
 You regularly (e.g., yearly) review the existing threat models to verify that no new threats are relevant for your applications
 You automate parts of your threat modeling process with threat modeling tools</v>
      </c>
      <c r="E73" s="421"/>
      <c r="F73" s="423"/>
      <c r="G73" s="137"/>
      <c r="H73" s="460"/>
      <c r="I73" s="492"/>
      <c r="J73" s="94"/>
      <c r="K73" s="95"/>
      <c r="L73" s="96"/>
      <c r="M73" s="96"/>
      <c r="N73" s="96"/>
      <c r="O73" s="96"/>
      <c r="P73" s="96"/>
      <c r="Q73" s="95"/>
      <c r="R73" s="95"/>
      <c r="S73" s="95"/>
      <c r="T73" s="95"/>
      <c r="U73" s="95"/>
      <c r="V73" s="95"/>
      <c r="W73" s="95"/>
      <c r="X73" s="95"/>
      <c r="Y73" s="95"/>
      <c r="Z73" s="95"/>
    </row>
    <row r="74" spans="1:26" ht="14" x14ac:dyDescent="0.15">
      <c r="B74" s="485" t="s">
        <v>46</v>
      </c>
      <c r="C74" s="480"/>
      <c r="D74" s="481"/>
      <c r="E74" s="157"/>
      <c r="F74" s="158" t="s">
        <v>15</v>
      </c>
      <c r="G74" s="159"/>
      <c r="H74" s="160"/>
      <c r="I74" s="462" t="s">
        <v>16</v>
      </c>
      <c r="J74" s="161" t="s">
        <v>17</v>
      </c>
      <c r="K74" s="95"/>
      <c r="L74" s="96"/>
      <c r="M74" s="96"/>
      <c r="N74" s="96"/>
      <c r="O74" s="96"/>
      <c r="P74" s="96"/>
      <c r="Q74" s="95"/>
      <c r="R74" s="95"/>
      <c r="S74" s="95"/>
      <c r="T74" s="95"/>
      <c r="U74" s="95"/>
      <c r="V74" s="95"/>
      <c r="W74" s="95"/>
      <c r="X74" s="95"/>
      <c r="Y74" s="95"/>
      <c r="Z74" s="95"/>
    </row>
    <row r="75" spans="1:26" ht="14" customHeight="1" x14ac:dyDescent="0.15">
      <c r="A75" s="89" t="s">
        <v>47</v>
      </c>
      <c r="B75" s="551" t="str">
        <f>INDEX('imp-questions'!D:D, MATCH(A75, 'imp-questions'!A:A, 0))</f>
        <v>Software Requirements</v>
      </c>
      <c r="C75" s="162">
        <f>INDEX('imp-questions'!E:E, MATCH(A75, 'imp-questions'!A:A, 0))</f>
        <v>1</v>
      </c>
      <c r="D75" s="131" t="str">
        <f>INDEX('imp-questions'!F:F, MATCH(A75, 'imp-questions'!A:A, 0))</f>
        <v>Do project teams specify security requirements during development?</v>
      </c>
      <c r="E75" s="113" t="str">
        <f>CHAR(65+INDEX('imp-questions'!H:H, MATCH(A75, 'imp-questions'!A:A, 0)))</f>
        <v>A</v>
      </c>
      <c r="F75" s="151"/>
      <c r="G75" s="135">
        <f ca="1">IFERROR(INDEX(INDIRECT("Ans" &amp; E75 &amp; "TBL"), MATCH(F75, INDEX(INDIRECT("Ans" &amp; E75 &amp; "TBL"), 0, 1), 0), 2), 0)</f>
        <v>0</v>
      </c>
      <c r="H75" s="414">
        <f ca="1">IFERROR(AVERAGE(G75,G82),0)</f>
        <v>0</v>
      </c>
      <c r="I75" s="491"/>
      <c r="J75" s="474">
        <f ca="1">SUM(H75,H77,H79)</f>
        <v>0</v>
      </c>
      <c r="K75" s="95"/>
      <c r="L75" s="96"/>
      <c r="M75" s="96"/>
      <c r="N75" s="96"/>
      <c r="O75" s="96"/>
      <c r="P75" s="96"/>
      <c r="Q75" s="95"/>
      <c r="R75" s="95"/>
      <c r="S75" s="95"/>
      <c r="T75" s="95"/>
      <c r="U75" s="95"/>
      <c r="V75" s="95"/>
      <c r="W75" s="95"/>
      <c r="X75" s="95"/>
      <c r="Y75" s="95"/>
      <c r="Z75" s="95"/>
    </row>
    <row r="76" spans="1:26" ht="42" customHeight="1" x14ac:dyDescent="0.15">
      <c r="B76" s="477"/>
      <c r="C76" s="419"/>
      <c r="D76" s="420" t="str">
        <f>INDEX('imp-questions'!G:G, MATCH(A75, 'imp-questions'!A:A, 0))</f>
        <v>Teams derive security requirements from functional requirements and customer or organization concerns
 Security requirements are specific, measurable, and reasonable
 Security requirements are in line with the organizational baseline</v>
      </c>
      <c r="E76" s="421"/>
      <c r="F76" s="423"/>
      <c r="G76" s="137"/>
      <c r="H76" s="461"/>
      <c r="I76" s="492"/>
      <c r="J76" s="475"/>
      <c r="K76" s="95"/>
      <c r="L76" s="96"/>
      <c r="M76" s="96"/>
      <c r="N76" s="96"/>
      <c r="O76" s="96"/>
      <c r="P76" s="96"/>
      <c r="Q76" s="95"/>
      <c r="R76" s="95"/>
      <c r="S76" s="95"/>
      <c r="T76" s="95"/>
      <c r="U76" s="95"/>
      <c r="V76" s="95"/>
      <c r="W76" s="95"/>
      <c r="X76" s="95"/>
      <c r="Y76" s="95"/>
      <c r="Z76" s="95"/>
    </row>
    <row r="77" spans="1:26" ht="14" x14ac:dyDescent="0.15">
      <c r="A77" s="89" t="s">
        <v>48</v>
      </c>
      <c r="B77" s="477"/>
      <c r="C77" s="149">
        <f>INDEX('imp-questions'!E:E, MATCH(A77, 'imp-questions'!A:A, 0))</f>
        <v>2</v>
      </c>
      <c r="D77" s="112" t="str">
        <f>INDEX('imp-questions'!F:F, MATCH(A77, 'imp-questions'!A:A, 0))</f>
        <v>Do you define, structure, and include prioritization in the artifacts of the security requirements gathering process?</v>
      </c>
      <c r="E77" s="113" t="str">
        <f>CHAR(65+INDEX('imp-questions'!H:H, MATCH(A77, 'imp-questions'!A:A, 0)))</f>
        <v>E</v>
      </c>
      <c r="F77" s="163"/>
      <c r="G77" s="135">
        <f ca="1">IFERROR(INDEX(INDIRECT("Ans" &amp; E77 &amp; "TBL"), MATCH(F77, INDEX(INDIRECT("Ans" &amp; E77 &amp; "TBL"), 0, 1), 0), 2), 0)</f>
        <v>0</v>
      </c>
      <c r="H77" s="414">
        <f ca="1">IFERROR(AVERAGE(G77,G84),0)</f>
        <v>0</v>
      </c>
      <c r="I77" s="491"/>
      <c r="J77" s="141"/>
      <c r="K77" s="95"/>
      <c r="L77" s="96"/>
      <c r="M77" s="96"/>
      <c r="N77" s="96"/>
      <c r="O77" s="96"/>
      <c r="P77" s="96"/>
      <c r="Q77" s="95"/>
      <c r="R77" s="95"/>
      <c r="S77" s="95"/>
      <c r="T77" s="95"/>
      <c r="U77" s="95"/>
      <c r="V77" s="95"/>
      <c r="W77" s="95"/>
      <c r="X77" s="95"/>
      <c r="Y77" s="95"/>
      <c r="Z77" s="95"/>
    </row>
    <row r="78" spans="1:26" ht="56" customHeight="1" x14ac:dyDescent="0.15">
      <c r="B78" s="477"/>
      <c r="C78" s="419"/>
      <c r="D78" s="420" t="str">
        <f>INDEX('imp-questions'!G:G, MATCH(A77, 'imp-questions'!A:A, 0))</f>
        <v>Security requirements take into consideration domain specific knowledge when applying policies and guidance to product development
 Domain experts are involved in the requirements definition process
 You have an agreed upon structured notation for security requirements
 Development teams have a security champion dedicated to reviewing security requirements and outcomes</v>
      </c>
      <c r="E78" s="421"/>
      <c r="F78" s="423"/>
      <c r="G78" s="137"/>
      <c r="H78" s="456"/>
      <c r="I78" s="492"/>
      <c r="J78" s="141"/>
      <c r="K78" s="95"/>
      <c r="L78" s="96"/>
      <c r="M78" s="96"/>
      <c r="N78" s="96"/>
      <c r="O78" s="96"/>
      <c r="P78" s="96"/>
      <c r="Q78" s="95"/>
      <c r="R78" s="95"/>
      <c r="S78" s="95"/>
      <c r="T78" s="95"/>
      <c r="U78" s="95"/>
      <c r="V78" s="95"/>
      <c r="W78" s="95"/>
      <c r="X78" s="95"/>
      <c r="Y78" s="95"/>
      <c r="Z78" s="95"/>
    </row>
    <row r="79" spans="1:26" ht="14" x14ac:dyDescent="0.15">
      <c r="A79" s="89" t="s">
        <v>49</v>
      </c>
      <c r="B79" s="477"/>
      <c r="C79" s="149">
        <f>INDEX('imp-questions'!E:E, MATCH(A79, 'imp-questions'!A:A, 0))</f>
        <v>3</v>
      </c>
      <c r="D79" s="112" t="str">
        <f>INDEX('imp-questions'!F:F, MATCH(A79, 'imp-questions'!A:A, 0))</f>
        <v>Do you use a standard requirements framework to streamline the elicitation of security requirements?</v>
      </c>
      <c r="E79" s="113" t="str">
        <f>CHAR(65+INDEX('imp-questions'!H:H, MATCH(A79, 'imp-questions'!A:A, 0)))</f>
        <v>A</v>
      </c>
      <c r="F79" s="151"/>
      <c r="G79" s="135">
        <f ca="1">IFERROR(INDEX(INDIRECT("Ans" &amp; E79 &amp; "TBL"), MATCH(F79, INDEX(INDIRECT("Ans" &amp; E79 &amp; "TBL"), 0, 1), 0), 2), 0)</f>
        <v>0</v>
      </c>
      <c r="H79" s="414">
        <f ca="1">IFERROR(AVERAGE(G79,G86),0)</f>
        <v>0</v>
      </c>
      <c r="I79" s="491"/>
      <c r="J79" s="141"/>
      <c r="K79" s="95"/>
      <c r="L79" s="96"/>
      <c r="M79" s="96"/>
      <c r="N79" s="96"/>
      <c r="O79" s="96"/>
      <c r="P79" s="96"/>
      <c r="Q79" s="95"/>
      <c r="R79" s="95"/>
      <c r="S79" s="95"/>
      <c r="T79" s="95"/>
      <c r="U79" s="95"/>
      <c r="V79" s="95"/>
      <c r="W79" s="95"/>
      <c r="X79" s="95"/>
      <c r="Y79" s="95"/>
      <c r="Z79" s="95"/>
    </row>
    <row r="80" spans="1:26" ht="56" customHeight="1" x14ac:dyDescent="0.15">
      <c r="B80" s="478"/>
      <c r="C80" s="419"/>
      <c r="D80" s="420" t="str">
        <f>INDEX('imp-questions'!G:G, MATCH(A79, 'imp-questions'!A:A, 0))</f>
        <v>A security requirements framework is available for project teams
 The framework is categorized by common requirements and standards-based requirements
 The framework gives clear guidance on the quality of requirements and how to describe them
 The framework is adaptable to specific business requirements</v>
      </c>
      <c r="E80" s="421"/>
      <c r="F80" s="423"/>
      <c r="G80" s="137"/>
      <c r="H80" s="456"/>
      <c r="I80" s="492"/>
      <c r="J80" s="141"/>
      <c r="K80" s="95"/>
      <c r="L80" s="96"/>
      <c r="M80" s="96"/>
      <c r="N80" s="96"/>
      <c r="O80" s="96"/>
      <c r="P80" s="96"/>
      <c r="Q80" s="95"/>
      <c r="R80" s="95"/>
      <c r="S80" s="95"/>
      <c r="T80" s="95"/>
      <c r="U80" s="95"/>
      <c r="V80" s="95"/>
      <c r="W80" s="95"/>
      <c r="X80" s="95"/>
      <c r="Y80" s="95"/>
      <c r="Z80" s="95"/>
    </row>
    <row r="81" spans="1:26" x14ac:dyDescent="0.15">
      <c r="B81" s="164"/>
      <c r="C81" s="124"/>
      <c r="D81" s="125"/>
      <c r="E81" s="125"/>
      <c r="F81" s="125"/>
      <c r="G81" s="153"/>
      <c r="H81" s="153"/>
      <c r="I81" s="463"/>
      <c r="J81" s="121"/>
      <c r="K81" s="95"/>
      <c r="L81" s="96"/>
      <c r="M81" s="96"/>
      <c r="N81" s="96"/>
      <c r="O81" s="96"/>
      <c r="P81" s="96"/>
      <c r="Q81" s="95"/>
      <c r="R81" s="95"/>
      <c r="S81" s="95"/>
      <c r="T81" s="95"/>
      <c r="U81" s="95"/>
      <c r="V81" s="95"/>
      <c r="W81" s="95"/>
      <c r="X81" s="95"/>
      <c r="Y81" s="95"/>
      <c r="Z81" s="95"/>
    </row>
    <row r="82" spans="1:26" ht="15" customHeight="1" x14ac:dyDescent="0.15">
      <c r="A82" s="89" t="s">
        <v>50</v>
      </c>
      <c r="B82" s="552" t="str">
        <f>INDEX('imp-questions'!D:D, MATCH(A82, 'imp-questions'!A:A, 0))</f>
        <v>Supplier Security</v>
      </c>
      <c r="C82" s="162">
        <f>INDEX('imp-questions'!E:E, MATCH(A82, 'imp-questions'!A:A, 0))</f>
        <v>1</v>
      </c>
      <c r="D82" s="112" t="str">
        <f>INDEX('imp-questions'!F:F, MATCH(A82, 'imp-questions'!A:A, 0))</f>
        <v>Do stakeholders review vendor collaborations for security requirements and methodology?</v>
      </c>
      <c r="E82" s="113" t="str">
        <f>CHAR(65+INDEX('imp-questions'!H:H, MATCH(A82, 'imp-questions'!A:A, 0)))</f>
        <v>E</v>
      </c>
      <c r="F82" s="163"/>
      <c r="G82" s="135">
        <f ca="1">IFERROR(INDEX(INDIRECT("Ans" &amp; E82 &amp; "TBL"), MATCH(F82, INDEX(INDIRECT("Ans" &amp; E82 &amp; "TBL"), 0, 1), 0), 2), 0)</f>
        <v>0</v>
      </c>
      <c r="H82" s="136"/>
      <c r="I82" s="493"/>
      <c r="J82" s="121"/>
      <c r="K82" s="95"/>
      <c r="L82" s="96"/>
      <c r="M82" s="96"/>
      <c r="N82" s="96"/>
      <c r="O82" s="96"/>
      <c r="P82" s="96"/>
      <c r="Q82" s="95"/>
      <c r="R82" s="95"/>
      <c r="S82" s="95"/>
      <c r="T82" s="95"/>
      <c r="U82" s="95"/>
      <c r="V82" s="95"/>
      <c r="W82" s="95"/>
      <c r="X82" s="95"/>
      <c r="Y82" s="95"/>
      <c r="Z82" s="95"/>
    </row>
    <row r="83" spans="1:26" ht="32" customHeight="1" x14ac:dyDescent="0.15">
      <c r="B83" s="477"/>
      <c r="C83" s="419"/>
      <c r="D83" s="420" t="str">
        <f>INDEX('imp-questions'!G:G, MATCH(A82, 'imp-questions'!A:A, 0))</f>
        <v>You consider including specific security requirements, activities, and processes when creating third-party agreements
 A vendor questionnaire is available and used to assess the strengths and weaknesses of your suppliers</v>
      </c>
      <c r="E83" s="421"/>
      <c r="F83" s="423"/>
      <c r="G83" s="137"/>
      <c r="H83" s="156"/>
      <c r="I83" s="494"/>
      <c r="J83" s="121"/>
      <c r="K83" s="95"/>
      <c r="L83" s="96"/>
      <c r="M83" s="96"/>
      <c r="N83" s="96"/>
      <c r="O83" s="96"/>
      <c r="P83" s="96"/>
      <c r="Q83" s="95"/>
      <c r="R83" s="95"/>
      <c r="S83" s="95"/>
      <c r="T83" s="95"/>
      <c r="U83" s="95"/>
      <c r="V83" s="95"/>
      <c r="W83" s="95"/>
      <c r="X83" s="95"/>
      <c r="Y83" s="95"/>
      <c r="Z83" s="95"/>
    </row>
    <row r="84" spans="1:26" ht="15" customHeight="1" x14ac:dyDescent="0.15">
      <c r="A84" s="89" t="s">
        <v>51</v>
      </c>
      <c r="B84" s="477"/>
      <c r="C84" s="149">
        <f>INDEX('imp-questions'!E:E, MATCH(A84, 'imp-questions'!A:A, 0))</f>
        <v>2</v>
      </c>
      <c r="D84" s="112" t="str">
        <f>INDEX('imp-questions'!F:F, MATCH(A84, 'imp-questions'!A:A, 0))</f>
        <v>Do vendors meet the security responsibilities and quality measures of service level agreements defined by the organization?</v>
      </c>
      <c r="E84" s="113" t="str">
        <f>CHAR(65+INDEX('imp-questions'!H:H, MATCH(A84, 'imp-questions'!A:A, 0)))</f>
        <v>E</v>
      </c>
      <c r="F84" s="163"/>
      <c r="G84" s="135">
        <f ca="1">IFERROR(INDEX(INDIRECT("Ans" &amp; E84 &amp; "TBL"), MATCH(F84, INDEX(INDIRECT("Ans" &amp; E84 &amp; "TBL"), 0, 1), 0), 2), 0)</f>
        <v>0</v>
      </c>
      <c r="H84" s="136"/>
      <c r="I84" s="493"/>
      <c r="J84" s="121"/>
      <c r="K84" s="95"/>
      <c r="L84" s="96"/>
      <c r="M84" s="96"/>
      <c r="N84" s="96"/>
      <c r="O84" s="96"/>
      <c r="P84" s="96"/>
      <c r="Q84" s="95"/>
      <c r="R84" s="95"/>
      <c r="S84" s="95"/>
      <c r="T84" s="95"/>
      <c r="U84" s="95"/>
      <c r="V84" s="95"/>
      <c r="W84" s="95"/>
      <c r="X84" s="95"/>
      <c r="Y84" s="95"/>
      <c r="Z84" s="95"/>
    </row>
    <row r="85" spans="1:26" ht="74" customHeight="1" x14ac:dyDescent="0.15">
      <c r="B85" s="477"/>
      <c r="C85" s="419"/>
      <c r="D85" s="420" t="str">
        <f>INDEX('imp-questions'!G:G, MATCH(A84, 'imp-questions'!A:A, 0))</f>
        <v>You discuss security requirements with the vendor when creating vendor agreements
 Vendor agreements provide specific guidance on security defect remediation within an agreed upon timeframe
 The organization has a templated agreement of responsibilities and service levels for key vendor security processes
 You measure key performance indicators</v>
      </c>
      <c r="E85" s="421"/>
      <c r="F85" s="423"/>
      <c r="G85" s="137"/>
      <c r="H85" s="156"/>
      <c r="I85" s="494"/>
      <c r="J85" s="121"/>
      <c r="K85" s="95"/>
      <c r="L85" s="96"/>
      <c r="M85" s="96"/>
      <c r="N85" s="96"/>
      <c r="O85" s="96"/>
      <c r="P85" s="96"/>
      <c r="Q85" s="95"/>
      <c r="R85" s="95"/>
      <c r="S85" s="95"/>
      <c r="T85" s="95"/>
      <c r="U85" s="95"/>
      <c r="V85" s="95"/>
      <c r="W85" s="95"/>
      <c r="X85" s="95"/>
      <c r="Y85" s="95"/>
      <c r="Z85" s="95"/>
    </row>
    <row r="86" spans="1:26" ht="28" customHeight="1" x14ac:dyDescent="0.15">
      <c r="A86" s="89" t="s">
        <v>52</v>
      </c>
      <c r="B86" s="477"/>
      <c r="C86" s="149">
        <f>INDEX('imp-questions'!E:E, MATCH(A86, 'imp-questions'!A:A, 0))</f>
        <v>3</v>
      </c>
      <c r="D86" s="112" t="str">
        <f>INDEX('imp-questions'!F:F, MATCH(A86, 'imp-questions'!A:A, 0))</f>
        <v>Are vendors aligned with standard security controls and software development tools and processes that the organization utilizes?</v>
      </c>
      <c r="E86" s="113" t="str">
        <f>CHAR(65+INDEX('imp-questions'!H:H, MATCH(A86, 'imp-questions'!A:A, 0)))</f>
        <v>E</v>
      </c>
      <c r="F86" s="163"/>
      <c r="G86" s="135">
        <f ca="1">IFERROR(INDEX(INDIRECT("Ans" &amp; E86 &amp; "TBL"), MATCH(F86, INDEX(INDIRECT("Ans" &amp; E86 &amp; "TBL"), 0, 1), 0), 2), 0)</f>
        <v>0</v>
      </c>
      <c r="H86" s="136"/>
      <c r="I86" s="493"/>
      <c r="J86" s="121"/>
      <c r="K86" s="95"/>
      <c r="L86" s="96"/>
      <c r="M86" s="96"/>
      <c r="N86" s="96"/>
      <c r="O86" s="96"/>
      <c r="P86" s="96"/>
      <c r="Q86" s="95"/>
      <c r="R86" s="95"/>
      <c r="S86" s="95"/>
      <c r="T86" s="95"/>
      <c r="U86" s="95"/>
      <c r="V86" s="95"/>
      <c r="W86" s="95"/>
      <c r="X86" s="95"/>
      <c r="Y86" s="95"/>
      <c r="Z86" s="95"/>
    </row>
    <row r="87" spans="1:26" ht="72" customHeight="1" x14ac:dyDescent="0.15">
      <c r="B87" s="478"/>
      <c r="C87" s="419"/>
      <c r="D87" s="424" t="str">
        <f>INDEX('imp-questions'!G:G, MATCH(A86, 'imp-questions'!A:A, 0))</f>
        <v>The vendor has a secure SDLC that includes secure build, secure deployment, defect management, and incident management, meets the security expectations of your organization, and is able to demonstrate operating effectiveness of practices.
 You verify the solution meets quality and security objectives before every major release
 When standard verification processes are not available, you use compensating controls such as software composition analysis and independent penetration testing</v>
      </c>
      <c r="E87" s="421"/>
      <c r="F87" s="423"/>
      <c r="G87" s="137"/>
      <c r="H87" s="138"/>
      <c r="I87" s="494"/>
      <c r="J87" s="121"/>
      <c r="K87" s="95"/>
      <c r="L87" s="96"/>
      <c r="M87" s="96"/>
      <c r="N87" s="96"/>
      <c r="O87" s="96"/>
      <c r="P87" s="96"/>
      <c r="Q87" s="95"/>
      <c r="R87" s="95"/>
      <c r="S87" s="95"/>
      <c r="T87" s="95"/>
      <c r="U87" s="95"/>
      <c r="V87" s="95"/>
      <c r="W87" s="95"/>
      <c r="X87" s="95"/>
      <c r="Y87" s="95"/>
      <c r="Z87" s="95"/>
    </row>
    <row r="88" spans="1:26" ht="14" x14ac:dyDescent="0.15">
      <c r="B88" s="485" t="s">
        <v>53</v>
      </c>
      <c r="C88" s="480"/>
      <c r="D88" s="481"/>
      <c r="E88" s="157"/>
      <c r="F88" s="158" t="s">
        <v>15</v>
      </c>
      <c r="G88" s="159"/>
      <c r="H88" s="160"/>
      <c r="I88" s="464" t="s">
        <v>16</v>
      </c>
      <c r="J88" s="161" t="s">
        <v>17</v>
      </c>
      <c r="K88" s="95"/>
      <c r="L88" s="96"/>
      <c r="M88" s="96"/>
      <c r="N88" s="96"/>
      <c r="O88" s="96"/>
      <c r="P88" s="96"/>
      <c r="Q88" s="95"/>
      <c r="R88" s="95"/>
      <c r="S88" s="95"/>
      <c r="T88" s="95"/>
      <c r="U88" s="95"/>
      <c r="V88" s="95"/>
      <c r="W88" s="95"/>
      <c r="X88" s="95"/>
      <c r="Y88" s="95"/>
      <c r="Z88" s="95"/>
    </row>
    <row r="89" spans="1:26" ht="14" customHeight="1" x14ac:dyDescent="0.15">
      <c r="A89" s="89" t="s">
        <v>54</v>
      </c>
      <c r="B89" s="551" t="str">
        <f>INDEX('imp-questions'!D:D, MATCH(A89, 'imp-questions'!A:A, 0))</f>
        <v>Architecture Design</v>
      </c>
      <c r="C89" s="162">
        <f>INDEX('imp-questions'!E:E, MATCH(A89, 'imp-questions'!A:A, 0))</f>
        <v>1</v>
      </c>
      <c r="D89" s="131" t="str">
        <f>INDEX('imp-questions'!F:F, MATCH(A89, 'imp-questions'!A:A, 0))</f>
        <v>Do teams use security principles during design?</v>
      </c>
      <c r="E89" s="113" t="str">
        <f>CHAR(65+INDEX('imp-questions'!H:H, MATCH(A89, 'imp-questions'!A:A, 0)))</f>
        <v>A</v>
      </c>
      <c r="F89" s="151"/>
      <c r="G89" s="135">
        <f ca="1">IFERROR(INDEX(INDIRECT("Ans" &amp; E89 &amp; "TBL"), MATCH(F89, INDEX(INDIRECT("Ans" &amp; E89 &amp; "TBL"), 0, 1), 0), 2), 0)</f>
        <v>0</v>
      </c>
      <c r="H89" s="414">
        <f ca="1">IFERROR(AVERAGE(G89,G96),0)</f>
        <v>0</v>
      </c>
      <c r="I89" s="491"/>
      <c r="J89" s="474">
        <f ca="1">SUM(H89,H91,H93)</f>
        <v>0</v>
      </c>
      <c r="K89" s="95"/>
      <c r="L89" s="96"/>
      <c r="M89" s="96"/>
      <c r="N89" s="96"/>
      <c r="O89" s="96"/>
      <c r="P89" s="96"/>
      <c r="Q89" s="95"/>
      <c r="R89" s="95"/>
      <c r="S89" s="95"/>
      <c r="T89" s="95"/>
      <c r="U89" s="95"/>
      <c r="V89" s="95"/>
      <c r="W89" s="95"/>
      <c r="X89" s="95"/>
      <c r="Y89" s="95"/>
      <c r="Z89" s="95"/>
    </row>
    <row r="90" spans="1:26" ht="42" customHeight="1" x14ac:dyDescent="0.15">
      <c r="B90" s="477"/>
      <c r="C90" s="419"/>
      <c r="D90" s="420" t="str">
        <f>INDEX('imp-questions'!G:G, MATCH(A89, 'imp-questions'!A:A, 0))</f>
        <v>You have an agreed upon checklist of security principles
 You store your checklist in an accessible location
 Relevant stakeholders understand security principles</v>
      </c>
      <c r="E90" s="421"/>
      <c r="F90" s="423"/>
      <c r="G90" s="137"/>
      <c r="H90" s="461"/>
      <c r="I90" s="492"/>
      <c r="J90" s="475"/>
      <c r="K90" s="95"/>
      <c r="L90" s="96"/>
      <c r="M90" s="96"/>
      <c r="N90" s="96"/>
      <c r="O90" s="96"/>
      <c r="P90" s="96"/>
      <c r="Q90" s="95"/>
      <c r="R90" s="95"/>
      <c r="S90" s="95"/>
      <c r="T90" s="95"/>
      <c r="U90" s="95"/>
      <c r="V90" s="95"/>
      <c r="W90" s="95"/>
      <c r="X90" s="95"/>
      <c r="Y90" s="95"/>
      <c r="Z90" s="95"/>
    </row>
    <row r="91" spans="1:26" ht="14" x14ac:dyDescent="0.15">
      <c r="A91" s="89" t="s">
        <v>55</v>
      </c>
      <c r="B91" s="477"/>
      <c r="C91" s="149">
        <f>INDEX('imp-questions'!E:E, MATCH(A91, 'imp-questions'!A:A, 0))</f>
        <v>2</v>
      </c>
      <c r="D91" s="112" t="str">
        <f>INDEX('imp-questions'!F:F, MATCH(A91, 'imp-questions'!A:A, 0))</f>
        <v>Do you use shared security services during design?</v>
      </c>
      <c r="E91" s="113" t="str">
        <f>CHAR(65+INDEX('imp-questions'!H:H, MATCH(A91, 'imp-questions'!A:A, 0)))</f>
        <v>A</v>
      </c>
      <c r="F91" s="151"/>
      <c r="G91" s="135">
        <f ca="1">IFERROR(INDEX(INDIRECT("Ans" &amp; E91 &amp; "TBL"), MATCH(F91, INDEX(INDIRECT("Ans" &amp; E91 &amp; "TBL"), 0, 1), 0), 2), 0)</f>
        <v>0</v>
      </c>
      <c r="H91" s="414">
        <f ca="1">IFERROR(AVERAGE(G91,G98),0)</f>
        <v>0</v>
      </c>
      <c r="I91" s="491"/>
      <c r="J91" s="141"/>
      <c r="K91" s="95"/>
      <c r="L91" s="96"/>
      <c r="M91" s="96"/>
      <c r="N91" s="96"/>
      <c r="O91" s="96"/>
      <c r="P91" s="96"/>
      <c r="Q91" s="95"/>
      <c r="R91" s="95"/>
      <c r="S91" s="95"/>
      <c r="T91" s="95"/>
      <c r="U91" s="95"/>
      <c r="V91" s="95"/>
      <c r="W91" s="95"/>
      <c r="X91" s="95"/>
      <c r="Y91" s="95"/>
      <c r="Z91" s="95"/>
    </row>
    <row r="92" spans="1:26" ht="42" customHeight="1" x14ac:dyDescent="0.15">
      <c r="B92" s="477"/>
      <c r="C92" s="419"/>
      <c r="D92" s="420" t="str">
        <f>INDEX('imp-questions'!G:G, MATCH(A91, 'imp-questions'!A:A, 0))</f>
        <v>You have a documented list of reusable security services, available to relevant stakeholders
 You have reviewed the baseline security posture for each selected service
 Your designers are trained to integrate each selected service following available guidance</v>
      </c>
      <c r="E92" s="421"/>
      <c r="F92" s="423"/>
      <c r="G92" s="137"/>
      <c r="H92" s="456"/>
      <c r="I92" s="492"/>
      <c r="J92" s="141"/>
      <c r="K92" s="95"/>
      <c r="L92" s="96"/>
      <c r="M92" s="96"/>
      <c r="N92" s="96"/>
      <c r="O92" s="96"/>
      <c r="P92" s="96"/>
      <c r="Q92" s="95"/>
      <c r="R92" s="95"/>
      <c r="S92" s="95"/>
      <c r="T92" s="95"/>
      <c r="U92" s="95"/>
      <c r="V92" s="95"/>
      <c r="W92" s="95"/>
      <c r="X92" s="95"/>
      <c r="Y92" s="95"/>
      <c r="Z92" s="95"/>
    </row>
    <row r="93" spans="1:26" ht="14" x14ac:dyDescent="0.15">
      <c r="A93" s="89" t="s">
        <v>56</v>
      </c>
      <c r="B93" s="477"/>
      <c r="C93" s="149">
        <f>INDEX('imp-questions'!E:E, MATCH(A93, 'imp-questions'!A:A, 0))</f>
        <v>3</v>
      </c>
      <c r="D93" s="112" t="str">
        <f>INDEX('imp-questions'!F:F, MATCH(A93, 'imp-questions'!A:A, 0))</f>
        <v>Do you base your design on available reference architectures?</v>
      </c>
      <c r="E93" s="113" t="str">
        <f>CHAR(65+INDEX('imp-questions'!H:H, MATCH(A93, 'imp-questions'!A:A, 0)))</f>
        <v>A</v>
      </c>
      <c r="F93" s="151"/>
      <c r="G93" s="135">
        <f ca="1">IFERROR(INDEX(INDIRECT("Ans" &amp; E93 &amp; "TBL"), MATCH(F93, INDEX(INDIRECT("Ans" &amp; E93 &amp; "TBL"), 0, 1), 0), 2), 0)</f>
        <v>0</v>
      </c>
      <c r="H93" s="414">
        <f ca="1">IFERROR(AVERAGE(G93,G100),0)</f>
        <v>0</v>
      </c>
      <c r="I93" s="491"/>
      <c r="J93" s="141"/>
      <c r="K93" s="95"/>
      <c r="L93" s="96"/>
      <c r="M93" s="96"/>
      <c r="N93" s="96"/>
      <c r="O93" s="96"/>
      <c r="P93" s="96"/>
      <c r="Q93" s="95"/>
      <c r="R93" s="95"/>
      <c r="S93" s="95"/>
      <c r="T93" s="95"/>
      <c r="U93" s="95"/>
      <c r="V93" s="95"/>
      <c r="W93" s="95"/>
      <c r="X93" s="95"/>
      <c r="Y93" s="95"/>
      <c r="Z93" s="95"/>
    </row>
    <row r="94" spans="1:26" ht="42" customHeight="1" x14ac:dyDescent="0.15">
      <c r="B94" s="478"/>
      <c r="C94" s="419"/>
      <c r="D94" s="420" t="str">
        <f>INDEX('imp-questions'!G:G, MATCH(A93, 'imp-questions'!A:A, 0))</f>
        <v>You have one or more approved reference architectures documented and available to stakeholders
 You improve the reference architectures continuously based on insights and best practices
 You provide a set of components, libraries, and tools to implement each reference architecture</v>
      </c>
      <c r="E94" s="421"/>
      <c r="F94" s="423"/>
      <c r="G94" s="137"/>
      <c r="H94" s="456"/>
      <c r="I94" s="492"/>
      <c r="J94" s="141"/>
      <c r="K94" s="95"/>
      <c r="L94" s="96"/>
      <c r="M94" s="96"/>
      <c r="N94" s="96"/>
      <c r="O94" s="96"/>
      <c r="P94" s="96"/>
      <c r="Q94" s="95"/>
      <c r="R94" s="95"/>
      <c r="S94" s="95"/>
      <c r="T94" s="95"/>
      <c r="U94" s="95"/>
      <c r="V94" s="95"/>
      <c r="W94" s="95"/>
      <c r="X94" s="95"/>
      <c r="Y94" s="95"/>
      <c r="Z94" s="95"/>
    </row>
    <row r="95" spans="1:26" x14ac:dyDescent="0.15">
      <c r="B95" s="164"/>
      <c r="C95" s="124"/>
      <c r="D95" s="125"/>
      <c r="E95" s="125"/>
      <c r="F95" s="125"/>
      <c r="G95" s="153"/>
      <c r="H95" s="153"/>
      <c r="I95" s="459"/>
      <c r="J95" s="121"/>
      <c r="K95" s="95"/>
      <c r="L95" s="96"/>
      <c r="M95" s="96"/>
      <c r="N95" s="96"/>
      <c r="O95" s="96"/>
      <c r="P95" s="96"/>
      <c r="Q95" s="95"/>
      <c r="R95" s="95"/>
      <c r="S95" s="95"/>
      <c r="T95" s="95"/>
      <c r="U95" s="95"/>
      <c r="V95" s="95"/>
      <c r="W95" s="95"/>
      <c r="X95" s="95"/>
      <c r="Y95" s="95"/>
      <c r="Z95" s="95"/>
    </row>
    <row r="96" spans="1:26" ht="15" customHeight="1" x14ac:dyDescent="0.15">
      <c r="A96" s="89" t="s">
        <v>57</v>
      </c>
      <c r="B96" s="552" t="str">
        <f>INDEX('imp-questions'!D:D, MATCH(A96, 'imp-questions'!A:A, 0))</f>
        <v>Technology Management</v>
      </c>
      <c r="C96" s="162">
        <f>INDEX('imp-questions'!E:E, MATCH(A96, 'imp-questions'!A:A, 0))</f>
        <v>1</v>
      </c>
      <c r="D96" s="112" t="str">
        <f>INDEX('imp-questions'!F:F, MATCH(A96, 'imp-questions'!A:A, 0))</f>
        <v>Do you evaluate the security quality of important technologies used for development?</v>
      </c>
      <c r="E96" s="113" t="str">
        <f>CHAR(65+INDEX('imp-questions'!H:H, MATCH(A96, 'imp-questions'!A:A, 0)))</f>
        <v>A</v>
      </c>
      <c r="F96" s="151"/>
      <c r="G96" s="135">
        <f ca="1">IFERROR(INDEX(INDIRECT("Ans" &amp; E96 &amp; "TBL"), MATCH(F96, INDEX(INDIRECT("Ans" &amp; E96 &amp; "TBL"), 0, 1), 0), 2), 0)</f>
        <v>0</v>
      </c>
      <c r="H96" s="457"/>
      <c r="I96" s="499"/>
      <c r="J96" s="94"/>
      <c r="K96" s="95"/>
      <c r="L96" s="96"/>
      <c r="M96" s="96"/>
      <c r="N96" s="96"/>
      <c r="O96" s="96"/>
      <c r="P96" s="96"/>
      <c r="Q96" s="95"/>
      <c r="R96" s="95"/>
      <c r="S96" s="95"/>
      <c r="T96" s="95"/>
      <c r="U96" s="95"/>
      <c r="V96" s="95"/>
      <c r="W96" s="95"/>
      <c r="X96" s="95"/>
      <c r="Y96" s="95"/>
      <c r="Z96" s="95"/>
    </row>
    <row r="97" spans="1:26" ht="42" customHeight="1" x14ac:dyDescent="0.15">
      <c r="B97" s="477"/>
      <c r="C97" s="419"/>
      <c r="D97" s="420" t="str">
        <f>INDEX('imp-questions'!G:G, MATCH(A96, 'imp-questions'!A:A, 0))</f>
        <v>You have a list of the most important technologies used in, or in support of, each application
 You identify and track technological risks
 You ensure the risks to these technologies are in line with the organizational baseline</v>
      </c>
      <c r="E97" s="421"/>
      <c r="F97" s="423"/>
      <c r="G97" s="137"/>
      <c r="H97" s="458"/>
      <c r="I97" s="492"/>
      <c r="J97" s="94"/>
      <c r="K97" s="95"/>
      <c r="L97" s="96"/>
      <c r="M97" s="96"/>
      <c r="N97" s="96"/>
      <c r="O97" s="96"/>
      <c r="P97" s="96"/>
      <c r="Q97" s="95"/>
      <c r="R97" s="95"/>
      <c r="S97" s="95"/>
      <c r="T97" s="95"/>
      <c r="U97" s="95"/>
      <c r="V97" s="95"/>
      <c r="W97" s="95"/>
      <c r="X97" s="95"/>
      <c r="Y97" s="95"/>
      <c r="Z97" s="95"/>
    </row>
    <row r="98" spans="1:26" ht="14" x14ac:dyDescent="0.15">
      <c r="A98" s="89" t="s">
        <v>58</v>
      </c>
      <c r="B98" s="477"/>
      <c r="C98" s="149">
        <f>INDEX('imp-questions'!E:E, MATCH(A98, 'imp-questions'!A:A, 0))</f>
        <v>2</v>
      </c>
      <c r="D98" s="112" t="str">
        <f>INDEX('imp-questions'!F:F, MATCH(A98, 'imp-questions'!A:A, 0))</f>
        <v>Do you have a list of recommended technologies for the organization?</v>
      </c>
      <c r="E98" s="113" t="str">
        <f>CHAR(65+INDEX('imp-questions'!H:H, MATCH(A98, 'imp-questions'!A:A, 0)))</f>
        <v>M</v>
      </c>
      <c r="F98" s="163"/>
      <c r="G98" s="135">
        <f ca="1">IFERROR(INDEX(INDIRECT("Ans" &amp; E98 &amp; "TBL"), MATCH(F98, INDEX(INDIRECT("Ans" &amp; E98 &amp; "TBL"), 0, 1), 0), 2), 0)</f>
        <v>0</v>
      </c>
      <c r="H98" s="457"/>
      <c r="I98" s="499"/>
      <c r="J98" s="94"/>
      <c r="K98" s="95"/>
      <c r="L98" s="96"/>
      <c r="M98" s="96"/>
      <c r="N98" s="96"/>
      <c r="O98" s="96"/>
      <c r="P98" s="96"/>
      <c r="Q98" s="95"/>
      <c r="R98" s="95"/>
      <c r="S98" s="95"/>
      <c r="T98" s="95"/>
      <c r="U98" s="95"/>
      <c r="V98" s="95"/>
      <c r="W98" s="95"/>
      <c r="X98" s="95"/>
      <c r="Y98" s="95"/>
      <c r="Z98" s="95"/>
    </row>
    <row r="99" spans="1:26" ht="56" customHeight="1" x14ac:dyDescent="0.15">
      <c r="B99" s="477"/>
      <c r="C99" s="419"/>
      <c r="D99" s="420" t="str">
        <f>INDEX('imp-questions'!G:G, MATCH(A98, 'imp-questions'!A:A, 0))</f>
        <v>The list is based on technologies used in the software portfolio
 Lead architects and developers review and approve the list
 You share the list across the organization
 You review and update the list at least yearly</v>
      </c>
      <c r="E99" s="421"/>
      <c r="F99" s="423"/>
      <c r="G99" s="137"/>
      <c r="H99" s="458"/>
      <c r="I99" s="492"/>
      <c r="J99" s="94"/>
      <c r="K99" s="95"/>
      <c r="L99" s="96"/>
      <c r="M99" s="96"/>
      <c r="N99" s="96"/>
      <c r="O99" s="96"/>
      <c r="P99" s="96"/>
      <c r="Q99" s="95"/>
      <c r="R99" s="95"/>
      <c r="S99" s="95"/>
      <c r="T99" s="95"/>
      <c r="U99" s="95"/>
      <c r="V99" s="95"/>
      <c r="W99" s="95"/>
      <c r="X99" s="95"/>
      <c r="Y99" s="95"/>
      <c r="Z99" s="95"/>
    </row>
    <row r="100" spans="1:26" ht="14" x14ac:dyDescent="0.15">
      <c r="A100" s="89" t="s">
        <v>59</v>
      </c>
      <c r="B100" s="477"/>
      <c r="C100" s="149">
        <f>INDEX('imp-questions'!E:E, MATCH(A100, 'imp-questions'!A:A, 0))</f>
        <v>3</v>
      </c>
      <c r="D100" s="112" t="str">
        <f>INDEX('imp-questions'!F:F, MATCH(A100, 'imp-questions'!A:A, 0))</f>
        <v>Do you enforce the use of recommended technologies within the organization?</v>
      </c>
      <c r="E100" s="113" t="str">
        <f>CHAR(65+INDEX('imp-questions'!H:H, MATCH(A100, 'imp-questions'!A:A, 0)))</f>
        <v>A</v>
      </c>
      <c r="F100" s="151"/>
      <c r="G100" s="135">
        <f ca="1">IFERROR(INDEX(INDIRECT("Ans" &amp; E100 &amp; "TBL"), MATCH(F100, INDEX(INDIRECT("Ans" &amp; E100 &amp; "TBL"), 0, 1), 0), 2), 0)</f>
        <v>0</v>
      </c>
      <c r="H100" s="457"/>
      <c r="I100" s="499"/>
      <c r="J100" s="94"/>
      <c r="K100" s="95"/>
      <c r="L100" s="96"/>
      <c r="M100" s="96"/>
      <c r="N100" s="96"/>
      <c r="O100" s="96"/>
      <c r="P100" s="96"/>
      <c r="Q100" s="95"/>
      <c r="R100" s="95"/>
      <c r="S100" s="95"/>
      <c r="T100" s="95"/>
      <c r="U100" s="95"/>
      <c r="V100" s="95"/>
      <c r="W100" s="95"/>
      <c r="X100" s="95"/>
      <c r="Y100" s="95"/>
      <c r="Z100" s="95"/>
    </row>
    <row r="101" spans="1:26" ht="42" customHeight="1" x14ac:dyDescent="0.15">
      <c r="B101" s="478"/>
      <c r="C101" s="419"/>
      <c r="D101" s="424" t="str">
        <f>INDEX('imp-questions'!G:G, MATCH(A100, 'imp-questions'!A:A, 0))</f>
        <v>You monitor applications regularly for the correct use of the recommended technologies
 You solve violations against the list accoranding to organizational policies
 You take action if the number of violations falls outside the yearly objectives</v>
      </c>
      <c r="E101" s="425"/>
      <c r="F101" s="426"/>
      <c r="G101" s="166"/>
      <c r="H101" s="458"/>
      <c r="I101" s="492"/>
      <c r="J101" s="94"/>
      <c r="K101" s="95"/>
      <c r="L101" s="96"/>
      <c r="M101" s="96"/>
      <c r="N101" s="96"/>
      <c r="O101" s="96"/>
      <c r="P101" s="96"/>
      <c r="Q101" s="95"/>
      <c r="R101" s="95"/>
      <c r="S101" s="95"/>
      <c r="T101" s="95"/>
      <c r="U101" s="95"/>
      <c r="V101" s="95"/>
      <c r="W101" s="95"/>
      <c r="X101" s="95"/>
      <c r="Y101" s="95"/>
      <c r="Z101" s="95"/>
    </row>
    <row r="102" spans="1:26" ht="22.25" customHeight="1" x14ac:dyDescent="0.15">
      <c r="B102" s="495" t="s">
        <v>60</v>
      </c>
      <c r="C102" s="496"/>
      <c r="D102" s="496"/>
      <c r="E102" s="496"/>
      <c r="F102" s="496"/>
      <c r="G102" s="496"/>
      <c r="H102" s="496"/>
      <c r="I102" s="496"/>
      <c r="J102" s="496"/>
      <c r="K102" s="95"/>
      <c r="L102" s="96"/>
      <c r="M102" s="96"/>
      <c r="N102" s="96"/>
      <c r="O102" s="96"/>
      <c r="P102" s="96"/>
      <c r="Q102" s="95"/>
      <c r="R102" s="95"/>
      <c r="S102" s="95"/>
      <c r="T102" s="95"/>
      <c r="U102" s="95"/>
      <c r="V102" s="95"/>
      <c r="W102" s="95"/>
      <c r="X102" s="95"/>
      <c r="Y102" s="95"/>
      <c r="Z102" s="95"/>
    </row>
    <row r="103" spans="1:26" ht="14" x14ac:dyDescent="0.15">
      <c r="B103" s="497" t="s">
        <v>61</v>
      </c>
      <c r="C103" s="483"/>
      <c r="D103" s="484"/>
      <c r="E103" s="168"/>
      <c r="F103" s="167" t="s">
        <v>15</v>
      </c>
      <c r="G103" s="169"/>
      <c r="H103" s="170"/>
      <c r="I103" s="466" t="s">
        <v>16</v>
      </c>
      <c r="J103" s="171" t="s">
        <v>17</v>
      </c>
      <c r="K103" s="95"/>
      <c r="L103" s="96"/>
      <c r="M103" s="96"/>
      <c r="N103" s="96"/>
      <c r="O103" s="96"/>
      <c r="P103" s="96"/>
      <c r="Q103" s="95"/>
      <c r="R103" s="95"/>
      <c r="S103" s="95"/>
      <c r="T103" s="95"/>
      <c r="U103" s="95"/>
      <c r="V103" s="95"/>
      <c r="W103" s="95"/>
      <c r="X103" s="95"/>
      <c r="Y103" s="95"/>
      <c r="Z103" s="95"/>
    </row>
    <row r="104" spans="1:26" ht="14" x14ac:dyDescent="0.15">
      <c r="A104" s="89" t="s">
        <v>62</v>
      </c>
      <c r="B104" s="498" t="str">
        <f>INDEX('imp-questions'!D:D, MATCH(A104, 'imp-questions'!A:A, 0))</f>
        <v>Build Process</v>
      </c>
      <c r="C104" s="172">
        <f>INDEX('imp-questions'!E:E, MATCH(A104, 'imp-questions'!A:A, 0))</f>
        <v>1</v>
      </c>
      <c r="D104" s="112" t="str">
        <f>INDEX('imp-questions'!F:F, MATCH(A104, 'imp-questions'!A:A, 0))</f>
        <v>Is your full build process formally described?</v>
      </c>
      <c r="E104" s="113" t="str">
        <f>CHAR(65+INDEX('imp-questions'!H:H, MATCH(A104, 'imp-questions'!A:A, 0)))</f>
        <v>A</v>
      </c>
      <c r="F104" s="151"/>
      <c r="G104" s="135">
        <f ca="1">IFERROR(INDEX(INDIRECT("Ans" &amp; E104 &amp; "TBL"), MATCH(F104, INDEX(INDIRECT("Ans" &amp; E104 &amp; "TBL"), 0, 1), 0), 2), 0)</f>
        <v>0</v>
      </c>
      <c r="H104" s="414">
        <f ca="1">IFERROR(AVERAGE(G104,G111),0)</f>
        <v>0</v>
      </c>
      <c r="I104" s="491"/>
      <c r="J104" s="520">
        <f ca="1">SUM(H104,H106,H108)</f>
        <v>0</v>
      </c>
      <c r="K104" s="95"/>
      <c r="L104" s="96"/>
      <c r="M104" s="96"/>
      <c r="N104" s="96"/>
      <c r="O104" s="96"/>
      <c r="P104" s="96"/>
      <c r="Q104" s="95"/>
      <c r="R104" s="95"/>
      <c r="S104" s="95"/>
      <c r="T104" s="95"/>
      <c r="U104" s="95"/>
      <c r="V104" s="95"/>
      <c r="W104" s="95"/>
      <c r="X104" s="95"/>
      <c r="Y104" s="95"/>
      <c r="Z104" s="95"/>
    </row>
    <row r="105" spans="1:26" ht="70" customHeight="1" x14ac:dyDescent="0.15">
      <c r="B105" s="477"/>
      <c r="C105" s="427"/>
      <c r="D105" s="428" t="str">
        <f>INDEX('imp-questions'!G:G, MATCH(A104, 'imp-questions'!A:A, 0))</f>
        <v>You have enough information to recreate the build processes
 Your build documentation up to date
 Your build documentation is stored in an accessible location
 Produced artifact checksums are created during build to support later verification
 You harden the tools that are used within the build process</v>
      </c>
      <c r="E105" s="429"/>
      <c r="F105" s="430"/>
      <c r="G105" s="137"/>
      <c r="H105" s="461"/>
      <c r="I105" s="492"/>
      <c r="J105" s="475"/>
      <c r="K105" s="95"/>
      <c r="L105" s="96"/>
      <c r="M105" s="96"/>
      <c r="N105" s="96"/>
      <c r="O105" s="96"/>
      <c r="P105" s="96"/>
      <c r="Q105" s="95"/>
      <c r="R105" s="95"/>
      <c r="S105" s="95"/>
      <c r="T105" s="95"/>
      <c r="U105" s="95"/>
      <c r="V105" s="95"/>
      <c r="W105" s="95"/>
      <c r="X105" s="95"/>
      <c r="Y105" s="95"/>
      <c r="Z105" s="95"/>
    </row>
    <row r="106" spans="1:26" ht="14" x14ac:dyDescent="0.15">
      <c r="A106" s="89" t="s">
        <v>63</v>
      </c>
      <c r="B106" s="477"/>
      <c r="C106" s="172">
        <f>INDEX('imp-questions'!E:E, MATCH(A106, 'imp-questions'!A:A, 0))</f>
        <v>2</v>
      </c>
      <c r="D106" s="112" t="str">
        <f>INDEX('imp-questions'!F:F, MATCH(A106, 'imp-questions'!A:A, 0))</f>
        <v>Is the build process fully automated?</v>
      </c>
      <c r="E106" s="113" t="str">
        <f>CHAR(65+INDEX('imp-questions'!H:H, MATCH(A106, 'imp-questions'!A:A, 0)))</f>
        <v>A</v>
      </c>
      <c r="F106" s="151"/>
      <c r="G106" s="135">
        <f ca="1">IFERROR(INDEX(INDIRECT("Ans" &amp; E106 &amp; "TBL"), MATCH(F106, INDEX(INDIRECT("Ans" &amp; E106 &amp; "TBL"), 0, 1), 0), 2), 0)</f>
        <v>0</v>
      </c>
      <c r="H106" s="414">
        <f ca="1">IFERROR(AVERAGE(G106,G113),0)</f>
        <v>0</v>
      </c>
      <c r="I106" s="491"/>
      <c r="J106" s="141"/>
      <c r="K106" s="95"/>
      <c r="L106" s="96"/>
      <c r="M106" s="96"/>
      <c r="N106" s="96"/>
      <c r="O106" s="96"/>
      <c r="P106" s="96"/>
      <c r="Q106" s="95"/>
      <c r="R106" s="95"/>
      <c r="S106" s="95"/>
      <c r="T106" s="95"/>
      <c r="U106" s="95"/>
      <c r="V106" s="95"/>
      <c r="W106" s="95"/>
      <c r="X106" s="95"/>
      <c r="Y106" s="95"/>
      <c r="Z106" s="95"/>
    </row>
    <row r="107" spans="1:26" ht="42" customHeight="1" x14ac:dyDescent="0.15">
      <c r="B107" s="477"/>
      <c r="C107" s="427"/>
      <c r="D107" s="428" t="str">
        <f>INDEX('imp-questions'!G:G, MATCH(A106, 'imp-questions'!A:A, 0))</f>
        <v>The build process itself doesn't require any human interaction
 Your build tools are hardened as per best practice and vendor guidance
 You encrypt the secrets required by the build tools and control access based on the principle of least privilege</v>
      </c>
      <c r="E107" s="429"/>
      <c r="F107" s="430"/>
      <c r="G107" s="137"/>
      <c r="H107" s="456"/>
      <c r="I107" s="492"/>
      <c r="J107" s="141"/>
      <c r="K107" s="95"/>
      <c r="L107" s="96"/>
      <c r="M107" s="96"/>
      <c r="N107" s="96"/>
      <c r="O107" s="96"/>
      <c r="P107" s="96"/>
      <c r="Q107" s="95"/>
      <c r="R107" s="95"/>
      <c r="S107" s="95"/>
      <c r="T107" s="95"/>
      <c r="U107" s="95"/>
      <c r="V107" s="95"/>
      <c r="W107" s="95"/>
      <c r="X107" s="95"/>
      <c r="Y107" s="95"/>
      <c r="Z107" s="95"/>
    </row>
    <row r="108" spans="1:26" ht="14" x14ac:dyDescent="0.15">
      <c r="A108" s="89" t="s">
        <v>64</v>
      </c>
      <c r="B108" s="477"/>
      <c r="C108" s="172">
        <f>INDEX('imp-questions'!E:E, MATCH(A108, 'imp-questions'!A:A, 0))</f>
        <v>3</v>
      </c>
      <c r="D108" s="112" t="str">
        <f>INDEX('imp-questions'!F:F, MATCH(A108, 'imp-questions'!A:A, 0))</f>
        <v>Do you enforce automated security checks in your build processes?</v>
      </c>
      <c r="E108" s="113" t="str">
        <f>CHAR(65+INDEX('imp-questions'!H:H, MATCH(A108, 'imp-questions'!A:A, 0)))</f>
        <v>A</v>
      </c>
      <c r="F108" s="151"/>
      <c r="G108" s="135">
        <f ca="1">IFERROR(INDEX(INDIRECT("Ans" &amp; E108 &amp; "TBL"), MATCH(F108, INDEX(INDIRECT("Ans" &amp; E108 &amp; "TBL"), 0, 1), 0), 2), 0)</f>
        <v>0</v>
      </c>
      <c r="H108" s="414">
        <f ca="1">IFERROR(AVERAGE(G108,G115),0)</f>
        <v>0</v>
      </c>
      <c r="I108" s="491"/>
      <c r="J108" s="141"/>
      <c r="K108" s="95"/>
      <c r="L108" s="96"/>
      <c r="M108" s="96"/>
      <c r="N108" s="96"/>
      <c r="O108" s="96"/>
      <c r="P108" s="96"/>
      <c r="Q108" s="95"/>
      <c r="R108" s="95"/>
      <c r="S108" s="95"/>
      <c r="T108" s="95"/>
      <c r="U108" s="95"/>
      <c r="V108" s="95"/>
      <c r="W108" s="95"/>
      <c r="X108" s="95"/>
      <c r="Y108" s="95"/>
      <c r="Z108" s="95"/>
    </row>
    <row r="109" spans="1:26" ht="56" customHeight="1" x14ac:dyDescent="0.15">
      <c r="B109" s="478"/>
      <c r="C109" s="427"/>
      <c r="D109" s="428" t="str">
        <f>INDEX('imp-questions'!G:G, MATCH(A108, 'imp-questions'!A:A, 0))</f>
        <v>Builds fail if the application doesn't meet a predefined security baseline
 You have a maximum accepted severity for vulnerabilities
 You log warnings and failures in a centralized system
 You select and configure tools to evaluate each application against its security requirements at least once a year</v>
      </c>
      <c r="E109" s="429"/>
      <c r="F109" s="430"/>
      <c r="G109" s="137"/>
      <c r="H109" s="456"/>
      <c r="I109" s="492"/>
      <c r="J109" s="141"/>
      <c r="K109" s="95"/>
      <c r="L109" s="96"/>
      <c r="M109" s="96"/>
      <c r="N109" s="96"/>
      <c r="O109" s="96"/>
      <c r="P109" s="96"/>
      <c r="Q109" s="95"/>
      <c r="R109" s="95"/>
      <c r="S109" s="95"/>
      <c r="T109" s="95"/>
      <c r="U109" s="95"/>
      <c r="V109" s="95"/>
      <c r="W109" s="95"/>
      <c r="X109" s="95"/>
      <c r="Y109" s="95"/>
      <c r="Z109" s="95"/>
    </row>
    <row r="110" spans="1:26" x14ac:dyDescent="0.15">
      <c r="B110" s="123"/>
      <c r="C110" s="124"/>
      <c r="D110" s="125"/>
      <c r="E110" s="125"/>
      <c r="F110" s="125"/>
      <c r="G110" s="153"/>
      <c r="H110" s="153"/>
      <c r="I110" s="459"/>
      <c r="J110" s="121"/>
      <c r="K110" s="95"/>
      <c r="L110" s="96"/>
      <c r="M110" s="96"/>
      <c r="N110" s="96"/>
      <c r="O110" s="96"/>
      <c r="P110" s="96"/>
      <c r="Q110" s="95"/>
      <c r="R110" s="95"/>
      <c r="S110" s="95"/>
      <c r="T110" s="95"/>
      <c r="U110" s="95"/>
      <c r="V110" s="95"/>
      <c r="W110" s="95"/>
      <c r="X110" s="95"/>
      <c r="Y110" s="95"/>
      <c r="Z110" s="95"/>
    </row>
    <row r="111" spans="1:26" ht="15" customHeight="1" x14ac:dyDescent="0.15">
      <c r="A111" s="89" t="s">
        <v>65</v>
      </c>
      <c r="B111" s="498" t="str">
        <f>INDEX('imp-questions'!D:D, MATCH(A111, 'imp-questions'!A:A, 0))</f>
        <v>Software Dependencies</v>
      </c>
      <c r="C111" s="173">
        <f>INDEX('imp-questions'!E:E, MATCH(A111, 'imp-questions'!A:A, 0))</f>
        <v>1</v>
      </c>
      <c r="D111" s="112" t="str">
        <f>INDEX('imp-questions'!F:F, MATCH(A111, 'imp-questions'!A:A, 0))</f>
        <v>Do you have solid knowledge about dependencies you're relying on?</v>
      </c>
      <c r="E111" s="113" t="str">
        <f>CHAR(65+INDEX('imp-questions'!H:H, MATCH(A111, 'imp-questions'!A:A, 0)))</f>
        <v>A</v>
      </c>
      <c r="F111" s="151"/>
      <c r="G111" s="135">
        <f ca="1">IFERROR(INDEX(INDIRECT("Ans" &amp; E111 &amp; "TBL"), MATCH(F111, INDEX(INDIRECT("Ans" &amp; E111 &amp; "TBL"), 0, 1), 0), 2), 0)</f>
        <v>0</v>
      </c>
      <c r="H111" s="414"/>
      <c r="I111" s="499"/>
      <c r="J111" s="94"/>
      <c r="K111" s="95"/>
      <c r="L111" s="96"/>
      <c r="M111" s="96"/>
      <c r="N111" s="96"/>
      <c r="O111" s="96"/>
      <c r="P111" s="96"/>
      <c r="Q111" s="95"/>
      <c r="R111" s="95"/>
      <c r="S111" s="95"/>
      <c r="T111" s="95"/>
      <c r="U111" s="95"/>
      <c r="V111" s="95"/>
      <c r="W111" s="95"/>
      <c r="X111" s="95"/>
      <c r="Y111" s="95"/>
      <c r="Z111" s="95"/>
    </row>
    <row r="112" spans="1:26" ht="42" customHeight="1" x14ac:dyDescent="0.15">
      <c r="B112" s="477"/>
      <c r="C112" s="427"/>
      <c r="D112" s="428" t="str">
        <f>INDEX('imp-questions'!G:G, MATCH(A111, 'imp-questions'!A:A, 0))</f>
        <v>You have a current bill of materials (BOM) for every application
 You can quickly find out which applications are affected by a particular CVE
 You have analyzed, addressed, and documented findings from dependencies at least once in the last three months</v>
      </c>
      <c r="E112" s="429"/>
      <c r="F112" s="430"/>
      <c r="G112" s="174"/>
      <c r="H112" s="465"/>
      <c r="I112" s="492"/>
      <c r="J112" s="94"/>
      <c r="K112" s="95"/>
      <c r="L112" s="96"/>
      <c r="M112" s="96"/>
      <c r="N112" s="96"/>
      <c r="O112" s="96"/>
      <c r="P112" s="96"/>
      <c r="Q112" s="95"/>
      <c r="R112" s="95"/>
      <c r="S112" s="95"/>
      <c r="T112" s="95"/>
      <c r="U112" s="95"/>
      <c r="V112" s="95"/>
      <c r="W112" s="95"/>
      <c r="X112" s="95"/>
      <c r="Y112" s="95"/>
      <c r="Z112" s="95"/>
    </row>
    <row r="113" spans="1:26" ht="14" x14ac:dyDescent="0.15">
      <c r="A113" s="89" t="s">
        <v>66</v>
      </c>
      <c r="B113" s="477"/>
      <c r="C113" s="172">
        <f>INDEX('imp-questions'!E:E, MATCH(A113, 'imp-questions'!A:A, 0))</f>
        <v>2</v>
      </c>
      <c r="D113" s="112" t="str">
        <f>INDEX('imp-questions'!F:F, MATCH(A113, 'imp-questions'!A:A, 0))</f>
        <v>Do you handle 3rd party dependency risk by a formal process?</v>
      </c>
      <c r="E113" s="113" t="str">
        <f>CHAR(65+INDEX('imp-questions'!H:H, MATCH(A113, 'imp-questions'!A:A, 0)))</f>
        <v>A</v>
      </c>
      <c r="F113" s="151"/>
      <c r="G113" s="135">
        <f ca="1">IFERROR(INDEX(INDIRECT("Ans" &amp; E113 &amp; "TBL"), MATCH(F113, INDEX(INDIRECT("Ans" &amp; E113 &amp; "TBL"), 0, 1), 0), 2), 0)</f>
        <v>0</v>
      </c>
      <c r="H113" s="457"/>
      <c r="I113" s="499"/>
      <c r="J113" s="94"/>
      <c r="K113" s="95"/>
      <c r="L113" s="96"/>
      <c r="M113" s="96"/>
      <c r="N113" s="96"/>
      <c r="O113" s="96"/>
      <c r="P113" s="96"/>
      <c r="Q113" s="95"/>
      <c r="R113" s="95"/>
      <c r="S113" s="95"/>
      <c r="T113" s="95"/>
      <c r="U113" s="95"/>
      <c r="V113" s="95"/>
      <c r="W113" s="95"/>
      <c r="X113" s="95"/>
      <c r="Y113" s="95"/>
      <c r="Z113" s="95"/>
    </row>
    <row r="114" spans="1:26" ht="70" customHeight="1" x14ac:dyDescent="0.15">
      <c r="B114" s="477"/>
      <c r="C114" s="427"/>
      <c r="D114" s="428" t="str">
        <f>INDEX('imp-questions'!G:G, MATCH(A113, 'imp-questions'!A:A, 0))</f>
        <v>You keep a list of approved dependencies that meet predefined criteria
 You automatically evaluate dependencies for new CVEs and alert responsible staff
 You automatically detect and alert to license changes with possible impact on legal application usage
 You track and alert to usage of unmaintained dependencies
 You reliably detect and remove unnecessary dependencies from the software</v>
      </c>
      <c r="E114" s="429"/>
      <c r="F114" s="430"/>
      <c r="G114" s="137"/>
      <c r="H114" s="460"/>
      <c r="I114" s="492"/>
      <c r="J114" s="94"/>
      <c r="K114" s="95"/>
      <c r="L114" s="96"/>
      <c r="M114" s="96"/>
      <c r="N114" s="96"/>
      <c r="O114" s="96"/>
      <c r="P114" s="96"/>
      <c r="Q114" s="95"/>
      <c r="R114" s="95"/>
      <c r="S114" s="95"/>
      <c r="T114" s="95"/>
      <c r="U114" s="95"/>
      <c r="V114" s="95"/>
      <c r="W114" s="95"/>
      <c r="X114" s="95"/>
      <c r="Y114" s="95"/>
      <c r="Z114" s="95"/>
    </row>
    <row r="115" spans="1:26" ht="14" x14ac:dyDescent="0.15">
      <c r="A115" s="89" t="s">
        <v>67</v>
      </c>
      <c r="B115" s="477"/>
      <c r="C115" s="172">
        <f>INDEX('imp-questions'!E:E, MATCH(A115, 'imp-questions'!A:A, 0))</f>
        <v>3</v>
      </c>
      <c r="D115" s="112" t="str">
        <f>INDEX('imp-questions'!F:F, MATCH(A115, 'imp-questions'!A:A, 0))</f>
        <v>Do you prevent build of software if it's affected by vulnerabilities in dependencies?</v>
      </c>
      <c r="E115" s="113" t="str">
        <f>CHAR(65+INDEX('imp-questions'!H:H, MATCH(A115, 'imp-questions'!A:A, 0)))</f>
        <v>A</v>
      </c>
      <c r="F115" s="151"/>
      <c r="G115" s="135">
        <f ca="1">IFERROR(INDEX(INDIRECT("Ans" &amp; E115 &amp; "TBL"), MATCH(F115, INDEX(INDIRECT("Ans" &amp; E115 &amp; "TBL"), 0, 1), 0), 2), 0)</f>
        <v>0</v>
      </c>
      <c r="H115" s="414"/>
      <c r="I115" s="499"/>
      <c r="J115" s="94"/>
      <c r="K115" s="95"/>
      <c r="L115" s="96"/>
      <c r="M115" s="96"/>
      <c r="N115" s="96"/>
      <c r="O115" s="96"/>
      <c r="P115" s="96"/>
      <c r="Q115" s="95"/>
      <c r="R115" s="95"/>
      <c r="S115" s="95"/>
      <c r="T115" s="95"/>
      <c r="U115" s="95"/>
      <c r="V115" s="95"/>
      <c r="W115" s="95"/>
      <c r="X115" s="95"/>
      <c r="Y115" s="95"/>
      <c r="Z115" s="95"/>
    </row>
    <row r="116" spans="1:26" ht="70" customHeight="1" x14ac:dyDescent="0.15">
      <c r="B116" s="478"/>
      <c r="C116" s="427"/>
      <c r="D116" s="431" t="str">
        <f>INDEX('imp-questions'!G:G, MATCH(A115, 'imp-questions'!A:A, 0))</f>
        <v>Your build system is connected to a system for tracking 3rd party dependency risk, causing build to fail unless the vulnerability is evaluated to be a false positive or the risk is explicitly accepted
 You scan your dependencies using a static analysis tool
 You report findings back to dependency authors using an established responsible disclosure process
 Using a new dependency not evaluated for security risks causes the build to fail</v>
      </c>
      <c r="E116" s="429"/>
      <c r="F116" s="430"/>
      <c r="G116" s="174"/>
      <c r="H116" s="465"/>
      <c r="I116" s="492"/>
      <c r="J116" s="94"/>
      <c r="K116" s="95"/>
      <c r="L116" s="96"/>
      <c r="M116" s="96"/>
      <c r="N116" s="96"/>
      <c r="O116" s="96"/>
      <c r="P116" s="96"/>
      <c r="Q116" s="95"/>
      <c r="R116" s="95"/>
      <c r="S116" s="95"/>
      <c r="T116" s="95"/>
      <c r="U116" s="95"/>
      <c r="V116" s="95"/>
      <c r="W116" s="95"/>
      <c r="X116" s="95"/>
      <c r="Y116" s="95"/>
      <c r="Z116" s="95"/>
    </row>
    <row r="117" spans="1:26" ht="12.75" customHeight="1" x14ac:dyDescent="0.15">
      <c r="B117" s="513" t="s">
        <v>68</v>
      </c>
      <c r="C117" s="504"/>
      <c r="D117" s="505"/>
      <c r="E117" s="175"/>
      <c r="F117" s="176" t="s">
        <v>15</v>
      </c>
      <c r="G117" s="169"/>
      <c r="H117" s="177"/>
      <c r="I117" s="466" t="s">
        <v>16</v>
      </c>
      <c r="J117" s="178" t="s">
        <v>17</v>
      </c>
      <c r="K117" s="95"/>
      <c r="L117" s="96"/>
      <c r="M117" s="96"/>
      <c r="N117" s="96"/>
      <c r="O117" s="96"/>
      <c r="P117" s="96"/>
      <c r="Q117" s="95"/>
      <c r="R117" s="95"/>
      <c r="S117" s="95"/>
      <c r="T117" s="95"/>
      <c r="U117" s="95"/>
      <c r="V117" s="95"/>
      <c r="W117" s="95"/>
      <c r="X117" s="95"/>
      <c r="Y117" s="95"/>
      <c r="Z117" s="95"/>
    </row>
    <row r="118" spans="1:26" ht="14" customHeight="1" x14ac:dyDescent="0.15">
      <c r="A118" s="89" t="s">
        <v>69</v>
      </c>
      <c r="B118" s="515" t="str">
        <f>INDEX('imp-questions'!D:D, MATCH(A118, 'imp-questions'!A:A, 0))</f>
        <v>Deployment Process</v>
      </c>
      <c r="C118" s="179">
        <f>INDEX('imp-questions'!E:E, MATCH(A118, 'imp-questions'!A:A, 0))</f>
        <v>1</v>
      </c>
      <c r="D118" s="131" t="str">
        <f>INDEX('imp-questions'!F:F, MATCH(A118, 'imp-questions'!A:A, 0))</f>
        <v>Do you use repeatable deployment processes?</v>
      </c>
      <c r="E118" s="113" t="str">
        <f>CHAR(65+INDEX('imp-questions'!H:H, MATCH(A118, 'imp-questions'!A:A, 0)))</f>
        <v>A</v>
      </c>
      <c r="F118" s="151"/>
      <c r="G118" s="135">
        <f ca="1">IFERROR(INDEX(INDIRECT("Ans" &amp; E118 &amp; "TBL"), MATCH(F118, INDEX(INDIRECT("Ans" &amp; E118 &amp; "TBL"), 0, 1), 0), 2), 0)</f>
        <v>0</v>
      </c>
      <c r="H118" s="414">
        <f ca="1">IFERROR(AVERAGE(G118,G125),0)</f>
        <v>0</v>
      </c>
      <c r="I118" s="491"/>
      <c r="J118" s="520">
        <f ca="1">SUM(H118,H120,H122)</f>
        <v>0</v>
      </c>
      <c r="K118" s="95"/>
      <c r="L118" s="96"/>
      <c r="M118" s="96"/>
      <c r="N118" s="96"/>
      <c r="O118" s="96"/>
      <c r="P118" s="96"/>
      <c r="Q118" s="95"/>
      <c r="R118" s="95"/>
      <c r="S118" s="95"/>
      <c r="T118" s="95"/>
      <c r="U118" s="95"/>
      <c r="V118" s="95"/>
      <c r="W118" s="95"/>
      <c r="X118" s="95"/>
      <c r="Y118" s="95"/>
      <c r="Z118" s="95"/>
    </row>
    <row r="119" spans="1:26" ht="70" customHeight="1" x14ac:dyDescent="0.15">
      <c r="B119" s="477"/>
      <c r="C119" s="427"/>
      <c r="D119" s="428" t="str">
        <f>INDEX('imp-questions'!G:G, MATCH(A118, 'imp-questions'!A:A, 0))</f>
        <v>You have enough information to run the deployment processes
 Your deployment documentation up to date
 Your deployment documentation is accessible to relevant stakeholders
 You ensure that only defined qualified personnel can trigger a deployment
 You harden the tools that are used within the deployment process</v>
      </c>
      <c r="E119" s="429"/>
      <c r="F119" s="430"/>
      <c r="G119" s="137"/>
      <c r="H119" s="461"/>
      <c r="I119" s="492"/>
      <c r="J119" s="475"/>
      <c r="K119" s="95"/>
      <c r="L119" s="96"/>
      <c r="M119" s="96"/>
      <c r="N119" s="96"/>
      <c r="O119" s="96"/>
      <c r="P119" s="96"/>
      <c r="Q119" s="95"/>
      <c r="R119" s="95"/>
      <c r="S119" s="95"/>
      <c r="T119" s="95"/>
      <c r="U119" s="95"/>
      <c r="V119" s="95"/>
      <c r="W119" s="95"/>
      <c r="X119" s="95"/>
      <c r="Y119" s="95"/>
      <c r="Z119" s="95"/>
    </row>
    <row r="120" spans="1:26" ht="14" x14ac:dyDescent="0.15">
      <c r="A120" s="89" t="s">
        <v>70</v>
      </c>
      <c r="B120" s="477"/>
      <c r="C120" s="172">
        <f>INDEX('imp-questions'!E:E, MATCH(A120, 'imp-questions'!A:A, 0))</f>
        <v>2</v>
      </c>
      <c r="D120" s="112" t="str">
        <f>INDEX('imp-questions'!F:F, MATCH(A120, 'imp-questions'!A:A, 0))</f>
        <v>Are deployment processes automated and employing security checks?</v>
      </c>
      <c r="E120" s="113" t="str">
        <f>CHAR(65+INDEX('imp-questions'!H:H, MATCH(A120, 'imp-questions'!A:A, 0)))</f>
        <v>A</v>
      </c>
      <c r="F120" s="150"/>
      <c r="G120" s="135">
        <f ca="1">IFERROR(INDEX(INDIRECT("Ans" &amp; E120 &amp; "TBL"), MATCH(F120, INDEX(INDIRECT("Ans" &amp; E120 &amp; "TBL"), 0, 1), 0), 2), 0)</f>
        <v>0</v>
      </c>
      <c r="H120" s="331">
        <f ca="1">IFERROR(AVERAGE(G120,G127),0)</f>
        <v>0</v>
      </c>
      <c r="I120" s="491"/>
      <c r="J120" s="141"/>
      <c r="K120" s="95"/>
      <c r="L120" s="96"/>
      <c r="M120" s="96"/>
      <c r="N120" s="96"/>
      <c r="O120" s="96"/>
      <c r="P120" s="96"/>
      <c r="Q120" s="95"/>
      <c r="R120" s="95"/>
      <c r="S120" s="95"/>
      <c r="T120" s="95"/>
      <c r="U120" s="95"/>
      <c r="V120" s="95"/>
      <c r="W120" s="95"/>
      <c r="X120" s="95"/>
      <c r="Y120" s="95"/>
      <c r="Z120" s="95"/>
    </row>
    <row r="121" spans="1:26" ht="56" customHeight="1" x14ac:dyDescent="0.15">
      <c r="B121" s="477"/>
      <c r="C121" s="427"/>
      <c r="D121" s="428" t="str">
        <f>INDEX('imp-questions'!G:G, MATCH(A120, 'imp-questions'!A:A, 0))</f>
        <v>Deployment processes are automated on all stages
 Deployment includes automated security testing procedures
 You alert responsible staff to identified vulnerabilities
 You have logs available for your past deployments for a defined period of time</v>
      </c>
      <c r="E121" s="429"/>
      <c r="F121" s="430"/>
      <c r="G121" s="137"/>
      <c r="H121" s="456"/>
      <c r="I121" s="492"/>
      <c r="J121" s="141"/>
      <c r="K121" s="95"/>
      <c r="L121" s="96"/>
      <c r="M121" s="96"/>
      <c r="N121" s="96"/>
      <c r="O121" s="96"/>
      <c r="P121" s="96"/>
      <c r="Q121" s="95"/>
      <c r="R121" s="95"/>
      <c r="S121" s="95"/>
      <c r="T121" s="95"/>
      <c r="U121" s="95"/>
      <c r="V121" s="95"/>
      <c r="W121" s="95"/>
      <c r="X121" s="95"/>
      <c r="Y121" s="95"/>
      <c r="Z121" s="95"/>
    </row>
    <row r="122" spans="1:26" ht="14" x14ac:dyDescent="0.15">
      <c r="A122" s="89" t="s">
        <v>71</v>
      </c>
      <c r="B122" s="477"/>
      <c r="C122" s="172">
        <f>INDEX('imp-questions'!E:E, MATCH(A122, 'imp-questions'!A:A, 0))</f>
        <v>3</v>
      </c>
      <c r="D122" s="112" t="str">
        <f>INDEX('imp-questions'!F:F, MATCH(A122, 'imp-questions'!A:A, 0))</f>
        <v>Do you consistently validate the integrity of deployed artifacts?</v>
      </c>
      <c r="E122" s="113" t="str">
        <f>CHAR(65+INDEX('imp-questions'!H:H, MATCH(A122, 'imp-questions'!A:A, 0)))</f>
        <v>A</v>
      </c>
      <c r="F122" s="151"/>
      <c r="G122" s="135">
        <f ca="1">IFERROR(INDEX(INDIRECT("Ans" &amp; E122 &amp; "TBL"), MATCH(F122, INDEX(INDIRECT("Ans" &amp; E122 &amp; "TBL"), 0, 1), 0), 2), 0)</f>
        <v>0</v>
      </c>
      <c r="H122" s="414">
        <f ca="1">IFERROR(AVERAGE(G122,G129),0)</f>
        <v>0</v>
      </c>
      <c r="I122" s="491"/>
      <c r="J122" s="141"/>
      <c r="K122" s="95"/>
      <c r="L122" s="96"/>
      <c r="M122" s="96"/>
      <c r="N122" s="96"/>
      <c r="O122" s="96"/>
      <c r="P122" s="96"/>
      <c r="Q122" s="95"/>
      <c r="R122" s="95"/>
      <c r="S122" s="95"/>
      <c r="T122" s="95"/>
      <c r="U122" s="95"/>
      <c r="V122" s="95"/>
      <c r="W122" s="95"/>
      <c r="X122" s="95"/>
      <c r="Y122" s="95"/>
      <c r="Z122" s="95"/>
    </row>
    <row r="123" spans="1:26" ht="42" customHeight="1" x14ac:dyDescent="0.15">
      <c r="B123" s="478"/>
      <c r="C123" s="427"/>
      <c r="D123" s="428" t="str">
        <f>INDEX('imp-questions'!G:G, MATCH(A122, 'imp-questions'!A:A, 0))</f>
        <v>You prevent or roll back deployment if you detect an integrity breach
 The verification is done against signatures created during the build time
 If checking of signatures is not possible (e.g. externally build software), you introduce compensating measures</v>
      </c>
      <c r="E123" s="429"/>
      <c r="F123" s="430"/>
      <c r="G123" s="137"/>
      <c r="H123" s="456"/>
      <c r="I123" s="492"/>
      <c r="J123" s="141"/>
      <c r="K123" s="95"/>
      <c r="L123" s="96"/>
      <c r="M123" s="96"/>
      <c r="N123" s="96"/>
      <c r="O123" s="96"/>
      <c r="P123" s="96"/>
      <c r="Q123" s="95"/>
      <c r="R123" s="95"/>
      <c r="S123" s="95"/>
      <c r="T123" s="95"/>
      <c r="U123" s="95"/>
      <c r="V123" s="95"/>
      <c r="W123" s="95"/>
      <c r="X123" s="95"/>
      <c r="Y123" s="95"/>
      <c r="Z123" s="95"/>
    </row>
    <row r="124" spans="1:26" x14ac:dyDescent="0.15">
      <c r="B124" s="123"/>
      <c r="C124" s="124"/>
      <c r="D124" s="125"/>
      <c r="E124" s="125"/>
      <c r="F124" s="125"/>
      <c r="G124" s="125"/>
      <c r="H124" s="153"/>
      <c r="I124" s="459"/>
      <c r="J124" s="121"/>
      <c r="K124" s="95"/>
      <c r="L124" s="96"/>
      <c r="M124" s="96"/>
      <c r="N124" s="96"/>
      <c r="O124" s="96"/>
      <c r="P124" s="96"/>
      <c r="Q124" s="95"/>
      <c r="R124" s="95"/>
      <c r="S124" s="95"/>
      <c r="T124" s="95"/>
      <c r="U124" s="95"/>
      <c r="V124" s="95"/>
      <c r="W124" s="95"/>
      <c r="X124" s="95"/>
      <c r="Y124" s="95"/>
      <c r="Z124" s="95"/>
    </row>
    <row r="125" spans="1:26" ht="15" customHeight="1" x14ac:dyDescent="0.15">
      <c r="A125" s="89" t="s">
        <v>72</v>
      </c>
      <c r="B125" s="498" t="str">
        <f>INDEX('imp-questions'!D:D, MATCH(A125, 'imp-questions'!A:A, 0))</f>
        <v>Secret Management</v>
      </c>
      <c r="C125" s="179">
        <f>INDEX('imp-questions'!E:E, MATCH(A125, 'imp-questions'!A:A, 0))</f>
        <v>1</v>
      </c>
      <c r="D125" s="112" t="str">
        <f>INDEX('imp-questions'!F:F, MATCH(A125, 'imp-questions'!A:A, 0))</f>
        <v>Do you limit access to application secrets according to the least privilege principle?</v>
      </c>
      <c r="E125" s="113" t="str">
        <f>CHAR(65+INDEX('imp-questions'!H:H, MATCH(A125, 'imp-questions'!A:A, 0)))</f>
        <v>A</v>
      </c>
      <c r="F125" s="150"/>
      <c r="G125" s="135">
        <f ca="1">IFERROR(INDEX(INDIRECT("Ans" &amp; E125 &amp; "TBL"), MATCH(F125, INDEX(INDIRECT("Ans" &amp; E125 &amp; "TBL"), 0, 1), 0), 2), 0)</f>
        <v>0</v>
      </c>
      <c r="H125" s="457"/>
      <c r="I125" s="499"/>
      <c r="J125" s="94"/>
      <c r="K125" s="95"/>
      <c r="L125" s="96"/>
      <c r="M125" s="96"/>
      <c r="N125" s="96"/>
      <c r="O125" s="96"/>
      <c r="P125" s="96"/>
      <c r="Q125" s="95"/>
      <c r="R125" s="95"/>
      <c r="S125" s="95"/>
      <c r="T125" s="95"/>
      <c r="U125" s="95"/>
      <c r="V125" s="95"/>
      <c r="W125" s="95"/>
      <c r="X125" s="95"/>
      <c r="Y125" s="95"/>
      <c r="Z125" s="95"/>
    </row>
    <row r="126" spans="1:26" ht="42" customHeight="1" x14ac:dyDescent="0.15">
      <c r="B126" s="477"/>
      <c r="C126" s="427"/>
      <c r="D126" s="428" t="str">
        <f>INDEX('imp-questions'!G:G, MATCH(A125, 'imp-questions'!A:A, 0))</f>
        <v>You store production secrets protected in a secured location
 Developers do not have access to production secrets
 Production secrets are not available in non-production environments</v>
      </c>
      <c r="E126" s="429"/>
      <c r="F126" s="430"/>
      <c r="G126" s="137"/>
      <c r="H126" s="460"/>
      <c r="I126" s="492"/>
      <c r="J126" s="94"/>
      <c r="K126" s="95"/>
      <c r="L126" s="96"/>
      <c r="M126" s="96"/>
      <c r="N126" s="96"/>
      <c r="O126" s="96"/>
      <c r="P126" s="96"/>
      <c r="Q126" s="95"/>
      <c r="R126" s="95"/>
      <c r="S126" s="95"/>
      <c r="T126" s="95"/>
      <c r="U126" s="95"/>
      <c r="V126" s="95"/>
      <c r="W126" s="95"/>
      <c r="X126" s="95"/>
      <c r="Y126" s="95"/>
      <c r="Z126" s="95"/>
    </row>
    <row r="127" spans="1:26" ht="14" x14ac:dyDescent="0.15">
      <c r="A127" s="89" t="s">
        <v>73</v>
      </c>
      <c r="B127" s="477"/>
      <c r="C127" s="172">
        <f>INDEX('imp-questions'!E:E, MATCH(A127, 'imp-questions'!A:A, 0))</f>
        <v>2</v>
      </c>
      <c r="D127" s="112" t="str">
        <f>INDEX('imp-questions'!F:F, MATCH(A127, 'imp-questions'!A:A, 0))</f>
        <v>Do you inject production secrets into configuration files during deployment?</v>
      </c>
      <c r="E127" s="113" t="str">
        <f>CHAR(65+INDEX('imp-questions'!H:H, MATCH(A127, 'imp-questions'!A:A, 0)))</f>
        <v>A</v>
      </c>
      <c r="F127" s="150"/>
      <c r="G127" s="135">
        <f ca="1">IFERROR(INDEX(INDIRECT("Ans" &amp; E127 &amp; "TBL"), MATCH(F127, INDEX(INDIRECT("Ans" &amp; E127 &amp; "TBL"), 0, 1), 0), 2), 0)</f>
        <v>0</v>
      </c>
      <c r="H127" s="457"/>
      <c r="I127" s="499"/>
      <c r="J127" s="94"/>
      <c r="K127" s="95"/>
      <c r="L127" s="96"/>
      <c r="M127" s="96"/>
      <c r="N127" s="96"/>
      <c r="O127" s="96"/>
      <c r="P127" s="96"/>
      <c r="Q127" s="95"/>
      <c r="R127" s="95"/>
      <c r="S127" s="95"/>
      <c r="T127" s="95"/>
      <c r="U127" s="95"/>
      <c r="V127" s="95"/>
      <c r="W127" s="95"/>
      <c r="X127" s="95"/>
      <c r="Y127" s="95"/>
      <c r="Z127" s="95"/>
    </row>
    <row r="128" spans="1:26" ht="42" customHeight="1" x14ac:dyDescent="0.15">
      <c r="B128" s="477"/>
      <c r="C128" s="427"/>
      <c r="D128" s="428" t="str">
        <f>INDEX('imp-questions'!G:G, MATCH(A127, 'imp-questions'!A:A, 0))</f>
        <v>Source code files no longer contain active application secrets
 Under normal circumstances, no humans access secrets during deployment procedures
 You log and alert when abnormal secrets access is attempted</v>
      </c>
      <c r="E128" s="429"/>
      <c r="F128" s="430"/>
      <c r="G128" s="137"/>
      <c r="H128" s="460"/>
      <c r="I128" s="492"/>
      <c r="J128" s="94"/>
      <c r="K128" s="95"/>
      <c r="L128" s="96"/>
      <c r="M128" s="96"/>
      <c r="N128" s="96"/>
      <c r="O128" s="96"/>
      <c r="P128" s="96"/>
      <c r="Q128" s="95"/>
      <c r="R128" s="95"/>
      <c r="S128" s="95"/>
      <c r="T128" s="95"/>
      <c r="U128" s="95"/>
      <c r="V128" s="95"/>
      <c r="W128" s="95"/>
      <c r="X128" s="95"/>
      <c r="Y128" s="95"/>
      <c r="Z128" s="95"/>
    </row>
    <row r="129" spans="1:26" ht="14" x14ac:dyDescent="0.15">
      <c r="A129" s="89" t="s">
        <v>74</v>
      </c>
      <c r="B129" s="477"/>
      <c r="C129" s="172">
        <f>INDEX('imp-questions'!E:E, MATCH(A129, 'imp-questions'!A:A, 0))</f>
        <v>3</v>
      </c>
      <c r="D129" s="112" t="str">
        <f>INDEX('imp-questions'!F:F, MATCH(A129, 'imp-questions'!A:A, 0))</f>
        <v>Do you practice proper lifecycle management for application secrets?</v>
      </c>
      <c r="E129" s="113" t="str">
        <f>CHAR(65+INDEX('imp-questions'!H:H, MATCH(A129, 'imp-questions'!A:A, 0)))</f>
        <v>A</v>
      </c>
      <c r="F129" s="150"/>
      <c r="G129" s="135">
        <f ca="1">IFERROR(INDEX(INDIRECT("Ans" &amp; E129 &amp; "TBL"), MATCH(F129, INDEX(INDIRECT("Ans" &amp; E129 &amp; "TBL"), 0, 1), 0), 2), 0)</f>
        <v>0</v>
      </c>
      <c r="H129" s="457"/>
      <c r="I129" s="499"/>
      <c r="J129" s="94"/>
      <c r="K129" s="95"/>
      <c r="L129" s="96"/>
      <c r="M129" s="96"/>
      <c r="N129" s="96"/>
      <c r="O129" s="96"/>
      <c r="P129" s="96"/>
      <c r="Q129" s="95"/>
      <c r="R129" s="95"/>
      <c r="S129" s="95"/>
      <c r="T129" s="95"/>
      <c r="U129" s="95"/>
      <c r="V129" s="95"/>
      <c r="W129" s="95"/>
      <c r="X129" s="95"/>
      <c r="Y129" s="95"/>
      <c r="Z129" s="95"/>
    </row>
    <row r="130" spans="1:26" ht="42" customHeight="1" x14ac:dyDescent="0.15">
      <c r="B130" s="478"/>
      <c r="C130" s="427"/>
      <c r="D130" s="431" t="str">
        <f>INDEX('imp-questions'!G:G, MATCH(A129, 'imp-questions'!A:A, 0))</f>
        <v>You generate and synchronize secrets using a vetted solution
 Secrets are different between different application instances
 Secrets are regularly updated</v>
      </c>
      <c r="E130" s="429"/>
      <c r="F130" s="430"/>
      <c r="G130" s="137"/>
      <c r="H130" s="460"/>
      <c r="I130" s="492"/>
      <c r="J130" s="94"/>
      <c r="K130" s="95"/>
      <c r="L130" s="96"/>
      <c r="M130" s="96"/>
      <c r="N130" s="96"/>
      <c r="O130" s="96"/>
      <c r="P130" s="96"/>
      <c r="Q130" s="95"/>
      <c r="R130" s="95"/>
      <c r="S130" s="95"/>
      <c r="T130" s="95"/>
      <c r="U130" s="95"/>
      <c r="V130" s="95"/>
      <c r="W130" s="95"/>
      <c r="X130" s="95"/>
      <c r="Y130" s="95"/>
      <c r="Z130" s="95"/>
    </row>
    <row r="131" spans="1:26" ht="14" x14ac:dyDescent="0.15">
      <c r="B131" s="514" t="s">
        <v>75</v>
      </c>
      <c r="C131" s="480"/>
      <c r="D131" s="481"/>
      <c r="E131" s="180"/>
      <c r="F131" s="176" t="s">
        <v>15</v>
      </c>
      <c r="G131" s="176"/>
      <c r="H131" s="177"/>
      <c r="I131" s="467" t="s">
        <v>16</v>
      </c>
      <c r="J131" s="178" t="s">
        <v>17</v>
      </c>
      <c r="K131" s="95"/>
      <c r="L131" s="96"/>
      <c r="M131" s="96"/>
      <c r="N131" s="96"/>
      <c r="O131" s="96"/>
      <c r="P131" s="96"/>
      <c r="Q131" s="95"/>
      <c r="R131" s="95"/>
      <c r="S131" s="95"/>
      <c r="T131" s="95"/>
      <c r="U131" s="95"/>
      <c r="V131" s="95"/>
      <c r="W131" s="95"/>
      <c r="X131" s="95"/>
      <c r="Y131" s="95"/>
      <c r="Z131" s="95"/>
    </row>
    <row r="132" spans="1:26" ht="14" customHeight="1" x14ac:dyDescent="0.15">
      <c r="A132" s="89" t="s">
        <v>76</v>
      </c>
      <c r="B132" s="515" t="str">
        <f>INDEX('imp-questions'!D:D, MATCH(A132, 'imp-questions'!A:A, 0))</f>
        <v>Defect Tracking</v>
      </c>
      <c r="C132" s="179">
        <f>INDEX('imp-questions'!E:E, MATCH(A132, 'imp-questions'!A:A, 0))</f>
        <v>1</v>
      </c>
      <c r="D132" s="131" t="str">
        <f>INDEX('imp-questions'!F:F, MATCH(A132, 'imp-questions'!A:A, 0))</f>
        <v>Do you track all known security defects in accessible locations?</v>
      </c>
      <c r="E132" s="113" t="str">
        <f>CHAR(65+INDEX('imp-questions'!H:H, MATCH(A132, 'imp-questions'!A:A, 0)))</f>
        <v>A</v>
      </c>
      <c r="F132" s="150"/>
      <c r="G132" s="135">
        <f ca="1">IFERROR(INDEX(INDIRECT("Ans" &amp; E132 &amp; "TBL"), MATCH(F132, INDEX(INDIRECT("Ans" &amp; E132 &amp; "TBL"), 0, 1), 0), 2), 0)</f>
        <v>0</v>
      </c>
      <c r="H132" s="127">
        <f ca="1">IFERROR(AVERAGE(G132,G139),0)</f>
        <v>0</v>
      </c>
      <c r="I132" s="510"/>
      <c r="J132" s="519">
        <f ca="1">SUM(H132,H134,H136)</f>
        <v>0</v>
      </c>
      <c r="K132" s="95"/>
      <c r="L132" s="96"/>
      <c r="M132" s="96"/>
      <c r="N132" s="96"/>
      <c r="O132" s="96"/>
      <c r="P132" s="96"/>
      <c r="Q132" s="95"/>
      <c r="R132" s="95"/>
      <c r="S132" s="95"/>
      <c r="T132" s="95"/>
      <c r="U132" s="95"/>
      <c r="V132" s="95"/>
      <c r="W132" s="95"/>
      <c r="X132" s="95"/>
      <c r="Y132" s="95"/>
      <c r="Z132" s="95"/>
    </row>
    <row r="133" spans="1:26" ht="56" customHeight="1" x14ac:dyDescent="0.15">
      <c r="B133" s="477"/>
      <c r="C133" s="427"/>
      <c r="D133" s="428" t="str">
        <f>INDEX('imp-questions'!G:G, MATCH(A132, 'imp-questions'!A:A, 0))</f>
        <v>You can easily get an overview of all security defects impacting one application
 You have at least a rudimentary classification scheme in place
 The process includes a strategy for handling false positives and duplicate entries
 The defect management system covers defects from various sources and activities</v>
      </c>
      <c r="E133" s="429"/>
      <c r="F133" s="430"/>
      <c r="G133" s="137"/>
      <c r="H133" s="139"/>
      <c r="I133" s="511"/>
      <c r="J133" s="469"/>
      <c r="K133" s="95"/>
      <c r="L133" s="96"/>
      <c r="M133" s="96"/>
      <c r="N133" s="96"/>
      <c r="O133" s="96"/>
      <c r="P133" s="96"/>
      <c r="Q133" s="95"/>
      <c r="R133" s="95"/>
      <c r="S133" s="95"/>
      <c r="T133" s="95"/>
      <c r="U133" s="95"/>
      <c r="V133" s="95"/>
      <c r="W133" s="95"/>
      <c r="X133" s="95"/>
      <c r="Y133" s="95"/>
      <c r="Z133" s="95"/>
    </row>
    <row r="134" spans="1:26" ht="14" x14ac:dyDescent="0.15">
      <c r="A134" s="89" t="s">
        <v>77</v>
      </c>
      <c r="B134" s="477"/>
      <c r="C134" s="172">
        <f>INDEX('imp-questions'!E:E, MATCH(A134, 'imp-questions'!A:A, 0))</f>
        <v>2</v>
      </c>
      <c r="D134" s="112" t="str">
        <f>INDEX('imp-questions'!F:F, MATCH(A134, 'imp-questions'!A:A, 0))</f>
        <v>Do you keep an overview of the state of security defects across the organization?</v>
      </c>
      <c r="E134" s="113" t="str">
        <f>CHAR(65+INDEX('imp-questions'!H:H, MATCH(A134, 'imp-questions'!A:A, 0)))</f>
        <v>A</v>
      </c>
      <c r="F134" s="150"/>
      <c r="G134" s="135">
        <f ca="1">IFERROR(INDEX(INDIRECT("Ans" &amp; E134 &amp; "TBL"), MATCH(F134, INDEX(INDIRECT("Ans" &amp; E134 &amp; "TBL"), 0, 1), 0), 2), 0)</f>
        <v>0</v>
      </c>
      <c r="H134" s="127">
        <f ca="1">IFERROR(AVERAGE(G134,G141),0)</f>
        <v>0</v>
      </c>
      <c r="I134" s="512"/>
      <c r="J134" s="141"/>
      <c r="K134" s="95"/>
      <c r="L134" s="96"/>
      <c r="M134" s="96"/>
      <c r="N134" s="96"/>
      <c r="O134" s="96"/>
      <c r="P134" s="96"/>
      <c r="Q134" s="95"/>
      <c r="R134" s="95"/>
      <c r="S134" s="95"/>
      <c r="T134" s="95"/>
      <c r="U134" s="95"/>
      <c r="V134" s="95"/>
      <c r="W134" s="95"/>
      <c r="X134" s="95"/>
      <c r="Y134" s="95"/>
      <c r="Z134" s="95"/>
    </row>
    <row r="135" spans="1:26" ht="42" customHeight="1" x14ac:dyDescent="0.15">
      <c r="B135" s="477"/>
      <c r="C135" s="427"/>
      <c r="D135" s="428" t="str">
        <f>INDEX('imp-questions'!G:G, MATCH(A134, 'imp-questions'!A:A, 0))</f>
        <v>A single severity scheme is applied to all defects across the organization
 The scheme includes SLAs for fixing particular severity classes
 You regularly report compliance to SLAs</v>
      </c>
      <c r="E135" s="429"/>
      <c r="F135" s="430"/>
      <c r="G135" s="137"/>
      <c r="H135" s="142"/>
      <c r="I135" s="471"/>
      <c r="J135" s="141"/>
      <c r="K135" s="95"/>
      <c r="L135" s="96"/>
      <c r="M135" s="96"/>
      <c r="N135" s="96"/>
      <c r="O135" s="96"/>
      <c r="P135" s="96"/>
      <c r="Q135" s="95"/>
      <c r="R135" s="95"/>
      <c r="S135" s="95"/>
      <c r="T135" s="95"/>
      <c r="U135" s="95"/>
      <c r="V135" s="95"/>
      <c r="W135" s="95"/>
      <c r="X135" s="95"/>
      <c r="Y135" s="95"/>
      <c r="Z135" s="95"/>
    </row>
    <row r="136" spans="1:26" ht="14" x14ac:dyDescent="0.15">
      <c r="A136" s="89" t="s">
        <v>78</v>
      </c>
      <c r="B136" s="477"/>
      <c r="C136" s="172">
        <f>INDEX('imp-questions'!E:E, MATCH(A136, 'imp-questions'!A:A, 0))</f>
        <v>3</v>
      </c>
      <c r="D136" s="112" t="str">
        <f>INDEX('imp-questions'!F:F, MATCH(A136, 'imp-questions'!A:A, 0))</f>
        <v>Do you enforce SLAs for fixing security defects?</v>
      </c>
      <c r="E136" s="113" t="str">
        <f>CHAR(65+INDEX('imp-questions'!H:H, MATCH(A136, 'imp-questions'!A:A, 0)))</f>
        <v>A</v>
      </c>
      <c r="F136" s="150"/>
      <c r="G136" s="135">
        <f ca="1">IFERROR(INDEX(INDIRECT("Ans" &amp; E136 &amp; "TBL"), MATCH(F136, INDEX(INDIRECT("Ans" &amp; E136 &amp; "TBL"), 0, 1), 0), 2), 0)</f>
        <v>0</v>
      </c>
      <c r="H136" s="127">
        <f ca="1">IFERROR(AVERAGE(G136,G143),0)</f>
        <v>0</v>
      </c>
      <c r="I136" s="470"/>
      <c r="J136" s="141"/>
      <c r="K136" s="95"/>
      <c r="L136" s="96"/>
      <c r="M136" s="96"/>
      <c r="N136" s="96"/>
      <c r="O136" s="96"/>
      <c r="P136" s="96"/>
      <c r="Q136" s="95"/>
      <c r="R136" s="95"/>
      <c r="S136" s="95"/>
      <c r="T136" s="95"/>
      <c r="U136" s="95"/>
      <c r="V136" s="95"/>
      <c r="W136" s="95"/>
      <c r="X136" s="95"/>
      <c r="Y136" s="95"/>
      <c r="Z136" s="95"/>
    </row>
    <row r="137" spans="1:26" ht="28" customHeight="1" x14ac:dyDescent="0.15">
      <c r="B137" s="478"/>
      <c r="C137" s="427"/>
      <c r="D137" s="428" t="str">
        <f>INDEX('imp-questions'!G:G, MATCH(A136, 'imp-questions'!A:A, 0))</f>
        <v>You automatically alert of SLA breaches and transfer respective defects to the risk management process
 You integrate relevant tooling (e.g. monitoring, build, deployment) with the defect management system</v>
      </c>
      <c r="E137" s="429"/>
      <c r="F137" s="430"/>
      <c r="G137" s="137"/>
      <c r="H137" s="142"/>
      <c r="I137" s="471"/>
      <c r="J137" s="141"/>
      <c r="K137" s="95"/>
      <c r="L137" s="96"/>
      <c r="M137" s="96"/>
      <c r="N137" s="96"/>
      <c r="O137" s="96"/>
      <c r="P137" s="96"/>
      <c r="Q137" s="95"/>
      <c r="R137" s="95"/>
      <c r="S137" s="95"/>
      <c r="T137" s="95"/>
      <c r="U137" s="95"/>
      <c r="V137" s="95"/>
      <c r="W137" s="95"/>
      <c r="X137" s="95"/>
      <c r="Y137" s="95"/>
      <c r="Z137" s="95"/>
    </row>
    <row r="138" spans="1:26" x14ac:dyDescent="0.15">
      <c r="B138" s="123"/>
      <c r="C138" s="124"/>
      <c r="D138" s="125"/>
      <c r="E138" s="125"/>
      <c r="F138" s="125"/>
      <c r="G138" s="125"/>
      <c r="H138" s="153"/>
      <c r="I138" s="126"/>
      <c r="J138" s="121"/>
      <c r="K138" s="95"/>
      <c r="L138" s="96"/>
      <c r="M138" s="96"/>
      <c r="N138" s="96"/>
      <c r="O138" s="96"/>
      <c r="P138" s="96"/>
      <c r="Q138" s="95"/>
      <c r="R138" s="95"/>
      <c r="S138" s="95"/>
      <c r="T138" s="95"/>
      <c r="U138" s="95"/>
      <c r="V138" s="95"/>
      <c r="W138" s="95"/>
      <c r="X138" s="95"/>
      <c r="Y138" s="95"/>
      <c r="Z138" s="95"/>
    </row>
    <row r="139" spans="1:26" ht="15" customHeight="1" x14ac:dyDescent="0.15">
      <c r="A139" s="89" t="s">
        <v>79</v>
      </c>
      <c r="B139" s="498" t="str">
        <f>INDEX('imp-questions'!D:D, MATCH(A139, 'imp-questions'!A:A, 0))</f>
        <v>Metrics and Feedback</v>
      </c>
      <c r="C139" s="179">
        <f>INDEX('imp-questions'!E:E, MATCH(A139, 'imp-questions'!A:A, 0))</f>
        <v>1</v>
      </c>
      <c r="D139" s="112" t="str">
        <f>INDEX('imp-questions'!F:F, MATCH(A139, 'imp-questions'!A:A, 0))</f>
        <v>Do you use basic metrics about recorded security defects to carry out quick win improvement activities?</v>
      </c>
      <c r="E139" s="113" t="str">
        <f>CHAR(65+INDEX('imp-questions'!H:H, MATCH(A139, 'imp-questions'!A:A, 0)))</f>
        <v>A</v>
      </c>
      <c r="F139" s="150"/>
      <c r="G139" s="135">
        <f ca="1">IFERROR(INDEX(INDIRECT("Ans" &amp; E139 &amp; "TBL"), MATCH(F139, INDEX(INDIRECT("Ans" &amp; E139 &amp; "TBL"), 0, 1), 0), 2), 0)</f>
        <v>0</v>
      </c>
      <c r="H139" s="155"/>
      <c r="I139" s="516"/>
      <c r="J139" s="121"/>
      <c r="K139" s="95"/>
      <c r="L139" s="96"/>
      <c r="M139" s="96"/>
      <c r="N139" s="96"/>
      <c r="O139" s="96"/>
      <c r="P139" s="96"/>
      <c r="Q139" s="95"/>
      <c r="R139" s="95"/>
      <c r="S139" s="95"/>
      <c r="T139" s="95"/>
      <c r="U139" s="95"/>
      <c r="V139" s="95"/>
      <c r="W139" s="95"/>
      <c r="X139" s="95"/>
      <c r="Y139" s="95"/>
      <c r="Z139" s="95"/>
    </row>
    <row r="140" spans="1:26" ht="42" customHeight="1" x14ac:dyDescent="0.15">
      <c r="B140" s="477"/>
      <c r="C140" s="427"/>
      <c r="D140" s="428" t="str">
        <f>INDEX('imp-questions'!G:G, MATCH(A139, 'imp-questions'!A:A, 0))</f>
        <v>You analyzed your recorded metrics at least once in the last year
 At least basic information about this initiative is recorded and available
 You have identified and carried out at least one quick win activity based on the data</v>
      </c>
      <c r="E140" s="429"/>
      <c r="F140" s="430"/>
      <c r="G140" s="137"/>
      <c r="H140" s="156"/>
      <c r="I140" s="484"/>
      <c r="J140" s="121"/>
      <c r="K140" s="95"/>
      <c r="L140" s="96"/>
      <c r="M140" s="96"/>
      <c r="N140" s="96"/>
      <c r="O140" s="96"/>
      <c r="P140" s="96"/>
      <c r="Q140" s="95"/>
      <c r="R140" s="95"/>
      <c r="S140" s="95"/>
      <c r="T140" s="95"/>
      <c r="U140" s="95"/>
      <c r="V140" s="95"/>
      <c r="W140" s="95"/>
      <c r="X140" s="95"/>
      <c r="Y140" s="95"/>
      <c r="Z140" s="95"/>
    </row>
    <row r="141" spans="1:26" ht="14" x14ac:dyDescent="0.15">
      <c r="A141" s="89" t="s">
        <v>80</v>
      </c>
      <c r="B141" s="477"/>
      <c r="C141" s="172">
        <f>INDEX('imp-questions'!E:E, MATCH(A141, 'imp-questions'!A:A, 0))</f>
        <v>2</v>
      </c>
      <c r="D141" s="112" t="str">
        <f>INDEX('imp-questions'!F:F, MATCH(A141, 'imp-questions'!A:A, 0))</f>
        <v>Do you improve your security assurance program upon standardized metrics?</v>
      </c>
      <c r="E141" s="113" t="str">
        <f>CHAR(65+INDEX('imp-questions'!H:H, MATCH(A141, 'imp-questions'!A:A, 0)))</f>
        <v>A</v>
      </c>
      <c r="F141" s="150"/>
      <c r="G141" s="135">
        <f ca="1">IFERROR(INDEX(INDIRECT("Ans" &amp; E141 &amp; "TBL"), MATCH(F141, INDEX(INDIRECT("Ans" &amp; E141 &amp; "TBL"), 0, 1), 0), 2), 0)</f>
        <v>0</v>
      </c>
      <c r="H141" s="155"/>
      <c r="I141" s="516"/>
      <c r="J141" s="121"/>
      <c r="K141" s="95"/>
      <c r="L141" s="96"/>
      <c r="M141" s="96"/>
      <c r="N141" s="96"/>
      <c r="O141" s="96"/>
      <c r="P141" s="96"/>
      <c r="Q141" s="95"/>
      <c r="R141" s="95"/>
      <c r="S141" s="95"/>
      <c r="T141" s="95"/>
      <c r="U141" s="95"/>
      <c r="V141" s="95"/>
      <c r="W141" s="95"/>
      <c r="X141" s="95"/>
      <c r="Y141" s="95"/>
      <c r="Z141" s="95"/>
    </row>
    <row r="142" spans="1:26" ht="42" customHeight="1" x14ac:dyDescent="0.15">
      <c r="B142" s="477"/>
      <c r="C142" s="427"/>
      <c r="D142" s="428" t="str">
        <f>INDEX('imp-questions'!G:G, MATCH(A141, 'imp-questions'!A:A, 0))</f>
        <v>You document metrics for defect classification and categorization and keep them up to date
 Executive management regularly receives information about defects and has acted upon it in the last year
 You regularly share technical details about security defects among teams</v>
      </c>
      <c r="E142" s="429"/>
      <c r="F142" s="430"/>
      <c r="G142" s="137"/>
      <c r="H142" s="156"/>
      <c r="I142" s="484"/>
      <c r="J142" s="121"/>
      <c r="K142" s="95"/>
      <c r="L142" s="96"/>
      <c r="M142" s="96"/>
      <c r="N142" s="96"/>
      <c r="O142" s="96"/>
      <c r="P142" s="96"/>
      <c r="Q142" s="95"/>
      <c r="R142" s="95"/>
      <c r="S142" s="95"/>
      <c r="T142" s="95"/>
      <c r="U142" s="95"/>
      <c r="V142" s="95"/>
      <c r="W142" s="95"/>
      <c r="X142" s="95"/>
      <c r="Y142" s="95"/>
      <c r="Z142" s="95"/>
    </row>
    <row r="143" spans="1:26" ht="15" customHeight="1" x14ac:dyDescent="0.15">
      <c r="A143" s="89" t="s">
        <v>81</v>
      </c>
      <c r="B143" s="477"/>
      <c r="C143" s="172">
        <f>INDEX('imp-questions'!E:E, MATCH(A143, 'imp-questions'!A:A, 0))</f>
        <v>3</v>
      </c>
      <c r="D143" s="112" t="str">
        <f>INDEX('imp-questions'!F:F, MATCH(A143, 'imp-questions'!A:A, 0))</f>
        <v>Do you regularly evaluate the effectiveness of your security metrics so that its input helps drive your security strategy?</v>
      </c>
      <c r="E143" s="113" t="str">
        <f>CHAR(65+INDEX('imp-questions'!H:H, MATCH(A143, 'imp-questions'!A:A, 0)))</f>
        <v>A</v>
      </c>
      <c r="F143" s="150"/>
      <c r="G143" s="135">
        <f ca="1">IFERROR(INDEX(INDIRECT("Ans" &amp; E143 &amp; "TBL"), MATCH(F143, INDEX(INDIRECT("Ans" &amp; E143 &amp; "TBL"), 0, 1), 0), 2), 0)</f>
        <v>0</v>
      </c>
      <c r="H143" s="155"/>
      <c r="I143" s="516"/>
      <c r="J143" s="121"/>
      <c r="K143" s="95"/>
      <c r="L143" s="96"/>
      <c r="M143" s="96"/>
      <c r="N143" s="96"/>
      <c r="O143" s="96"/>
      <c r="P143" s="96"/>
      <c r="Q143" s="95"/>
      <c r="R143" s="95"/>
      <c r="S143" s="95"/>
      <c r="T143" s="95"/>
      <c r="U143" s="95"/>
      <c r="V143" s="95"/>
      <c r="W143" s="95"/>
      <c r="X143" s="95"/>
      <c r="Y143" s="95"/>
      <c r="Z143" s="95"/>
    </row>
    <row r="144" spans="1:26" ht="56" customHeight="1" x14ac:dyDescent="0.15">
      <c r="B144" s="478"/>
      <c r="C144" s="427"/>
      <c r="D144" s="431" t="str">
        <f>INDEX('imp-questions'!G:G, MATCH(A143, 'imp-questions'!A:A, 0))</f>
        <v>You have analyzed the effectiveness of the security metrics at least once in the last year
 Where possible, you verify the correctness of the data automatically
 The metrics is aggregated with other sources like threat intelligence or incident management
 You derived at least one strategic activity from the metrics in the last year</v>
      </c>
      <c r="E144" s="432"/>
      <c r="F144" s="433"/>
      <c r="G144" s="166"/>
      <c r="H144" s="156"/>
      <c r="I144" s="484"/>
      <c r="J144" s="121"/>
      <c r="K144" s="95"/>
      <c r="L144" s="96"/>
      <c r="M144" s="96"/>
      <c r="N144" s="96"/>
      <c r="O144" s="96"/>
      <c r="P144" s="96"/>
      <c r="Q144" s="95"/>
      <c r="R144" s="95"/>
      <c r="S144" s="95"/>
      <c r="T144" s="95"/>
      <c r="U144" s="95"/>
      <c r="V144" s="95"/>
      <c r="W144" s="95"/>
      <c r="X144" s="95"/>
      <c r="Y144" s="95"/>
      <c r="Z144" s="95"/>
    </row>
    <row r="145" spans="1:26" ht="22.25" customHeight="1" x14ac:dyDescent="0.15">
      <c r="B145" s="522" t="s">
        <v>82</v>
      </c>
      <c r="C145" s="496"/>
      <c r="D145" s="496"/>
      <c r="E145" s="496"/>
      <c r="F145" s="496"/>
      <c r="G145" s="496"/>
      <c r="H145" s="496"/>
      <c r="I145" s="496"/>
      <c r="J145" s="496"/>
      <c r="K145" s="95"/>
      <c r="L145" s="96"/>
      <c r="M145" s="96"/>
      <c r="N145" s="96"/>
      <c r="O145" s="96"/>
      <c r="P145" s="96"/>
      <c r="Q145" s="95"/>
      <c r="R145" s="95"/>
      <c r="S145" s="95"/>
      <c r="T145" s="95"/>
      <c r="U145" s="95"/>
      <c r="V145" s="95"/>
      <c r="W145" s="95"/>
      <c r="X145" s="95"/>
      <c r="Y145" s="95"/>
      <c r="Z145" s="95"/>
    </row>
    <row r="146" spans="1:26" ht="14" x14ac:dyDescent="0.15">
      <c r="B146" s="482" t="s">
        <v>83</v>
      </c>
      <c r="C146" s="483"/>
      <c r="D146" s="484"/>
      <c r="E146" s="182"/>
      <c r="F146" s="181" t="s">
        <v>15</v>
      </c>
      <c r="G146" s="181"/>
      <c r="H146" s="183"/>
      <c r="I146" s="184" t="s">
        <v>16</v>
      </c>
      <c r="J146" s="184" t="s">
        <v>17</v>
      </c>
      <c r="K146" s="95"/>
      <c r="L146" s="96"/>
      <c r="M146" s="96"/>
      <c r="N146" s="96"/>
      <c r="O146" s="96"/>
      <c r="P146" s="96"/>
      <c r="Q146" s="95"/>
      <c r="R146" s="95"/>
      <c r="S146" s="95"/>
      <c r="T146" s="95"/>
      <c r="U146" s="95"/>
      <c r="V146" s="95"/>
      <c r="W146" s="95"/>
      <c r="X146" s="95"/>
      <c r="Y146" s="95"/>
      <c r="Z146" s="95"/>
    </row>
    <row r="147" spans="1:26" ht="12.75" customHeight="1" x14ac:dyDescent="0.15">
      <c r="A147" s="89" t="s">
        <v>84</v>
      </c>
      <c r="B147" s="500" t="str">
        <f>INDEX('imp-questions'!D:D, MATCH(A147, 'imp-questions'!A:A, 0))</f>
        <v>Architecture Validation</v>
      </c>
      <c r="C147" s="185">
        <f>INDEX('imp-questions'!E:E, MATCH(A147, 'imp-questions'!A:A, 0))</f>
        <v>1</v>
      </c>
      <c r="D147" s="112" t="str">
        <f>INDEX('imp-questions'!F:F, MATCH(A147, 'imp-questions'!A:A, 0))</f>
        <v>Do you review the application architecture for key security objectives on an ad-hoc basis?</v>
      </c>
      <c r="E147" s="113" t="str">
        <f>CHAR(65+INDEX('imp-questions'!H:H, MATCH(A147, 'imp-questions'!A:A, 0)))</f>
        <v>A</v>
      </c>
      <c r="F147" s="150"/>
      <c r="G147" s="135">
        <f ca="1">IFERROR(INDEX(INDIRECT("Ans" &amp; E147 &amp; "TBL"), MATCH(F147, INDEX(INDIRECT("Ans" &amp; E147 &amp; "TBL"), 0, 1), 0), 2), 0)</f>
        <v>0</v>
      </c>
      <c r="H147" s="127">
        <f ca="1">IFERROR(AVERAGE(G147,G154),0)</f>
        <v>0</v>
      </c>
      <c r="I147" s="510"/>
      <c r="J147" s="518">
        <f ca="1">SUM(H147,H149,H151)</f>
        <v>0</v>
      </c>
      <c r="K147" s="95"/>
      <c r="L147" s="96"/>
      <c r="M147" s="96"/>
      <c r="N147" s="96"/>
      <c r="O147" s="96"/>
      <c r="P147" s="96"/>
      <c r="Q147" s="95"/>
      <c r="R147" s="95"/>
      <c r="S147" s="95"/>
      <c r="T147" s="95"/>
      <c r="U147" s="95"/>
      <c r="V147" s="95"/>
      <c r="W147" s="95"/>
      <c r="X147" s="95"/>
      <c r="Y147" s="95"/>
      <c r="Z147" s="95"/>
    </row>
    <row r="148" spans="1:26" ht="56" customHeight="1" x14ac:dyDescent="0.15">
      <c r="B148" s="477"/>
      <c r="C148" s="443"/>
      <c r="D148" s="444" t="str">
        <f>INDEX('imp-questions'!G:G, MATCH(A147, 'imp-questions'!A:A, 0))</f>
        <v>You have an agreed upon model of the overall software architecture
 You include components, interfaces, and integrations in the architecture model
 You verify the correct provision of general security mechanisms
 You log missing security controls as defects</v>
      </c>
      <c r="E148" s="445"/>
      <c r="F148" s="446"/>
      <c r="G148" s="137"/>
      <c r="H148" s="139"/>
      <c r="I148" s="511"/>
      <c r="J148" s="469"/>
      <c r="K148" s="95"/>
      <c r="L148" s="96"/>
      <c r="M148" s="96"/>
      <c r="N148" s="96"/>
      <c r="O148" s="96"/>
      <c r="P148" s="96"/>
      <c r="Q148" s="95"/>
      <c r="R148" s="95"/>
      <c r="S148" s="95"/>
      <c r="T148" s="95"/>
      <c r="U148" s="95"/>
      <c r="V148" s="95"/>
      <c r="W148" s="95"/>
      <c r="X148" s="95"/>
      <c r="Y148" s="95"/>
      <c r="Z148" s="95"/>
    </row>
    <row r="149" spans="1:26" ht="14" x14ac:dyDescent="0.15">
      <c r="A149" s="89" t="s">
        <v>85</v>
      </c>
      <c r="B149" s="477"/>
      <c r="C149" s="185">
        <f>INDEX('imp-questions'!E:E, MATCH(A149, 'imp-questions'!A:A, 0))</f>
        <v>2</v>
      </c>
      <c r="D149" s="112" t="str">
        <f>INDEX('imp-questions'!F:F, MATCH(A149, 'imp-questions'!A:A, 0))</f>
        <v>Do you regularly review the security mechanisms of your architecture?</v>
      </c>
      <c r="E149" s="113" t="str">
        <f>CHAR(65+INDEX('imp-questions'!H:H, MATCH(A149, 'imp-questions'!A:A, 0)))</f>
        <v>A</v>
      </c>
      <c r="F149" s="150"/>
      <c r="G149" s="135">
        <f ca="1">IFERROR(INDEX(INDIRECT("Ans" &amp; E149 &amp; "TBL"), MATCH(F149, INDEX(INDIRECT("Ans" &amp; E149 &amp; "TBL"), 0, 1), 0), 2), 0)</f>
        <v>0</v>
      </c>
      <c r="H149" s="127">
        <f ca="1">IFERROR(AVERAGE(G149,G156),0)</f>
        <v>0</v>
      </c>
      <c r="I149" s="512"/>
      <c r="J149" s="141"/>
      <c r="K149" s="95"/>
      <c r="L149" s="96"/>
      <c r="M149" s="96"/>
      <c r="N149" s="96"/>
      <c r="O149" s="96"/>
      <c r="P149" s="96"/>
      <c r="Q149" s="95"/>
      <c r="R149" s="95"/>
      <c r="S149" s="95"/>
      <c r="T149" s="95"/>
      <c r="U149" s="95"/>
      <c r="V149" s="95"/>
      <c r="W149" s="95"/>
      <c r="X149" s="95"/>
      <c r="Y149" s="95"/>
      <c r="Z149" s="95"/>
    </row>
    <row r="150" spans="1:26" ht="56" customHeight="1" x14ac:dyDescent="0.15">
      <c r="B150" s="477"/>
      <c r="C150" s="443"/>
      <c r="D150" s="444" t="str">
        <f>INDEX('imp-questions'!G:G, MATCH(A149, 'imp-questions'!A:A, 0))</f>
        <v>You review compliance with internal and external requirements
 You systematically review each interface in the system
 You use a formalized review method and structured validation
 You log missing security mechanisms as defects</v>
      </c>
      <c r="E150" s="445"/>
      <c r="F150" s="446"/>
      <c r="G150" s="137"/>
      <c r="H150" s="142"/>
      <c r="I150" s="471"/>
      <c r="J150" s="141"/>
      <c r="K150" s="95"/>
      <c r="L150" s="96"/>
      <c r="M150" s="96"/>
      <c r="N150" s="96"/>
      <c r="O150" s="96"/>
      <c r="P150" s="96"/>
      <c r="Q150" s="95"/>
      <c r="R150" s="95"/>
      <c r="S150" s="95"/>
      <c r="T150" s="95"/>
      <c r="U150" s="95"/>
      <c r="V150" s="95"/>
      <c r="W150" s="95"/>
      <c r="X150" s="95"/>
      <c r="Y150" s="95"/>
      <c r="Z150" s="95"/>
    </row>
    <row r="151" spans="1:26" ht="14" x14ac:dyDescent="0.15">
      <c r="A151" s="89" t="s">
        <v>86</v>
      </c>
      <c r="B151" s="477"/>
      <c r="C151" s="185">
        <f>INDEX('imp-questions'!E:E, MATCH(A151, 'imp-questions'!A:A, 0))</f>
        <v>3</v>
      </c>
      <c r="D151" s="112" t="str">
        <f>INDEX('imp-questions'!F:F, MATCH(A151, 'imp-questions'!A:A, 0))</f>
        <v>Do you regularly review the effectiveness of the security controls?</v>
      </c>
      <c r="E151" s="113" t="str">
        <f>CHAR(65+INDEX('imp-questions'!H:H, MATCH(A151, 'imp-questions'!A:A, 0)))</f>
        <v>A</v>
      </c>
      <c r="F151" s="150"/>
      <c r="G151" s="135">
        <f ca="1">IFERROR(INDEX(INDIRECT("Ans" &amp; E151 &amp; "TBL"), MATCH(F151, INDEX(INDIRECT("Ans" &amp; E151 &amp; "TBL"), 0, 1), 0), 2), 0)</f>
        <v>0</v>
      </c>
      <c r="H151" s="127">
        <f ca="1">IFERROR(AVERAGE(G151,G158),0)</f>
        <v>0</v>
      </c>
      <c r="I151" s="470"/>
      <c r="J151" s="141"/>
      <c r="K151" s="95"/>
      <c r="L151" s="96"/>
      <c r="M151" s="96"/>
      <c r="N151" s="96"/>
      <c r="O151" s="96"/>
      <c r="P151" s="96"/>
      <c r="Q151" s="95"/>
      <c r="R151" s="95"/>
      <c r="S151" s="95"/>
      <c r="T151" s="95"/>
      <c r="U151" s="95"/>
      <c r="V151" s="95"/>
      <c r="W151" s="95"/>
      <c r="X151" s="95"/>
      <c r="Y151" s="95"/>
      <c r="Z151" s="95"/>
    </row>
    <row r="152" spans="1:26" ht="56" customHeight="1" x14ac:dyDescent="0.15">
      <c r="B152" s="478"/>
      <c r="C152" s="443"/>
      <c r="D152" s="444" t="str">
        <f>INDEX('imp-questions'!G:G, MATCH(A151, 'imp-questions'!A:A, 0))</f>
        <v>You evaluate the preventive, detective, and response capabilities of security controls
 You evaluate the strategy alignment, appropriate support, and scalability of security controls
 You evaluate the effectiveness at least yearly
 You log identified shortcomings as defects</v>
      </c>
      <c r="E152" s="445"/>
      <c r="F152" s="446"/>
      <c r="G152" s="137"/>
      <c r="H152" s="142"/>
      <c r="I152" s="471"/>
      <c r="J152" s="141"/>
      <c r="K152" s="95"/>
      <c r="L152" s="96"/>
      <c r="M152" s="96"/>
      <c r="N152" s="96"/>
      <c r="O152" s="96"/>
      <c r="P152" s="96"/>
      <c r="Q152" s="95"/>
      <c r="R152" s="95"/>
      <c r="S152" s="95"/>
      <c r="T152" s="95"/>
      <c r="U152" s="95"/>
      <c r="V152" s="95"/>
      <c r="W152" s="95"/>
      <c r="X152" s="95"/>
      <c r="Y152" s="95"/>
      <c r="Z152" s="95"/>
    </row>
    <row r="153" spans="1:26" x14ac:dyDescent="0.15">
      <c r="B153" s="123"/>
      <c r="C153" s="124"/>
      <c r="D153" s="125"/>
      <c r="E153" s="125"/>
      <c r="F153" s="125"/>
      <c r="G153" s="125"/>
      <c r="H153" s="153"/>
      <c r="I153" s="126"/>
      <c r="J153" s="121"/>
      <c r="K153" s="95"/>
      <c r="L153" s="96"/>
      <c r="M153" s="96"/>
      <c r="N153" s="96"/>
      <c r="O153" s="96"/>
      <c r="P153" s="96"/>
      <c r="Q153" s="95"/>
      <c r="R153" s="95"/>
      <c r="S153" s="95"/>
      <c r="T153" s="95"/>
      <c r="U153" s="95"/>
      <c r="V153" s="95"/>
      <c r="W153" s="95"/>
      <c r="X153" s="95"/>
      <c r="Y153" s="95"/>
      <c r="Z153" s="95"/>
    </row>
    <row r="154" spans="1:26" ht="15" customHeight="1" x14ac:dyDescent="0.15">
      <c r="A154" s="89" t="s">
        <v>87</v>
      </c>
      <c r="B154" s="500" t="str">
        <f>INDEX('imp-questions'!D:D, MATCH(A154, 'imp-questions'!A:A, 0))</f>
        <v>Architecture Mitigation</v>
      </c>
      <c r="C154" s="186">
        <f>INDEX('imp-questions'!E:E, MATCH(A154, 'imp-questions'!A:A, 0))</f>
        <v>1</v>
      </c>
      <c r="D154" s="112" t="str">
        <f>INDEX('imp-questions'!F:F, MATCH(A154, 'imp-questions'!A:A, 0))</f>
        <v>Do you review the application architecture for mitigations of typical threats on an ad-hoc basis?</v>
      </c>
      <c r="E154" s="113" t="str">
        <f>CHAR(65+INDEX('imp-questions'!H:H, MATCH(A154, 'imp-questions'!A:A, 0)))</f>
        <v>A</v>
      </c>
      <c r="F154" s="150"/>
      <c r="G154" s="135">
        <f ca="1">IFERROR(INDEX(INDIRECT("Ans" &amp; E154 &amp; "TBL"), MATCH(F154, INDEX(INDIRECT("Ans" &amp; E154 &amp; "TBL"), 0, 1), 0), 2), 0)</f>
        <v>0</v>
      </c>
      <c r="H154" s="155"/>
      <c r="I154" s="516"/>
      <c r="J154" s="121"/>
      <c r="K154" s="95"/>
      <c r="L154" s="96"/>
      <c r="M154" s="96"/>
      <c r="N154" s="96"/>
      <c r="O154" s="96"/>
      <c r="P154" s="96"/>
      <c r="Q154" s="95"/>
      <c r="R154" s="95"/>
      <c r="S154" s="95"/>
      <c r="T154" s="95"/>
      <c r="U154" s="95"/>
      <c r="V154" s="95"/>
      <c r="W154" s="95"/>
      <c r="X154" s="95"/>
      <c r="Y154" s="95"/>
      <c r="Z154" s="95"/>
    </row>
    <row r="155" spans="1:26" ht="42" customHeight="1" x14ac:dyDescent="0.15">
      <c r="B155" s="477"/>
      <c r="C155" s="443"/>
      <c r="D155" s="444" t="str">
        <f>INDEX('imp-questions'!G:G, MATCH(A154, 'imp-questions'!A:A, 0))</f>
        <v>You have an agreed upon model of the overall software architecture
 Security savvy staff conduct the review
 You consider different types of threats, including insider and data-related ones</v>
      </c>
      <c r="E155" s="445"/>
      <c r="F155" s="446"/>
      <c r="G155" s="137"/>
      <c r="H155" s="156"/>
      <c r="I155" s="484"/>
      <c r="J155" s="121"/>
      <c r="K155" s="95"/>
      <c r="L155" s="96"/>
      <c r="M155" s="96"/>
      <c r="N155" s="96"/>
      <c r="O155" s="96"/>
      <c r="P155" s="96"/>
      <c r="Q155" s="95"/>
      <c r="R155" s="95"/>
      <c r="S155" s="95"/>
      <c r="T155" s="95"/>
      <c r="U155" s="95"/>
      <c r="V155" s="95"/>
      <c r="W155" s="95"/>
      <c r="X155" s="95"/>
      <c r="Y155" s="95"/>
      <c r="Z155" s="95"/>
    </row>
    <row r="156" spans="1:26" ht="14" x14ac:dyDescent="0.15">
      <c r="A156" s="89" t="s">
        <v>88</v>
      </c>
      <c r="B156" s="477"/>
      <c r="C156" s="185">
        <f>INDEX('imp-questions'!E:E, MATCH(A156, 'imp-questions'!A:A, 0))</f>
        <v>2</v>
      </c>
      <c r="D156" s="112" t="str">
        <f>INDEX('imp-questions'!F:F, MATCH(A156, 'imp-questions'!A:A, 0))</f>
        <v>Do you regularly evaluate the threats to your architecture?</v>
      </c>
      <c r="E156" s="113" t="str">
        <f>CHAR(65+INDEX('imp-questions'!H:H, MATCH(A156, 'imp-questions'!A:A, 0)))</f>
        <v>A</v>
      </c>
      <c r="F156" s="150"/>
      <c r="G156" s="135">
        <f ca="1">IFERROR(INDEX(INDIRECT("Ans" &amp; E156 &amp; "TBL"), MATCH(F156, INDEX(INDIRECT("Ans" &amp; E156 &amp; "TBL"), 0, 1), 0), 2), 0)</f>
        <v>0</v>
      </c>
      <c r="H156" s="155"/>
      <c r="I156" s="516"/>
      <c r="J156" s="121"/>
      <c r="K156" s="95"/>
      <c r="L156" s="96"/>
      <c r="M156" s="96"/>
      <c r="N156" s="96"/>
      <c r="O156" s="96"/>
      <c r="P156" s="96"/>
      <c r="Q156" s="95"/>
      <c r="R156" s="95"/>
      <c r="S156" s="95"/>
      <c r="T156" s="95"/>
      <c r="U156" s="95"/>
      <c r="V156" s="95"/>
      <c r="W156" s="95"/>
      <c r="X156" s="95"/>
      <c r="Y156" s="95"/>
      <c r="Z156" s="95"/>
    </row>
    <row r="157" spans="1:26" ht="56" customHeight="1" x14ac:dyDescent="0.15">
      <c r="B157" s="477"/>
      <c r="C157" s="443"/>
      <c r="D157" s="444" t="str">
        <f>INDEX('imp-questions'!G:G, MATCH(A156, 'imp-questions'!A:A, 0))</f>
        <v>You systematically review each threat identified in the Threat Assessment
 Trained or experienced people lead review exercise
 You identify mitigating design-level features for each identified threat
 You log unhandled threats as defects</v>
      </c>
      <c r="E157" s="445"/>
      <c r="F157" s="446"/>
      <c r="G157" s="137"/>
      <c r="H157" s="156"/>
      <c r="I157" s="484"/>
      <c r="J157" s="121"/>
      <c r="K157" s="95"/>
      <c r="L157" s="96"/>
      <c r="M157" s="96"/>
      <c r="N157" s="96"/>
      <c r="O157" s="96"/>
      <c r="P157" s="96"/>
      <c r="Q157" s="95"/>
      <c r="R157" s="95"/>
      <c r="S157" s="95"/>
      <c r="T157" s="95"/>
      <c r="U157" s="95"/>
      <c r="V157" s="95"/>
      <c r="W157" s="95"/>
      <c r="X157" s="95"/>
      <c r="Y157" s="95"/>
      <c r="Z157" s="95"/>
    </row>
    <row r="158" spans="1:26" ht="14" x14ac:dyDescent="0.15">
      <c r="A158" s="89" t="s">
        <v>89</v>
      </c>
      <c r="B158" s="477"/>
      <c r="C158" s="185">
        <f>INDEX('imp-questions'!E:E, MATCH(A158, 'imp-questions'!A:A, 0))</f>
        <v>3</v>
      </c>
      <c r="D158" s="112" t="str">
        <f>INDEX('imp-questions'!F:F, MATCH(A158, 'imp-questions'!A:A, 0))</f>
        <v>Do you regularly update your reference architectures based on architecture assessment findings?</v>
      </c>
      <c r="E158" s="113" t="str">
        <f>CHAR(65+INDEX('imp-questions'!H:H, MATCH(A158, 'imp-questions'!A:A, 0)))</f>
        <v>A</v>
      </c>
      <c r="F158" s="150"/>
      <c r="G158" s="135">
        <f ca="1">IFERROR(INDEX(INDIRECT("Ans" &amp; E158 &amp; "TBL"), MATCH(F158, INDEX(INDIRECT("Ans" &amp; E158 &amp; "TBL"), 0, 1), 0), 2), 0)</f>
        <v>0</v>
      </c>
      <c r="H158" s="155"/>
      <c r="I158" s="516"/>
      <c r="J158" s="121"/>
      <c r="K158" s="95"/>
      <c r="L158" s="96"/>
      <c r="M158" s="96"/>
      <c r="N158" s="96"/>
      <c r="O158" s="96"/>
      <c r="P158" s="96"/>
      <c r="Q158" s="95"/>
      <c r="R158" s="95"/>
      <c r="S158" s="95"/>
      <c r="T158" s="95"/>
      <c r="U158" s="95"/>
      <c r="V158" s="95"/>
      <c r="W158" s="95"/>
      <c r="X158" s="95"/>
      <c r="Y158" s="95"/>
      <c r="Z158" s="95"/>
    </row>
    <row r="159" spans="1:26" ht="56" customHeight="1" x14ac:dyDescent="0.15">
      <c r="B159" s="478"/>
      <c r="C159" s="443"/>
      <c r="D159" s="447" t="str">
        <f>INDEX('imp-questions'!G:G, MATCH(A158, 'imp-questions'!A:A, 0))</f>
        <v>You assess your architectures in a standardized, documented manner
 You use recurring findings to trigger a review of reference architectures
 You independently review the quality of the architecture assessments on an ad-hoc basis
 You use reference architecture updates to trigger reviews of relevant shared solutions, in a risk-based manner</v>
      </c>
      <c r="E159" s="445"/>
      <c r="F159" s="446"/>
      <c r="G159" s="137"/>
      <c r="H159" s="138"/>
      <c r="I159" s="484"/>
      <c r="J159" s="121"/>
      <c r="K159" s="95"/>
      <c r="L159" s="96"/>
      <c r="M159" s="96"/>
      <c r="N159" s="96"/>
      <c r="O159" s="96"/>
      <c r="P159" s="96"/>
      <c r="Q159" s="95"/>
      <c r="R159" s="95"/>
      <c r="S159" s="95"/>
      <c r="T159" s="95"/>
      <c r="U159" s="95"/>
      <c r="V159" s="95"/>
      <c r="W159" s="95"/>
      <c r="X159" s="95"/>
      <c r="Y159" s="95"/>
      <c r="Z159" s="95"/>
    </row>
    <row r="160" spans="1:26" ht="14" x14ac:dyDescent="0.15">
      <c r="B160" s="479" t="s">
        <v>90</v>
      </c>
      <c r="C160" s="480"/>
      <c r="D160" s="481"/>
      <c r="E160" s="187"/>
      <c r="F160" s="188" t="s">
        <v>15</v>
      </c>
      <c r="G160" s="188"/>
      <c r="H160" s="189"/>
      <c r="I160" s="190" t="s">
        <v>16</v>
      </c>
      <c r="J160" s="190" t="s">
        <v>17</v>
      </c>
      <c r="K160" s="95"/>
      <c r="L160" s="96"/>
      <c r="M160" s="96"/>
      <c r="N160" s="96"/>
      <c r="O160" s="96"/>
      <c r="P160" s="96"/>
      <c r="Q160" s="95"/>
      <c r="R160" s="95"/>
      <c r="S160" s="95"/>
      <c r="T160" s="95"/>
      <c r="U160" s="95"/>
      <c r="V160" s="95"/>
      <c r="W160" s="95"/>
      <c r="X160" s="95"/>
      <c r="Y160" s="95"/>
      <c r="Z160" s="95"/>
    </row>
    <row r="161" spans="1:26" ht="14" customHeight="1" x14ac:dyDescent="0.15">
      <c r="A161" s="89" t="s">
        <v>91</v>
      </c>
      <c r="B161" s="521" t="str">
        <f>INDEX('imp-questions'!D:D, MATCH(A161, 'imp-questions'!A:A, 0))</f>
        <v>Control Verification</v>
      </c>
      <c r="C161" s="186">
        <f>INDEX('imp-questions'!E:E, MATCH(A161, 'imp-questions'!A:A, 0))</f>
        <v>1</v>
      </c>
      <c r="D161" s="131" t="str">
        <f>INDEX('imp-questions'!F:F, MATCH(A161, 'imp-questions'!A:A, 0))</f>
        <v>Do you test applications for the correct functioning of standard security controls?</v>
      </c>
      <c r="E161" s="113" t="str">
        <f>CHAR(65+INDEX('imp-questions'!H:H, MATCH(A161, 'imp-questions'!A:A, 0)))</f>
        <v>B</v>
      </c>
      <c r="F161" s="150"/>
      <c r="G161" s="135">
        <f ca="1">IFERROR(INDEX(INDIRECT("Ans" &amp; E161 &amp; "TBL"), MATCH(F161, INDEX(INDIRECT("Ans" &amp; E161 &amp; "TBL"), 0, 1), 0), 2), 0)</f>
        <v>0</v>
      </c>
      <c r="H161" s="127">
        <f ca="1">IFERROR(AVERAGE(G161,G168),0)</f>
        <v>0</v>
      </c>
      <c r="I161" s="510"/>
      <c r="J161" s="518">
        <f ca="1">SUM(H161,H163,H165)</f>
        <v>0</v>
      </c>
      <c r="K161" s="95"/>
      <c r="L161" s="96"/>
      <c r="M161" s="96"/>
      <c r="N161" s="96"/>
      <c r="O161" s="96"/>
      <c r="P161" s="96"/>
      <c r="Q161" s="95"/>
      <c r="R161" s="95"/>
      <c r="S161" s="95"/>
      <c r="T161" s="95"/>
      <c r="U161" s="95"/>
      <c r="V161" s="95"/>
      <c r="W161" s="95"/>
      <c r="X161" s="95"/>
      <c r="Y161" s="95"/>
      <c r="Z161" s="95"/>
    </row>
    <row r="162" spans="1:26" ht="42" customHeight="1" x14ac:dyDescent="0.15">
      <c r="B162" s="477"/>
      <c r="C162" s="443"/>
      <c r="D162" s="444" t="str">
        <f>INDEX('imp-questions'!G:G, MATCH(A161, 'imp-questions'!A:A, 0))</f>
        <v>Security testing at least verifies the implementation of authentication, access control, input validation, encoding and escaping data, and encryption controls
 Security testing executes whenever the application changes its use of the controls</v>
      </c>
      <c r="E162" s="445"/>
      <c r="F162" s="446"/>
      <c r="G162" s="137"/>
      <c r="H162" s="139"/>
      <c r="I162" s="511"/>
      <c r="J162" s="469"/>
      <c r="K162" s="95"/>
      <c r="L162" s="96"/>
      <c r="M162" s="96"/>
      <c r="N162" s="96"/>
      <c r="O162" s="96"/>
      <c r="P162" s="96"/>
      <c r="Q162" s="95"/>
      <c r="R162" s="95"/>
      <c r="S162" s="95"/>
      <c r="T162" s="95"/>
      <c r="U162" s="95"/>
      <c r="V162" s="95"/>
      <c r="W162" s="95"/>
      <c r="X162" s="95"/>
      <c r="Y162" s="95"/>
      <c r="Z162" s="95"/>
    </row>
    <row r="163" spans="1:26" ht="14" x14ac:dyDescent="0.15">
      <c r="A163" s="89" t="s">
        <v>92</v>
      </c>
      <c r="B163" s="477"/>
      <c r="C163" s="185">
        <f>INDEX('imp-questions'!E:E, MATCH(A163, 'imp-questions'!A:A, 0))</f>
        <v>2</v>
      </c>
      <c r="D163" s="112" t="str">
        <f>INDEX('imp-questions'!F:F, MATCH(A163, 'imp-questions'!A:A, 0))</f>
        <v>Do you consistently write and execute test scripts to verify the functionality of security requirements?</v>
      </c>
      <c r="E163" s="113" t="str">
        <f>CHAR(65+INDEX('imp-questions'!H:H, MATCH(A163, 'imp-questions'!A:A, 0)))</f>
        <v>B</v>
      </c>
      <c r="F163" s="150"/>
      <c r="G163" s="135">
        <f ca="1">IFERROR(INDEX(INDIRECT("Ans" &amp; E163 &amp; "TBL"), MATCH(F163, INDEX(INDIRECT("Ans" &amp; E163 &amp; "TBL"), 0, 1), 0), 2), 0)</f>
        <v>0</v>
      </c>
      <c r="H163" s="127">
        <f ca="1">IFERROR(AVERAGE(G163,G170),0)</f>
        <v>0</v>
      </c>
      <c r="I163" s="512"/>
      <c r="J163" s="141"/>
      <c r="K163" s="95"/>
      <c r="L163" s="96"/>
      <c r="M163" s="96"/>
      <c r="N163" s="96"/>
      <c r="O163" s="96"/>
      <c r="P163" s="96"/>
      <c r="Q163" s="95"/>
      <c r="R163" s="95"/>
      <c r="S163" s="95"/>
      <c r="T163" s="95"/>
      <c r="U163" s="95"/>
      <c r="V163" s="95"/>
      <c r="W163" s="95"/>
      <c r="X163" s="95"/>
      <c r="Y163" s="95"/>
      <c r="Z163" s="95"/>
    </row>
    <row r="164" spans="1:26" ht="42" customHeight="1" x14ac:dyDescent="0.15">
      <c r="B164" s="477"/>
      <c r="C164" s="443"/>
      <c r="D164" s="444" t="str">
        <f>INDEX('imp-questions'!G:G, MATCH(A163, 'imp-questions'!A:A, 0))</f>
        <v>You tailor tests to each application and assert expected security functionality
 You capture test results as a pass or fail condition
 Tests use a standardized framework or DSL</v>
      </c>
      <c r="E164" s="445"/>
      <c r="F164" s="446"/>
      <c r="G164" s="137"/>
      <c r="H164" s="142"/>
      <c r="I164" s="471"/>
      <c r="J164" s="141"/>
      <c r="K164" s="95"/>
      <c r="L164" s="96"/>
      <c r="M164" s="96"/>
      <c r="N164" s="96"/>
      <c r="O164" s="96"/>
      <c r="P164" s="96"/>
      <c r="Q164" s="95"/>
      <c r="R164" s="95"/>
      <c r="S164" s="95"/>
      <c r="T164" s="95"/>
      <c r="U164" s="95"/>
      <c r="V164" s="95"/>
      <c r="W164" s="95"/>
      <c r="X164" s="95"/>
      <c r="Y164" s="95"/>
      <c r="Z164" s="95"/>
    </row>
    <row r="165" spans="1:26" ht="14" x14ac:dyDescent="0.15">
      <c r="A165" s="89" t="s">
        <v>93</v>
      </c>
      <c r="B165" s="477"/>
      <c r="C165" s="185">
        <f>INDEX('imp-questions'!E:E, MATCH(A165, 'imp-questions'!A:A, 0))</f>
        <v>3</v>
      </c>
      <c r="D165" s="112" t="str">
        <f>INDEX('imp-questions'!F:F, MATCH(A165, 'imp-questions'!A:A, 0))</f>
        <v>Do you automatically test applications for security regressions?</v>
      </c>
      <c r="E165" s="113" t="str">
        <f>CHAR(65+INDEX('imp-questions'!H:H, MATCH(A165, 'imp-questions'!A:A, 0)))</f>
        <v>A</v>
      </c>
      <c r="F165" s="150"/>
      <c r="G165" s="135">
        <f ca="1">IFERROR(INDEX(INDIRECT("Ans" &amp; E165 &amp; "TBL"), MATCH(F165, INDEX(INDIRECT("Ans" &amp; E165 &amp; "TBL"), 0, 1), 0), 2), 0)</f>
        <v>0</v>
      </c>
      <c r="H165" s="127">
        <f ca="1">IFERROR(AVERAGE(G165,G172),0)</f>
        <v>0</v>
      </c>
      <c r="I165" s="470"/>
      <c r="J165" s="141"/>
      <c r="K165" s="95"/>
      <c r="L165" s="96"/>
      <c r="M165" s="96"/>
      <c r="N165" s="96"/>
      <c r="O165" s="96"/>
      <c r="P165" s="96"/>
      <c r="Q165" s="95"/>
      <c r="R165" s="95"/>
      <c r="S165" s="95"/>
      <c r="T165" s="95"/>
      <c r="U165" s="95"/>
      <c r="V165" s="95"/>
      <c r="W165" s="95"/>
      <c r="X165" s="95"/>
      <c r="Y165" s="95"/>
      <c r="Z165" s="95"/>
    </row>
    <row r="166" spans="1:26" ht="28" customHeight="1" x14ac:dyDescent="0.15">
      <c r="B166" s="478"/>
      <c r="C166" s="443"/>
      <c r="D166" s="444" t="str">
        <f>INDEX('imp-questions'!G:G, MATCH(A165, 'imp-questions'!A:A, 0))</f>
        <v>You consistently write tests for all identified bugs (possibly exceeding a pre-defined severity threshold)
 You collect security tests in a test suite that is part of the existing unit testing framework</v>
      </c>
      <c r="E166" s="445"/>
      <c r="F166" s="446"/>
      <c r="G166" s="137"/>
      <c r="H166" s="142"/>
      <c r="I166" s="471"/>
      <c r="J166" s="141"/>
      <c r="K166" s="95"/>
      <c r="L166" s="96"/>
      <c r="M166" s="96"/>
      <c r="N166" s="96"/>
      <c r="O166" s="96"/>
      <c r="P166" s="96"/>
      <c r="Q166" s="95"/>
      <c r="R166" s="95"/>
      <c r="S166" s="95"/>
      <c r="T166" s="95"/>
      <c r="U166" s="95"/>
      <c r="V166" s="95"/>
      <c r="W166" s="95"/>
      <c r="X166" s="95"/>
      <c r="Y166" s="95"/>
      <c r="Z166" s="95"/>
    </row>
    <row r="167" spans="1:26" x14ac:dyDescent="0.15">
      <c r="B167" s="123"/>
      <c r="C167" s="124"/>
      <c r="D167" s="125"/>
      <c r="E167" s="125"/>
      <c r="F167" s="125"/>
      <c r="G167" s="125"/>
      <c r="H167" s="153"/>
      <c r="I167" s="126"/>
      <c r="J167" s="121"/>
      <c r="K167" s="95"/>
      <c r="L167" s="96"/>
      <c r="M167" s="96"/>
      <c r="N167" s="96"/>
      <c r="O167" s="96"/>
      <c r="P167" s="96"/>
      <c r="Q167" s="95"/>
      <c r="R167" s="95"/>
      <c r="S167" s="95"/>
      <c r="T167" s="95"/>
      <c r="U167" s="95"/>
      <c r="V167" s="95"/>
      <c r="W167" s="95"/>
      <c r="X167" s="95"/>
      <c r="Y167" s="95"/>
      <c r="Z167" s="95"/>
    </row>
    <row r="168" spans="1:26" ht="15" customHeight="1" x14ac:dyDescent="0.15">
      <c r="A168" s="89" t="s">
        <v>94</v>
      </c>
      <c r="B168" s="500" t="str">
        <f>INDEX('imp-questions'!D:D, MATCH(A168, 'imp-questions'!A:A, 0))</f>
        <v>Misuse/Abuse Testing</v>
      </c>
      <c r="C168" s="186">
        <f>INDEX('imp-questions'!E:E, MATCH(A168, 'imp-questions'!A:A, 0))</f>
        <v>1</v>
      </c>
      <c r="D168" s="112" t="str">
        <f>INDEX('imp-questions'!F:F, MATCH(A168, 'imp-questions'!A:A, 0))</f>
        <v>Do you test applications using randomization or fuzzing techniques?</v>
      </c>
      <c r="E168" s="113" t="str">
        <f>CHAR(65+INDEX('imp-questions'!H:H, MATCH(A168, 'imp-questions'!A:A, 0)))</f>
        <v>A</v>
      </c>
      <c r="F168" s="150"/>
      <c r="G168" s="135">
        <f ca="1">IFERROR(INDEX(INDIRECT("Ans" &amp; E168 &amp; "TBL"), MATCH(F168, INDEX(INDIRECT("Ans" &amp; E168 &amp; "TBL"), 0, 1), 0), 2), 0)</f>
        <v>0</v>
      </c>
      <c r="H168" s="155"/>
      <c r="I168" s="516"/>
      <c r="J168" s="121"/>
      <c r="K168" s="95"/>
      <c r="L168" s="96"/>
      <c r="M168" s="96"/>
      <c r="N168" s="96"/>
      <c r="O168" s="96"/>
      <c r="P168" s="96"/>
      <c r="Q168" s="95"/>
      <c r="R168" s="95"/>
      <c r="S168" s="95"/>
      <c r="T168" s="95"/>
      <c r="U168" s="95"/>
      <c r="V168" s="95"/>
      <c r="W168" s="95"/>
      <c r="X168" s="95"/>
      <c r="Y168" s="95"/>
      <c r="Z168" s="95"/>
    </row>
    <row r="169" spans="1:26" ht="28" customHeight="1" x14ac:dyDescent="0.15">
      <c r="B169" s="477"/>
      <c r="C169" s="443"/>
      <c r="D169" s="444" t="str">
        <f>INDEX('imp-questions'!G:G, MATCH(A168, 'imp-questions'!A:A, 0))</f>
        <v>Testing covers most or all of the application's main input parameters
 You record and inspect all application crashes for security impact on a best-effort basis</v>
      </c>
      <c r="E169" s="445"/>
      <c r="F169" s="446"/>
      <c r="G169" s="137"/>
      <c r="H169" s="156"/>
      <c r="I169" s="484"/>
      <c r="J169" s="121"/>
      <c r="K169" s="95"/>
      <c r="L169" s="96"/>
      <c r="M169" s="96"/>
      <c r="N169" s="96"/>
      <c r="O169" s="96"/>
      <c r="P169" s="96"/>
      <c r="Q169" s="95"/>
      <c r="R169" s="95"/>
      <c r="S169" s="95"/>
      <c r="T169" s="95"/>
      <c r="U169" s="95"/>
      <c r="V169" s="95"/>
      <c r="W169" s="95"/>
      <c r="X169" s="95"/>
      <c r="Y169" s="95"/>
      <c r="Z169" s="95"/>
    </row>
    <row r="170" spans="1:26" ht="14" x14ac:dyDescent="0.15">
      <c r="A170" s="89" t="s">
        <v>95</v>
      </c>
      <c r="B170" s="477"/>
      <c r="C170" s="185">
        <f>INDEX('imp-questions'!E:E, MATCH(A170, 'imp-questions'!A:A, 0))</f>
        <v>2</v>
      </c>
      <c r="D170" s="112" t="str">
        <f>INDEX('imp-questions'!F:F, MATCH(A170, 'imp-questions'!A:A, 0))</f>
        <v>Do you create abuse cases from functional requirements and use them to drive security tests?</v>
      </c>
      <c r="E170" s="113" t="str">
        <f>CHAR(65+INDEX('imp-questions'!H:H, MATCH(A170, 'imp-questions'!A:A, 0)))</f>
        <v>E</v>
      </c>
      <c r="F170" s="191"/>
      <c r="G170" s="135">
        <f ca="1">IFERROR(INDEX(INDIRECT("Ans" &amp; E170 &amp; "TBL"), MATCH(F170, INDEX(INDIRECT("Ans" &amp; E170 &amp; "TBL"), 0, 1), 0), 2), 0)</f>
        <v>0</v>
      </c>
      <c r="H170" s="155"/>
      <c r="I170" s="516"/>
      <c r="J170" s="121"/>
      <c r="K170" s="95"/>
      <c r="L170" s="96"/>
      <c r="M170" s="96"/>
      <c r="N170" s="96"/>
      <c r="O170" s="96"/>
      <c r="P170" s="96"/>
      <c r="Q170" s="95"/>
      <c r="R170" s="95"/>
      <c r="S170" s="95"/>
      <c r="T170" s="95"/>
      <c r="U170" s="95"/>
      <c r="V170" s="95"/>
      <c r="W170" s="95"/>
      <c r="X170" s="95"/>
      <c r="Y170" s="95"/>
      <c r="Z170" s="95"/>
    </row>
    <row r="171" spans="1:26" ht="42" customHeight="1" x14ac:dyDescent="0.15">
      <c r="B171" s="477"/>
      <c r="C171" s="443"/>
      <c r="D171" s="444" t="str">
        <f>INDEX('imp-questions'!G:G, MATCH(A170, 'imp-questions'!A:A, 0))</f>
        <v>Important business functionality has corresponding abuse cases
 You build abuse stories around relevant personas with well-defined motivations and characteristics
 You capture identified weaknesses as security requirements</v>
      </c>
      <c r="E171" s="445"/>
      <c r="F171" s="446"/>
      <c r="G171" s="137"/>
      <c r="H171" s="156"/>
      <c r="I171" s="484"/>
      <c r="J171" s="121"/>
      <c r="K171" s="95"/>
      <c r="L171" s="96"/>
      <c r="M171" s="96"/>
      <c r="N171" s="96"/>
      <c r="O171" s="96"/>
      <c r="P171" s="96"/>
      <c r="Q171" s="95"/>
      <c r="R171" s="95"/>
      <c r="S171" s="95"/>
      <c r="T171" s="95"/>
      <c r="U171" s="95"/>
      <c r="V171" s="95"/>
      <c r="W171" s="95"/>
      <c r="X171" s="95"/>
      <c r="Y171" s="95"/>
      <c r="Z171" s="95"/>
    </row>
    <row r="172" spans="1:26" ht="14" x14ac:dyDescent="0.15">
      <c r="A172" s="89" t="s">
        <v>96</v>
      </c>
      <c r="B172" s="477"/>
      <c r="C172" s="185">
        <f>INDEX('imp-questions'!E:E, MATCH(A172, 'imp-questions'!A:A, 0))</f>
        <v>3</v>
      </c>
      <c r="D172" s="112" t="str">
        <f>INDEX('imp-questions'!F:F, MATCH(A172, 'imp-questions'!A:A, 0))</f>
        <v>Do you perform denial of service and security stress testing?</v>
      </c>
      <c r="E172" s="113" t="str">
        <f>CHAR(65+INDEX('imp-questions'!H:H, MATCH(A172, 'imp-questions'!A:A, 0)))</f>
        <v>E</v>
      </c>
      <c r="F172" s="191"/>
      <c r="G172" s="135">
        <f ca="1">IFERROR(INDEX(INDIRECT("Ans" &amp; E172 &amp; "TBL"), MATCH(F172, INDEX(INDIRECT("Ans" &amp; E172 &amp; "TBL"), 0, 1), 0), 2), 0)</f>
        <v>0</v>
      </c>
      <c r="H172" s="155"/>
      <c r="I172" s="516"/>
      <c r="J172" s="121"/>
      <c r="K172" s="95"/>
      <c r="L172" s="96"/>
      <c r="M172" s="96"/>
      <c r="N172" s="96"/>
      <c r="O172" s="96"/>
      <c r="P172" s="96"/>
      <c r="Q172" s="95"/>
      <c r="R172" s="95"/>
      <c r="S172" s="95"/>
      <c r="T172" s="95"/>
      <c r="U172" s="95"/>
      <c r="V172" s="95"/>
      <c r="W172" s="95"/>
      <c r="X172" s="95"/>
      <c r="Y172" s="95"/>
      <c r="Z172" s="95"/>
    </row>
    <row r="173" spans="1:26" ht="42" customHeight="1" x14ac:dyDescent="0.15">
      <c r="B173" s="478"/>
      <c r="C173" s="443"/>
      <c r="D173" s="447" t="str">
        <f>INDEX('imp-questions'!G:G, MATCH(A172, 'imp-questions'!A:A, 0))</f>
        <v>Stress tests target specific application resources (e.g. memory exhaustion by saving large amounts of data to a user session)
 You design tests around relevant personas with well-defined capabilities (knowledge, resources)
 You feed the results back to the Design practices</v>
      </c>
      <c r="E173" s="445"/>
      <c r="F173" s="446"/>
      <c r="G173" s="137"/>
      <c r="H173" s="138"/>
      <c r="I173" s="484"/>
      <c r="J173" s="121"/>
      <c r="K173" s="95"/>
      <c r="L173" s="96"/>
      <c r="M173" s="96"/>
      <c r="N173" s="96"/>
      <c r="O173" s="96"/>
      <c r="P173" s="96"/>
      <c r="Q173" s="95"/>
      <c r="R173" s="95"/>
      <c r="S173" s="95"/>
      <c r="T173" s="95"/>
      <c r="U173" s="95"/>
      <c r="V173" s="95"/>
      <c r="W173" s="95"/>
      <c r="X173" s="95"/>
      <c r="Y173" s="95"/>
      <c r="Z173" s="95"/>
    </row>
    <row r="174" spans="1:26" ht="14" x14ac:dyDescent="0.15">
      <c r="B174" s="479" t="s">
        <v>97</v>
      </c>
      <c r="C174" s="480"/>
      <c r="D174" s="481"/>
      <c r="E174" s="187"/>
      <c r="F174" s="188" t="s">
        <v>15</v>
      </c>
      <c r="G174" s="188"/>
      <c r="H174" s="189"/>
      <c r="I174" s="190" t="s">
        <v>16</v>
      </c>
      <c r="J174" s="190" t="s">
        <v>17</v>
      </c>
      <c r="K174" s="95"/>
      <c r="L174" s="96"/>
      <c r="M174" s="96"/>
      <c r="N174" s="96"/>
      <c r="O174" s="96"/>
      <c r="P174" s="96"/>
      <c r="Q174" s="95"/>
      <c r="R174" s="95"/>
      <c r="S174" s="95"/>
      <c r="T174" s="95"/>
      <c r="U174" s="95"/>
      <c r="V174" s="95"/>
      <c r="W174" s="95"/>
      <c r="X174" s="95"/>
      <c r="Y174" s="95"/>
      <c r="Z174" s="95"/>
    </row>
    <row r="175" spans="1:26" ht="14" customHeight="1" x14ac:dyDescent="0.15">
      <c r="A175" s="89" t="s">
        <v>98</v>
      </c>
      <c r="B175" s="521" t="str">
        <f>INDEX('imp-questions'!D:D, MATCH(A175, 'imp-questions'!A:A, 0))</f>
        <v>Scalable Baseline</v>
      </c>
      <c r="C175" s="186">
        <f>INDEX('imp-questions'!E:E, MATCH(A175, 'imp-questions'!A:A, 0))</f>
        <v>1</v>
      </c>
      <c r="D175" s="131" t="str">
        <f>INDEX('imp-questions'!F:F, MATCH(A175, 'imp-questions'!A:A, 0))</f>
        <v>Do you scan applications with automated security testing tools?</v>
      </c>
      <c r="E175" s="113" t="str">
        <f>CHAR(65+INDEX('imp-questions'!H:H, MATCH(A175, 'imp-questions'!A:A, 0)))</f>
        <v>B</v>
      </c>
      <c r="F175" s="150"/>
      <c r="G175" s="135">
        <f ca="1">IFERROR(INDEX(INDIRECT("Ans" &amp; E175 &amp; "TBL"), MATCH(F175, INDEX(INDIRECT("Ans" &amp; E175 &amp; "TBL"), 0, 1), 0), 2), 0)</f>
        <v>0</v>
      </c>
      <c r="H175" s="127">
        <f ca="1">IFERROR(AVERAGE(G175,G182),0)</f>
        <v>0</v>
      </c>
      <c r="I175" s="510"/>
      <c r="J175" s="518">
        <f ca="1">SUM(H175,H177,H179)</f>
        <v>0</v>
      </c>
      <c r="K175" s="95"/>
      <c r="L175" s="96"/>
      <c r="M175" s="96"/>
      <c r="N175" s="96"/>
      <c r="O175" s="96"/>
      <c r="P175" s="96"/>
      <c r="Q175" s="95"/>
      <c r="R175" s="95"/>
      <c r="S175" s="95"/>
      <c r="T175" s="95"/>
      <c r="U175" s="95"/>
      <c r="V175" s="95"/>
      <c r="W175" s="95"/>
      <c r="X175" s="95"/>
      <c r="Y175" s="95"/>
      <c r="Z175" s="95"/>
    </row>
    <row r="176" spans="1:26" ht="42" customHeight="1" x14ac:dyDescent="0.15">
      <c r="B176" s="477"/>
      <c r="C176" s="443"/>
      <c r="D176" s="444" t="str">
        <f>INDEX('imp-questions'!G:G, MATCH(A175, 'imp-questions'!A:A, 0))</f>
        <v>You dynamically generate inputs for security tests using automated tools
 You choose the security testing tools to fit the organization's architecture and technology stack, and balance depth and accuracy of inspection with usability of findings to the organization</v>
      </c>
      <c r="E176" s="445"/>
      <c r="F176" s="446"/>
      <c r="G176" s="137"/>
      <c r="H176" s="139"/>
      <c r="I176" s="511"/>
      <c r="J176" s="469"/>
      <c r="K176" s="95"/>
      <c r="L176" s="96"/>
      <c r="M176" s="96"/>
      <c r="N176" s="96"/>
      <c r="O176" s="96"/>
      <c r="P176" s="96"/>
      <c r="Q176" s="95"/>
      <c r="R176" s="95"/>
      <c r="S176" s="95"/>
      <c r="T176" s="95"/>
      <c r="U176" s="95"/>
      <c r="V176" s="95"/>
      <c r="W176" s="95"/>
      <c r="X176" s="95"/>
      <c r="Y176" s="95"/>
      <c r="Z176" s="95"/>
    </row>
    <row r="177" spans="1:26" ht="14" x14ac:dyDescent="0.15">
      <c r="A177" s="89" t="s">
        <v>99</v>
      </c>
      <c r="B177" s="477"/>
      <c r="C177" s="185">
        <f>INDEX('imp-questions'!E:E, MATCH(A177, 'imp-questions'!A:A, 0))</f>
        <v>2</v>
      </c>
      <c r="D177" s="112" t="str">
        <f>INDEX('imp-questions'!F:F, MATCH(A177, 'imp-questions'!A:A, 0))</f>
        <v>Do you customize the automated security tools to your applications and technology stacks?</v>
      </c>
      <c r="E177" s="113" t="str">
        <f>CHAR(65+INDEX('imp-questions'!H:H, MATCH(A177, 'imp-questions'!A:A, 0)))</f>
        <v>B</v>
      </c>
      <c r="F177" s="191"/>
      <c r="G177" s="135">
        <f ca="1">IFERROR(INDEX(INDIRECT("Ans" &amp; E177 &amp; "TBL"), MATCH(F177, INDEX(INDIRECT("Ans" &amp; E177 &amp; "TBL"), 0, 1), 0), 2), 0)</f>
        <v>0</v>
      </c>
      <c r="H177" s="127">
        <f ca="1">IFERROR(AVERAGE(G177,G184),0)</f>
        <v>0</v>
      </c>
      <c r="I177" s="512"/>
      <c r="J177" s="141"/>
      <c r="K177" s="95"/>
      <c r="L177" s="96"/>
      <c r="M177" s="96"/>
      <c r="N177" s="96"/>
      <c r="O177" s="96"/>
      <c r="P177" s="96"/>
      <c r="Q177" s="95"/>
      <c r="R177" s="95"/>
      <c r="S177" s="95"/>
      <c r="T177" s="95"/>
      <c r="U177" s="95"/>
      <c r="V177" s="95"/>
      <c r="W177" s="95"/>
      <c r="X177" s="95"/>
      <c r="Y177" s="95"/>
      <c r="Z177" s="95"/>
    </row>
    <row r="178" spans="1:26" ht="42" customHeight="1" x14ac:dyDescent="0.15">
      <c r="B178" s="477"/>
      <c r="C178" s="443"/>
      <c r="D178" s="444" t="str">
        <f>INDEX('imp-questions'!G:G, MATCH(A177, 'imp-questions'!A:A, 0))</f>
        <v>You tune and select tool features which match your application or technology stack
 You minimize false positives by silencing or automatically filter irrelevant warnings or low probability findings
 You minimize false negatives by leverage tool extensions or DSLs to customize tools for your application or organizational standards</v>
      </c>
      <c r="E178" s="445"/>
      <c r="F178" s="446"/>
      <c r="G178" s="137"/>
      <c r="H178" s="142"/>
      <c r="I178" s="471"/>
      <c r="J178" s="141"/>
      <c r="K178" s="95"/>
      <c r="L178" s="96"/>
      <c r="M178" s="96"/>
      <c r="N178" s="96"/>
      <c r="O178" s="96"/>
      <c r="P178" s="96"/>
      <c r="Q178" s="95"/>
      <c r="R178" s="95"/>
      <c r="S178" s="95"/>
      <c r="T178" s="95"/>
      <c r="U178" s="95"/>
      <c r="V178" s="95"/>
      <c r="W178" s="95"/>
      <c r="X178" s="95"/>
      <c r="Y178" s="95"/>
      <c r="Z178" s="95"/>
    </row>
    <row r="179" spans="1:26" ht="14" x14ac:dyDescent="0.15">
      <c r="A179" s="89" t="s">
        <v>100</v>
      </c>
      <c r="B179" s="477"/>
      <c r="C179" s="185">
        <f>INDEX('imp-questions'!E:E, MATCH(A179, 'imp-questions'!A:A, 0))</f>
        <v>3</v>
      </c>
      <c r="D179" s="112" t="str">
        <f>INDEX('imp-questions'!F:F, MATCH(A179, 'imp-questions'!A:A, 0))</f>
        <v>Do you integrate automated security testing into the build and deploy process?</v>
      </c>
      <c r="E179" s="113" t="str">
        <f>CHAR(65+INDEX('imp-questions'!H:H, MATCH(A179, 'imp-questions'!A:A, 0)))</f>
        <v>W</v>
      </c>
      <c r="F179" s="191"/>
      <c r="G179" s="135">
        <f ca="1">IFERROR(INDEX(INDIRECT("Ans" &amp; E179 &amp; "TBL"), MATCH(F179, INDEX(INDIRECT("Ans" &amp; E179 &amp; "TBL"), 0, 1), 0), 2), 0)</f>
        <v>0</v>
      </c>
      <c r="H179" s="127">
        <f ca="1">IFERROR(AVERAGE(G179,G186),0)</f>
        <v>0</v>
      </c>
      <c r="I179" s="470"/>
      <c r="J179" s="141"/>
      <c r="K179" s="95"/>
      <c r="L179" s="96"/>
      <c r="M179" s="96"/>
      <c r="N179" s="96"/>
      <c r="O179" s="96"/>
      <c r="P179" s="96"/>
      <c r="Q179" s="95"/>
      <c r="R179" s="95"/>
      <c r="S179" s="95"/>
      <c r="T179" s="95"/>
      <c r="U179" s="95"/>
      <c r="V179" s="95"/>
      <c r="W179" s="95"/>
      <c r="X179" s="95"/>
      <c r="Y179" s="95"/>
      <c r="Z179" s="95"/>
    </row>
    <row r="180" spans="1:26" ht="28" customHeight="1" x14ac:dyDescent="0.15">
      <c r="B180" s="478"/>
      <c r="C180" s="443"/>
      <c r="D180" s="444" t="str">
        <f>INDEX('imp-questions'!G:G, MATCH(A179, 'imp-questions'!A:A, 0))</f>
        <v>Management and business stakeholders track and review test results throughout the development cycle
 You merge test results into a central dashboard and feed them into defect management</v>
      </c>
      <c r="E180" s="445"/>
      <c r="F180" s="446"/>
      <c r="G180" s="137"/>
      <c r="H180" s="142"/>
      <c r="I180" s="471"/>
      <c r="J180" s="141"/>
      <c r="K180" s="95"/>
      <c r="L180" s="96"/>
      <c r="M180" s="96"/>
      <c r="N180" s="96"/>
      <c r="O180" s="96"/>
      <c r="P180" s="96"/>
      <c r="Q180" s="95"/>
      <c r="R180" s="95"/>
      <c r="S180" s="95"/>
      <c r="T180" s="95"/>
      <c r="U180" s="95"/>
      <c r="V180" s="95"/>
      <c r="W180" s="95"/>
      <c r="X180" s="95"/>
      <c r="Y180" s="95"/>
      <c r="Z180" s="95"/>
    </row>
    <row r="181" spans="1:26" x14ac:dyDescent="0.15">
      <c r="B181" s="123"/>
      <c r="C181" s="124"/>
      <c r="D181" s="125"/>
      <c r="E181" s="125"/>
      <c r="F181" s="125"/>
      <c r="G181" s="125"/>
      <c r="H181" s="153"/>
      <c r="I181" s="126"/>
      <c r="J181" s="121"/>
      <c r="K181" s="95"/>
      <c r="L181" s="96"/>
      <c r="M181" s="96"/>
      <c r="N181" s="96"/>
      <c r="O181" s="96"/>
      <c r="P181" s="96"/>
      <c r="Q181" s="95"/>
      <c r="R181" s="95"/>
      <c r="S181" s="95"/>
      <c r="T181" s="95"/>
      <c r="U181" s="95"/>
      <c r="V181" s="95"/>
      <c r="W181" s="95"/>
      <c r="X181" s="95"/>
      <c r="Y181" s="95"/>
      <c r="Z181" s="95"/>
    </row>
    <row r="182" spans="1:26" ht="15" customHeight="1" x14ac:dyDescent="0.15">
      <c r="A182" s="89" t="s">
        <v>101</v>
      </c>
      <c r="B182" s="500" t="str">
        <f>INDEX('imp-questions'!D:D, MATCH(A182, 'imp-questions'!A:A, 0))</f>
        <v>Deep Understanding</v>
      </c>
      <c r="C182" s="186">
        <f>INDEX('imp-questions'!E:E, MATCH(A182, 'imp-questions'!A:A, 0))</f>
        <v>1</v>
      </c>
      <c r="D182" s="112" t="str">
        <f>INDEX('imp-questions'!F:F, MATCH(A182, 'imp-questions'!A:A, 0))</f>
        <v>Do you manually review the security quality of selected high-risk components?</v>
      </c>
      <c r="E182" s="113" t="str">
        <f>CHAR(65+INDEX('imp-questions'!H:H, MATCH(A182, 'imp-questions'!A:A, 0)))</f>
        <v>G</v>
      </c>
      <c r="F182" s="150"/>
      <c r="G182" s="135">
        <f ca="1">IFERROR(INDEX(INDIRECT("Ans" &amp; E182 &amp; "TBL"), MATCH(F182, INDEX(INDIRECT("Ans" &amp; E182 &amp; "TBL"), 0, 1), 0), 2), 0)</f>
        <v>0</v>
      </c>
      <c r="H182" s="155"/>
      <c r="I182" s="516"/>
      <c r="J182" s="121"/>
      <c r="K182" s="95"/>
      <c r="L182" s="96"/>
      <c r="M182" s="96"/>
      <c r="N182" s="96"/>
      <c r="O182" s="96"/>
      <c r="P182" s="96"/>
      <c r="Q182" s="95"/>
      <c r="R182" s="95"/>
      <c r="S182" s="95"/>
      <c r="T182" s="95"/>
      <c r="U182" s="95"/>
      <c r="V182" s="95"/>
      <c r="W182" s="95"/>
      <c r="X182" s="95"/>
      <c r="Y182" s="95"/>
      <c r="Z182" s="95"/>
    </row>
    <row r="183" spans="1:26" ht="42" customHeight="1" x14ac:dyDescent="0.15">
      <c r="B183" s="477"/>
      <c r="C183" s="443"/>
      <c r="D183" s="444" t="str">
        <f>INDEX('imp-questions'!G:G, MATCH(A182, 'imp-questions'!A:A, 0))</f>
        <v>Criteria exist to help the reviewer focus on high-risk components
 Qualified personnel conduct reviews following documented guidelines
 You address findings in accordance with the organization's defect management policy</v>
      </c>
      <c r="E183" s="445"/>
      <c r="F183" s="446"/>
      <c r="G183" s="137"/>
      <c r="H183" s="138"/>
      <c r="I183" s="484"/>
      <c r="J183" s="121"/>
      <c r="K183" s="95"/>
      <c r="L183" s="96"/>
      <c r="M183" s="96"/>
      <c r="N183" s="96"/>
      <c r="O183" s="96"/>
      <c r="P183" s="96"/>
      <c r="Q183" s="95"/>
      <c r="R183" s="95"/>
      <c r="S183" s="95"/>
      <c r="T183" s="95"/>
      <c r="U183" s="95"/>
      <c r="V183" s="95"/>
      <c r="W183" s="95"/>
      <c r="X183" s="95"/>
      <c r="Y183" s="95"/>
      <c r="Z183" s="95"/>
    </row>
    <row r="184" spans="1:26" ht="14" x14ac:dyDescent="0.15">
      <c r="A184" s="89" t="s">
        <v>102</v>
      </c>
      <c r="B184" s="477"/>
      <c r="C184" s="185">
        <f>INDEX('imp-questions'!E:E, MATCH(A184, 'imp-questions'!A:A, 0))</f>
        <v>2</v>
      </c>
      <c r="D184" s="112" t="str">
        <f>INDEX('imp-questions'!F:F, MATCH(A184, 'imp-questions'!A:A, 0))</f>
        <v>Do you perform penetration testing for your applications at regular intervals?</v>
      </c>
      <c r="E184" s="113" t="str">
        <f>CHAR(65+INDEX('imp-questions'!H:H, MATCH(A184, 'imp-questions'!A:A, 0)))</f>
        <v>A</v>
      </c>
      <c r="F184" s="150"/>
      <c r="G184" s="135">
        <f ca="1">IFERROR(INDEX(INDIRECT("Ans" &amp; E184 &amp; "TBL"), MATCH(F184, INDEX(INDIRECT("Ans" &amp; E184 &amp; "TBL"), 0, 1), 0), 2), 0)</f>
        <v>0</v>
      </c>
      <c r="H184" s="155"/>
      <c r="I184" s="516"/>
      <c r="J184" s="121"/>
      <c r="K184" s="95"/>
      <c r="L184" s="96"/>
      <c r="M184" s="96"/>
      <c r="N184" s="96"/>
      <c r="O184" s="96"/>
      <c r="P184" s="96"/>
      <c r="Q184" s="95"/>
      <c r="R184" s="95"/>
      <c r="S184" s="95"/>
      <c r="T184" s="95"/>
      <c r="U184" s="95"/>
      <c r="V184" s="95"/>
      <c r="W184" s="95"/>
      <c r="X184" s="95"/>
      <c r="Y184" s="95"/>
      <c r="Z184" s="95"/>
    </row>
    <row r="185" spans="1:26" ht="56" customHeight="1" x14ac:dyDescent="0.15">
      <c r="B185" s="477"/>
      <c r="C185" s="443"/>
      <c r="D185" s="444" t="str">
        <f>INDEX('imp-questions'!G:G, MATCH(A184, 'imp-questions'!A:A, 0))</f>
        <v>Penetration testing uses application-specific security test cases to evaluate security
 Penetration testing looks for both technical and logical issues in the application
 Stakeholders review the test results and handle them in accordance with the organization's risk management
 Qualified personnel performs penetration testing</v>
      </c>
      <c r="E185" s="445"/>
      <c r="F185" s="446"/>
      <c r="G185" s="137"/>
      <c r="H185" s="138"/>
      <c r="I185" s="484"/>
      <c r="J185" s="121"/>
      <c r="K185" s="95"/>
      <c r="L185" s="96"/>
      <c r="M185" s="96"/>
      <c r="N185" s="96"/>
      <c r="O185" s="96"/>
      <c r="P185" s="96"/>
      <c r="Q185" s="95"/>
      <c r="R185" s="95"/>
      <c r="S185" s="95"/>
      <c r="T185" s="95"/>
      <c r="U185" s="95"/>
      <c r="V185" s="95"/>
      <c r="W185" s="95"/>
      <c r="X185" s="95"/>
      <c r="Y185" s="95"/>
      <c r="Z185" s="95"/>
    </row>
    <row r="186" spans="1:26" ht="14" x14ac:dyDescent="0.15">
      <c r="A186" s="89" t="s">
        <v>103</v>
      </c>
      <c r="B186" s="477"/>
      <c r="C186" s="185">
        <f>INDEX('imp-questions'!E:E, MATCH(A186, 'imp-questions'!A:A, 0))</f>
        <v>3</v>
      </c>
      <c r="D186" s="112" t="str">
        <f>INDEX('imp-questions'!F:F, MATCH(A186, 'imp-questions'!A:A, 0))</f>
        <v>Do you use the results of security testing to improve the development lifecycle?</v>
      </c>
      <c r="E186" s="113" t="str">
        <f>CHAR(65+INDEX('imp-questions'!H:H, MATCH(A186, 'imp-questions'!A:A, 0)))</f>
        <v>X</v>
      </c>
      <c r="F186" s="191"/>
      <c r="G186" s="135">
        <f ca="1">IFERROR(INDEX(INDIRECT("Ans" &amp; E186 &amp; "TBL"), MATCH(F186, INDEX(INDIRECT("Ans" &amp; E186 &amp; "TBL"), 0, 1), 0), 2), 0)</f>
        <v>0</v>
      </c>
      <c r="H186" s="155"/>
      <c r="I186" s="516"/>
      <c r="J186" s="121"/>
      <c r="K186" s="95"/>
      <c r="L186" s="96"/>
      <c r="M186" s="96"/>
      <c r="N186" s="96"/>
      <c r="O186" s="96"/>
      <c r="P186" s="96"/>
      <c r="Q186" s="95"/>
      <c r="R186" s="95"/>
      <c r="S186" s="95"/>
      <c r="T186" s="95"/>
      <c r="U186" s="95"/>
      <c r="V186" s="95"/>
      <c r="W186" s="95"/>
      <c r="X186" s="95"/>
      <c r="Y186" s="95"/>
      <c r="Z186" s="95"/>
    </row>
    <row r="187" spans="1:26" ht="42" customHeight="1" x14ac:dyDescent="0.15">
      <c r="B187" s="478"/>
      <c r="C187" s="443"/>
      <c r="D187" s="444" t="str">
        <f>INDEX('imp-questions'!G:G, MATCH(A186, 'imp-questions'!A:A, 0))</f>
        <v>You use results from other security activities to improve integrated security testing during development
 You review test results and incorporate them into security awareness training and security testing playbooks
 Stakeholders review the test results and handle them in accordance with the organization's risk management</v>
      </c>
      <c r="E187" s="445"/>
      <c r="F187" s="446"/>
      <c r="G187" s="137"/>
      <c r="H187" s="138"/>
      <c r="I187" s="484"/>
      <c r="J187" s="121"/>
      <c r="K187" s="95"/>
      <c r="L187" s="96"/>
      <c r="M187" s="96"/>
      <c r="N187" s="96"/>
      <c r="O187" s="96"/>
      <c r="P187" s="96"/>
      <c r="Q187" s="95"/>
      <c r="R187" s="95"/>
      <c r="S187" s="95"/>
      <c r="T187" s="95"/>
      <c r="U187" s="95"/>
      <c r="V187" s="95"/>
      <c r="W187" s="95"/>
      <c r="X187" s="95"/>
      <c r="Y187" s="95"/>
      <c r="Z187" s="95"/>
    </row>
    <row r="188" spans="1:26" ht="22.25" customHeight="1" x14ac:dyDescent="0.15">
      <c r="B188" s="517" t="s">
        <v>104</v>
      </c>
      <c r="C188" s="483"/>
      <c r="D188" s="483"/>
      <c r="E188" s="483"/>
      <c r="F188" s="483"/>
      <c r="G188" s="483"/>
      <c r="H188" s="483"/>
      <c r="I188" s="483"/>
      <c r="J188" s="483"/>
      <c r="K188" s="95"/>
      <c r="L188" s="96"/>
      <c r="M188" s="96"/>
      <c r="N188" s="96"/>
      <c r="O188" s="96"/>
      <c r="P188" s="96"/>
      <c r="Q188" s="95"/>
      <c r="R188" s="95"/>
      <c r="S188" s="95"/>
      <c r="T188" s="95"/>
      <c r="U188" s="95"/>
      <c r="V188" s="95"/>
      <c r="W188" s="95"/>
      <c r="X188" s="95"/>
      <c r="Y188" s="95"/>
      <c r="Z188" s="95"/>
    </row>
    <row r="189" spans="1:26" ht="14" x14ac:dyDescent="0.15">
      <c r="B189" s="523" t="s">
        <v>105</v>
      </c>
      <c r="C189" s="524"/>
      <c r="D189" s="525"/>
      <c r="E189" s="193"/>
      <c r="F189" s="192" t="s">
        <v>15</v>
      </c>
      <c r="G189" s="192"/>
      <c r="H189" s="194"/>
      <c r="I189" s="195" t="s">
        <v>16</v>
      </c>
      <c r="J189" s="195" t="s">
        <v>17</v>
      </c>
      <c r="K189" s="95"/>
      <c r="L189" s="96"/>
      <c r="M189" s="96"/>
      <c r="N189" s="96"/>
      <c r="O189" s="96"/>
      <c r="P189" s="96"/>
      <c r="Q189" s="95"/>
      <c r="R189" s="95"/>
      <c r="S189" s="95"/>
      <c r="T189" s="95"/>
      <c r="U189" s="95"/>
      <c r="V189" s="95"/>
      <c r="W189" s="95"/>
      <c r="X189" s="95"/>
      <c r="Y189" s="95"/>
      <c r="Z189" s="95"/>
    </row>
    <row r="190" spans="1:26" ht="12.75" customHeight="1" x14ac:dyDescent="0.15">
      <c r="A190" s="89" t="s">
        <v>106</v>
      </c>
      <c r="B190" s="501" t="str">
        <f>INDEX('imp-questions'!D:D, MATCH(A190, 'imp-questions'!A:A, 0))</f>
        <v>Incident Detection</v>
      </c>
      <c r="C190" s="196">
        <f>INDEX('imp-questions'!E:E, MATCH(A190, 'imp-questions'!A:A, 0))</f>
        <v>1</v>
      </c>
      <c r="D190" s="112" t="str">
        <f>INDEX('imp-questions'!F:F, MATCH(A190, 'imp-questions'!A:A, 0))</f>
        <v>Do you analyze log data for security incidents periodically?</v>
      </c>
      <c r="E190" s="113" t="str">
        <f>CHAR(65+INDEX('imp-questions'!H:H, MATCH(A190, 'imp-questions'!A:A, 0)))</f>
        <v>A</v>
      </c>
      <c r="F190" s="150"/>
      <c r="G190" s="135">
        <f ca="1">IFERROR(INDEX(INDIRECT("Ans" &amp; E190 &amp; "TBL"), MATCH(F190, INDEX(INDIRECT("Ans" &amp; E190 &amp; "TBL"), 0, 1), 0), 2), 0)</f>
        <v>0</v>
      </c>
      <c r="H190" s="127">
        <f ca="1">IFERROR(AVERAGE(G190,G197),0)</f>
        <v>0</v>
      </c>
      <c r="I190" s="510"/>
      <c r="J190" s="468">
        <f ca="1">SUM(H190,H192,H194)</f>
        <v>0</v>
      </c>
      <c r="K190" s="95"/>
      <c r="L190" s="96"/>
      <c r="M190" s="96"/>
      <c r="N190" s="96"/>
      <c r="O190" s="96"/>
      <c r="P190" s="96"/>
      <c r="Q190" s="95"/>
      <c r="R190" s="95"/>
      <c r="S190" s="95"/>
      <c r="T190" s="95"/>
      <c r="U190" s="95"/>
      <c r="V190" s="95"/>
      <c r="W190" s="95"/>
      <c r="X190" s="95"/>
      <c r="Y190" s="95"/>
      <c r="Z190" s="95"/>
    </row>
    <row r="191" spans="1:26" ht="42" customHeight="1" x14ac:dyDescent="0.15">
      <c r="B191" s="477"/>
      <c r="C191" s="448"/>
      <c r="D191" s="449" t="str">
        <f>INDEX('imp-questions'!G:G, MATCH(A190, 'imp-questions'!A:A, 0))</f>
        <v>You have a contact point for the creation of security incidents
 You analyze data in accordance with the log data retention periods
 The frequency of this analysis is aligned with the criticality of your applications</v>
      </c>
      <c r="E191" s="450"/>
      <c r="F191" s="451"/>
      <c r="G191" s="143"/>
      <c r="H191" s="139"/>
      <c r="I191" s="511"/>
      <c r="J191" s="469"/>
      <c r="K191" s="95"/>
      <c r="L191" s="96"/>
      <c r="M191" s="96"/>
      <c r="N191" s="96"/>
      <c r="O191" s="96"/>
      <c r="P191" s="96"/>
      <c r="Q191" s="95"/>
      <c r="R191" s="95"/>
      <c r="S191" s="95"/>
      <c r="T191" s="95"/>
      <c r="U191" s="95"/>
      <c r="V191" s="95"/>
      <c r="W191" s="95"/>
      <c r="X191" s="95"/>
      <c r="Y191" s="95"/>
      <c r="Z191" s="95"/>
    </row>
    <row r="192" spans="1:26" ht="14" x14ac:dyDescent="0.15">
      <c r="A192" s="89" t="s">
        <v>107</v>
      </c>
      <c r="B192" s="477"/>
      <c r="C192" s="196">
        <f>INDEX('imp-questions'!E:E, MATCH(A192, 'imp-questions'!A:A, 0))</f>
        <v>2</v>
      </c>
      <c r="D192" s="112" t="str">
        <f>INDEX('imp-questions'!F:F, MATCH(A192, 'imp-questions'!A:A, 0))</f>
        <v>Do you follow a documented process for incident detection?</v>
      </c>
      <c r="E192" s="113" t="str">
        <f>CHAR(65+INDEX('imp-questions'!H:H, MATCH(A192, 'imp-questions'!A:A, 0)))</f>
        <v>A</v>
      </c>
      <c r="F192" s="150"/>
      <c r="G192" s="135">
        <f ca="1">IFERROR(INDEX(INDIRECT("Ans" &amp; E192 &amp; "TBL"), MATCH(F192, INDEX(INDIRECT("Ans" &amp; E192 &amp; "TBL"), 0, 1), 0), 2), 0)</f>
        <v>0</v>
      </c>
      <c r="H192" s="127">
        <f ca="1">IFERROR(AVERAGE(G192,G199),0)</f>
        <v>0</v>
      </c>
      <c r="I192" s="512"/>
      <c r="J192" s="141"/>
      <c r="K192" s="95"/>
      <c r="L192" s="96"/>
      <c r="M192" s="96"/>
      <c r="N192" s="96"/>
      <c r="O192" s="96"/>
      <c r="P192" s="96"/>
      <c r="Q192" s="95"/>
      <c r="R192" s="95"/>
      <c r="S192" s="95"/>
      <c r="T192" s="95"/>
      <c r="U192" s="95"/>
      <c r="V192" s="95"/>
      <c r="W192" s="95"/>
      <c r="X192" s="95"/>
      <c r="Y192" s="95"/>
      <c r="Z192" s="95"/>
    </row>
    <row r="193" spans="1:26" ht="70" customHeight="1" x14ac:dyDescent="0.15">
      <c r="B193" s="477"/>
      <c r="C193" s="448"/>
      <c r="D193" s="449" t="str">
        <f>INDEX('imp-questions'!G:G, MATCH(A192, 'imp-questions'!A:A, 0))</f>
        <v>The process has a dedicated owner
 You store process documentation in an accessible location
 The process considers an escalation path for further analysis
 You train employees responsible for incident detection in this process
 You have a checklist of potential attacks to simplify incident detection</v>
      </c>
      <c r="E193" s="450"/>
      <c r="F193" s="452"/>
      <c r="G193" s="143"/>
      <c r="H193" s="142"/>
      <c r="I193" s="471"/>
      <c r="J193" s="141"/>
      <c r="K193" s="95"/>
      <c r="L193" s="96"/>
      <c r="M193" s="96"/>
      <c r="N193" s="96"/>
      <c r="O193" s="96"/>
      <c r="P193" s="96"/>
      <c r="Q193" s="95"/>
      <c r="R193" s="95"/>
      <c r="S193" s="95"/>
      <c r="T193" s="95"/>
      <c r="U193" s="95"/>
      <c r="V193" s="95"/>
      <c r="W193" s="95"/>
      <c r="X193" s="95"/>
      <c r="Y193" s="95"/>
      <c r="Z193" s="95"/>
    </row>
    <row r="194" spans="1:26" ht="14" x14ac:dyDescent="0.15">
      <c r="A194" s="89" t="s">
        <v>108</v>
      </c>
      <c r="B194" s="477"/>
      <c r="C194" s="196">
        <f>INDEX('imp-questions'!E:E, MATCH(A194, 'imp-questions'!A:A, 0))</f>
        <v>3</v>
      </c>
      <c r="D194" s="112" t="str">
        <f>INDEX('imp-questions'!F:F, MATCH(A194, 'imp-questions'!A:A, 0))</f>
        <v>Do you review and update the incident detection process regularly?</v>
      </c>
      <c r="E194" s="113" t="str">
        <f>CHAR(65+INDEX('imp-questions'!H:H, MATCH(A194, 'imp-questions'!A:A, 0)))</f>
        <v>A</v>
      </c>
      <c r="F194" s="150"/>
      <c r="G194" s="135">
        <f ca="1">IFERROR(INDEX(INDIRECT("Ans" &amp; E194 &amp; "TBL"), MATCH(F194, INDEX(INDIRECT("Ans" &amp; E194 &amp; "TBL"), 0, 1), 0), 2), 0)</f>
        <v>0</v>
      </c>
      <c r="H194" s="127">
        <f ca="1">IFERROR(AVERAGE(G194,G201),0)</f>
        <v>0</v>
      </c>
      <c r="I194" s="470"/>
      <c r="J194" s="141"/>
      <c r="K194" s="95"/>
      <c r="L194" s="96"/>
      <c r="M194" s="96"/>
      <c r="N194" s="96"/>
      <c r="O194" s="96"/>
      <c r="P194" s="96"/>
      <c r="Q194" s="95"/>
      <c r="R194" s="95"/>
      <c r="S194" s="95"/>
      <c r="T194" s="95"/>
      <c r="U194" s="95"/>
      <c r="V194" s="95"/>
      <c r="W194" s="95"/>
      <c r="X194" s="95"/>
      <c r="Y194" s="95"/>
      <c r="Z194" s="95"/>
    </row>
    <row r="195" spans="1:26" ht="28" customHeight="1" x14ac:dyDescent="0.15">
      <c r="B195" s="478"/>
      <c r="C195" s="448"/>
      <c r="D195" s="449" t="str">
        <f>INDEX('imp-questions'!G:G, MATCH(A194, 'imp-questions'!A:A, 0))</f>
        <v>You perform reviews at least annually
 You update the checklist of potential attacks with external and internal data</v>
      </c>
      <c r="E195" s="450"/>
      <c r="F195" s="452"/>
      <c r="G195" s="174"/>
      <c r="H195" s="197"/>
      <c r="I195" s="471"/>
      <c r="J195" s="141"/>
      <c r="K195" s="95"/>
      <c r="L195" s="96"/>
      <c r="M195" s="96"/>
      <c r="N195" s="96"/>
      <c r="O195" s="96"/>
      <c r="P195" s="96"/>
      <c r="Q195" s="95"/>
      <c r="R195" s="95"/>
      <c r="S195" s="95"/>
      <c r="T195" s="95"/>
      <c r="U195" s="95"/>
      <c r="V195" s="95"/>
      <c r="W195" s="95"/>
      <c r="X195" s="95"/>
      <c r="Y195" s="95"/>
      <c r="Z195" s="95"/>
    </row>
    <row r="196" spans="1:26" x14ac:dyDescent="0.15">
      <c r="B196" s="164"/>
      <c r="C196" s="124"/>
      <c r="D196" s="125"/>
      <c r="E196" s="125"/>
      <c r="F196" s="125"/>
      <c r="G196" s="125"/>
      <c r="H196" s="125"/>
      <c r="I196" s="165"/>
      <c r="J196" s="121"/>
      <c r="K196" s="95"/>
      <c r="L196" s="96"/>
      <c r="M196" s="96"/>
      <c r="N196" s="96"/>
      <c r="O196" s="96"/>
      <c r="P196" s="96"/>
      <c r="Q196" s="95"/>
      <c r="R196" s="95"/>
      <c r="S196" s="95"/>
      <c r="T196" s="95"/>
      <c r="U196" s="95"/>
      <c r="V196" s="95"/>
      <c r="W196" s="95"/>
      <c r="X196" s="95"/>
      <c r="Y196" s="95"/>
      <c r="Z196" s="95"/>
    </row>
    <row r="197" spans="1:26" ht="15" customHeight="1" x14ac:dyDescent="0.15">
      <c r="A197" s="89" t="s">
        <v>109</v>
      </c>
      <c r="B197" s="501" t="str">
        <f>INDEX('imp-questions'!D:D, MATCH(A197, 'imp-questions'!A:A, 0))</f>
        <v>Incident Response</v>
      </c>
      <c r="C197" s="198">
        <f>INDEX('imp-questions'!E:E, MATCH(A197, 'imp-questions'!A:A, 0))</f>
        <v>1</v>
      </c>
      <c r="D197" s="112" t="str">
        <f>INDEX('imp-questions'!F:F, MATCH(A197, 'imp-questions'!A:A, 0))</f>
        <v>Do you respond to detected incidents?</v>
      </c>
      <c r="E197" s="113" t="str">
        <f>CHAR(65+INDEX('imp-questions'!H:H, MATCH(A197, 'imp-questions'!A:A, 0)))</f>
        <v>H</v>
      </c>
      <c r="F197" s="114"/>
      <c r="G197" s="135">
        <f ca="1">IFERROR(INDEX(INDIRECT("Ans" &amp; E197 &amp; "TBL"), MATCH(F197, INDEX(INDIRECT("Ans" &amp; E197 &amp; "TBL"), 0, 1), 0), 2), 0)</f>
        <v>0</v>
      </c>
      <c r="H197" s="127"/>
      <c r="I197" s="508"/>
      <c r="J197" s="121"/>
      <c r="K197" s="95"/>
      <c r="L197" s="96"/>
      <c r="M197" s="96"/>
      <c r="N197" s="96"/>
      <c r="O197" s="96"/>
      <c r="P197" s="96"/>
      <c r="Q197" s="95"/>
      <c r="R197" s="95"/>
      <c r="S197" s="95"/>
      <c r="T197" s="95"/>
      <c r="U197" s="95"/>
      <c r="V197" s="95"/>
      <c r="W197" s="95"/>
      <c r="X197" s="95"/>
      <c r="Y197" s="95"/>
      <c r="Z197" s="95"/>
    </row>
    <row r="198" spans="1:26" ht="28" customHeight="1" x14ac:dyDescent="0.15">
      <c r="B198" s="477"/>
      <c r="C198" s="448"/>
      <c r="D198" s="449" t="str">
        <f>INDEX('imp-questions'!G:G, MATCH(A197, 'imp-questions'!A:A, 0))</f>
        <v>You have a defined person or role for incident handling
 You document security incidents</v>
      </c>
      <c r="E198" s="450"/>
      <c r="F198" s="451"/>
      <c r="G198" s="143"/>
      <c r="H198" s="144"/>
      <c r="I198" s="509"/>
      <c r="J198" s="121"/>
      <c r="K198" s="95"/>
      <c r="L198" s="96"/>
      <c r="M198" s="96"/>
      <c r="N198" s="96"/>
      <c r="O198" s="96"/>
      <c r="P198" s="96"/>
      <c r="Q198" s="95"/>
      <c r="R198" s="95"/>
      <c r="S198" s="95"/>
      <c r="T198" s="95"/>
      <c r="U198" s="95"/>
      <c r="V198" s="95"/>
      <c r="W198" s="95"/>
      <c r="X198" s="95"/>
      <c r="Y198" s="95"/>
      <c r="Z198" s="95"/>
    </row>
    <row r="199" spans="1:26" ht="14" x14ac:dyDescent="0.15">
      <c r="A199" s="89" t="s">
        <v>110</v>
      </c>
      <c r="B199" s="477"/>
      <c r="C199" s="196">
        <f>INDEX('imp-questions'!E:E, MATCH(A199, 'imp-questions'!A:A, 0))</f>
        <v>2</v>
      </c>
      <c r="D199" s="112" t="str">
        <f>INDEX('imp-questions'!F:F, MATCH(A199, 'imp-questions'!A:A, 0))</f>
        <v>Do you use a repeatable process for incident handling?</v>
      </c>
      <c r="E199" s="113" t="str">
        <f>CHAR(65+INDEX('imp-questions'!H:H, MATCH(A199, 'imp-questions'!A:A, 0)))</f>
        <v>I</v>
      </c>
      <c r="F199" s="118"/>
      <c r="G199" s="135">
        <f ca="1">IFERROR(INDEX(INDIRECT("Ans" &amp; E199 &amp; "TBL"), MATCH(F199, INDEX(INDIRECT("Ans" &amp; E199 &amp; "TBL"), 0, 1), 0), 2), 0)</f>
        <v>0</v>
      </c>
      <c r="H199" s="127"/>
      <c r="I199" s="508"/>
      <c r="J199" s="121"/>
      <c r="K199" s="95"/>
      <c r="L199" s="96"/>
      <c r="M199" s="96"/>
      <c r="N199" s="96"/>
      <c r="O199" s="96"/>
      <c r="P199" s="96"/>
      <c r="Q199" s="95"/>
      <c r="R199" s="95"/>
      <c r="S199" s="95"/>
      <c r="T199" s="95"/>
      <c r="U199" s="95"/>
      <c r="V199" s="95"/>
      <c r="W199" s="95"/>
      <c r="X199" s="95"/>
      <c r="Y199" s="95"/>
      <c r="Z199" s="95"/>
    </row>
    <row r="200" spans="1:26" ht="56" customHeight="1" x14ac:dyDescent="0.15">
      <c r="B200" s="477"/>
      <c r="C200" s="448"/>
      <c r="D200" s="449" t="str">
        <f>INDEX('imp-questions'!G:G, MATCH(A199, 'imp-questions'!A:A, 0))</f>
        <v>You have an agreed upon incident classification
 The process considers Root Cause Analysis for high severity incidents
 Employees responsible for incident response are trained in this process
 Forensic analysis tooling is available</v>
      </c>
      <c r="E200" s="450"/>
      <c r="F200" s="451"/>
      <c r="G200" s="143"/>
      <c r="H200" s="144"/>
      <c r="I200" s="509"/>
      <c r="J200" s="121"/>
      <c r="K200" s="95"/>
      <c r="L200" s="96"/>
      <c r="M200" s="96"/>
      <c r="N200" s="96"/>
      <c r="O200" s="96"/>
      <c r="P200" s="96"/>
      <c r="Q200" s="95"/>
      <c r="R200" s="95"/>
      <c r="S200" s="95"/>
      <c r="T200" s="95"/>
      <c r="U200" s="95"/>
      <c r="V200" s="95"/>
      <c r="W200" s="95"/>
      <c r="X200" s="95"/>
      <c r="Y200" s="95"/>
      <c r="Z200" s="95"/>
    </row>
    <row r="201" spans="1:26" ht="14" x14ac:dyDescent="0.15">
      <c r="A201" s="89" t="s">
        <v>111</v>
      </c>
      <c r="B201" s="477"/>
      <c r="C201" s="196">
        <f>INDEX('imp-questions'!E:E, MATCH(A201, 'imp-questions'!A:A, 0))</f>
        <v>3</v>
      </c>
      <c r="D201" s="112" t="str">
        <f>INDEX('imp-questions'!F:F, MATCH(A201, 'imp-questions'!A:A, 0))</f>
        <v>Do you have a dedicated incident response team available?</v>
      </c>
      <c r="E201" s="113" t="str">
        <f>CHAR(65+INDEX('imp-questions'!H:H, MATCH(A201, 'imp-questions'!A:A, 0)))</f>
        <v>E</v>
      </c>
      <c r="F201" s="118"/>
      <c r="G201" s="135">
        <f ca="1">IFERROR(INDEX(INDIRECT("Ans" &amp; E201 &amp; "TBL"), MATCH(F201, INDEX(INDIRECT("Ans" &amp; E201 &amp; "TBL"), 0, 1), 0), 2), 0)</f>
        <v>0</v>
      </c>
      <c r="H201" s="127"/>
      <c r="I201" s="508"/>
      <c r="J201" s="121"/>
      <c r="K201" s="95"/>
      <c r="L201" s="96"/>
      <c r="M201" s="96"/>
      <c r="N201" s="96"/>
      <c r="O201" s="96"/>
      <c r="P201" s="96"/>
      <c r="Q201" s="95"/>
      <c r="R201" s="95"/>
      <c r="S201" s="95"/>
      <c r="T201" s="95"/>
      <c r="U201" s="95"/>
      <c r="V201" s="95"/>
      <c r="W201" s="95"/>
      <c r="X201" s="95"/>
      <c r="Y201" s="95"/>
      <c r="Z201" s="95"/>
    </row>
    <row r="202" spans="1:26" ht="28" customHeight="1" x14ac:dyDescent="0.15">
      <c r="B202" s="478"/>
      <c r="C202" s="448"/>
      <c r="D202" s="453" t="str">
        <f>INDEX('imp-questions'!G:G, MATCH(A201, 'imp-questions'!A:A, 0))</f>
        <v>The team performs Root Cause Analysis for all security incidents unless there is a specific reason not to do so
 You review and update the response process at least annually</v>
      </c>
      <c r="E202" s="450"/>
      <c r="F202" s="451"/>
      <c r="G202" s="143"/>
      <c r="H202" s="144"/>
      <c r="I202" s="509"/>
      <c r="J202" s="121"/>
      <c r="K202" s="95"/>
      <c r="L202" s="96"/>
      <c r="M202" s="96"/>
      <c r="N202" s="96"/>
      <c r="O202" s="96"/>
      <c r="P202" s="96"/>
      <c r="Q202" s="95"/>
      <c r="R202" s="95"/>
      <c r="S202" s="95"/>
      <c r="T202" s="95"/>
      <c r="U202" s="95"/>
      <c r="V202" s="95"/>
      <c r="W202" s="95"/>
      <c r="X202" s="95"/>
      <c r="Y202" s="95"/>
      <c r="Z202" s="95"/>
    </row>
    <row r="203" spans="1:26" ht="14" x14ac:dyDescent="0.15">
      <c r="B203" s="503" t="s">
        <v>112</v>
      </c>
      <c r="C203" s="504"/>
      <c r="D203" s="505"/>
      <c r="E203" s="199"/>
      <c r="F203" s="200" t="s">
        <v>15</v>
      </c>
      <c r="G203" s="200"/>
      <c r="H203" s="201"/>
      <c r="I203" s="195" t="s">
        <v>16</v>
      </c>
      <c r="J203" s="195" t="s">
        <v>17</v>
      </c>
      <c r="K203" s="95"/>
      <c r="L203" s="96"/>
      <c r="M203" s="96"/>
      <c r="N203" s="96"/>
      <c r="O203" s="96"/>
      <c r="P203" s="96"/>
      <c r="Q203" s="95"/>
      <c r="R203" s="95"/>
      <c r="S203" s="95"/>
      <c r="T203" s="95"/>
      <c r="U203" s="95"/>
      <c r="V203" s="95"/>
      <c r="W203" s="95"/>
      <c r="X203" s="95"/>
      <c r="Y203" s="95"/>
      <c r="Z203" s="95"/>
    </row>
    <row r="204" spans="1:26" ht="30" customHeight="1" x14ac:dyDescent="0.15">
      <c r="A204" s="89" t="s">
        <v>113</v>
      </c>
      <c r="B204" s="502" t="str">
        <f>INDEX('imp-questions'!D:D, MATCH(A204, 'imp-questions'!A:A, 0))</f>
        <v>Configuration Hardening</v>
      </c>
      <c r="C204" s="198">
        <f>INDEX('imp-questions'!E:E, MATCH(A204, 'imp-questions'!A:A, 0))</f>
        <v>1</v>
      </c>
      <c r="D204" s="131" t="str">
        <f>INDEX('imp-questions'!F:F, MATCH(A204, 'imp-questions'!A:A, 0))</f>
        <v>Do you harden configurations for key components of your technology stacks?</v>
      </c>
      <c r="E204" s="113" t="str">
        <f>CHAR(65+INDEX('imp-questions'!H:H, MATCH(A204, 'imp-questions'!A:A, 0)))</f>
        <v>G</v>
      </c>
      <c r="F204" s="150"/>
      <c r="G204" s="135">
        <f ca="1">IFERROR(INDEX(INDIRECT("Ans" &amp; E204 &amp; "TBL"), MATCH(F204, INDEX(INDIRECT("Ans" &amp; E204 &amp; "TBL"), 0, 1), 0), 2), 0)</f>
        <v>0</v>
      </c>
      <c r="H204" s="127">
        <f ca="1">IFERROR(AVERAGE(G204,G211),0)</f>
        <v>0</v>
      </c>
      <c r="I204" s="510"/>
      <c r="J204" s="468">
        <f ca="1">SUM(H204,H206,H208)</f>
        <v>0</v>
      </c>
      <c r="K204" s="95"/>
      <c r="L204" s="96"/>
      <c r="M204" s="96"/>
      <c r="N204" s="96"/>
      <c r="O204" s="96"/>
      <c r="P204" s="96"/>
      <c r="Q204" s="95"/>
      <c r="R204" s="95"/>
      <c r="S204" s="95"/>
      <c r="T204" s="95"/>
      <c r="U204" s="95"/>
      <c r="V204" s="95"/>
      <c r="W204" s="95"/>
      <c r="X204" s="95"/>
      <c r="Y204" s="95"/>
      <c r="Z204" s="95"/>
    </row>
    <row r="205" spans="1:26" ht="28" customHeight="1" x14ac:dyDescent="0.15">
      <c r="B205" s="477"/>
      <c r="C205" s="448"/>
      <c r="D205" s="449" t="str">
        <f>INDEX('imp-questions'!G:G, MATCH(A204, 'imp-questions'!A:A, 0))</f>
        <v>You have identified the key components in each technology stack used
 You have an established configuration standard for each key component</v>
      </c>
      <c r="E205" s="450"/>
      <c r="F205" s="451"/>
      <c r="G205" s="143"/>
      <c r="H205" s="139"/>
      <c r="I205" s="511"/>
      <c r="J205" s="469"/>
      <c r="K205" s="95"/>
      <c r="L205" s="96"/>
      <c r="M205" s="96"/>
      <c r="N205" s="96"/>
      <c r="O205" s="96"/>
      <c r="P205" s="96"/>
      <c r="Q205" s="95"/>
      <c r="R205" s="95"/>
      <c r="S205" s="95"/>
      <c r="T205" s="95"/>
      <c r="U205" s="95"/>
      <c r="V205" s="95"/>
      <c r="W205" s="95"/>
      <c r="X205" s="95"/>
      <c r="Y205" s="95"/>
      <c r="Z205" s="95"/>
    </row>
    <row r="206" spans="1:26" ht="14" x14ac:dyDescent="0.15">
      <c r="A206" s="89" t="s">
        <v>114</v>
      </c>
      <c r="B206" s="477"/>
      <c r="C206" s="196">
        <f>INDEX('imp-questions'!E:E, MATCH(A206, 'imp-questions'!A:A, 0))</f>
        <v>2</v>
      </c>
      <c r="D206" s="112" t="str">
        <f>INDEX('imp-questions'!F:F, MATCH(A206, 'imp-questions'!A:A, 0))</f>
        <v>Do you have hardening baselines for your components?</v>
      </c>
      <c r="E206" s="113" t="str">
        <f>CHAR(65+INDEX('imp-questions'!H:H, MATCH(A206, 'imp-questions'!A:A, 0)))</f>
        <v>G</v>
      </c>
      <c r="F206" s="118"/>
      <c r="G206" s="135">
        <f ca="1">IFERROR(INDEX(INDIRECT("Ans" &amp; E206 &amp; "TBL"), MATCH(F206, INDEX(INDIRECT("Ans" &amp; E206 &amp; "TBL"), 0, 1), 0), 2), 0)</f>
        <v>0</v>
      </c>
      <c r="H206" s="127">
        <f ca="1">IFERROR(AVERAGE(G206,G213),0)</f>
        <v>0</v>
      </c>
      <c r="I206" s="512"/>
      <c r="J206" s="141"/>
      <c r="K206" s="95"/>
      <c r="L206" s="96"/>
      <c r="M206" s="96"/>
      <c r="N206" s="96"/>
      <c r="O206" s="96"/>
      <c r="P206" s="96"/>
      <c r="Q206" s="95"/>
      <c r="R206" s="95"/>
      <c r="S206" s="95"/>
      <c r="T206" s="95"/>
      <c r="U206" s="95"/>
      <c r="V206" s="95"/>
      <c r="W206" s="95"/>
      <c r="X206" s="95"/>
      <c r="Y206" s="95"/>
      <c r="Z206" s="95"/>
    </row>
    <row r="207" spans="1:26" ht="56" customHeight="1" x14ac:dyDescent="0.15">
      <c r="B207" s="477"/>
      <c r="C207" s="448"/>
      <c r="D207" s="449" t="str">
        <f>INDEX('imp-questions'!G:G, MATCH(A206, 'imp-questions'!A:A, 0))</f>
        <v>You have assigned an owner for each baseline
 The owner keeps their assigned baselines up to date
 You store baselines in an accessible location
 You train employees responsible for configurations in these baselines</v>
      </c>
      <c r="E207" s="450"/>
      <c r="F207" s="451"/>
      <c r="G207" s="143"/>
      <c r="H207" s="142"/>
      <c r="I207" s="471"/>
      <c r="J207" s="141"/>
      <c r="K207" s="95"/>
      <c r="L207" s="96"/>
      <c r="M207" s="96"/>
      <c r="N207" s="96"/>
      <c r="O207" s="96"/>
      <c r="P207" s="96"/>
      <c r="Q207" s="95"/>
      <c r="R207" s="95"/>
      <c r="S207" s="95"/>
      <c r="T207" s="95"/>
      <c r="U207" s="95"/>
      <c r="V207" s="95"/>
      <c r="W207" s="95"/>
      <c r="X207" s="95"/>
      <c r="Y207" s="95"/>
      <c r="Z207" s="95"/>
    </row>
    <row r="208" spans="1:26" ht="14" x14ac:dyDescent="0.15">
      <c r="A208" s="89" t="s">
        <v>115</v>
      </c>
      <c r="B208" s="477"/>
      <c r="C208" s="196">
        <f>INDEX('imp-questions'!E:E, MATCH(A208, 'imp-questions'!A:A, 0))</f>
        <v>3</v>
      </c>
      <c r="D208" s="112" t="str">
        <f>INDEX('imp-questions'!F:F, MATCH(A208, 'imp-questions'!A:A, 0))</f>
        <v>Do you monitor and enforce conformity with hardening baselines?</v>
      </c>
      <c r="E208" s="113" t="str">
        <f>CHAR(65+INDEX('imp-questions'!H:H, MATCH(A208, 'imp-questions'!A:A, 0)))</f>
        <v>G</v>
      </c>
      <c r="F208" s="118"/>
      <c r="G208" s="135">
        <f ca="1">IFERROR(INDEX(INDIRECT("Ans" &amp; E208 &amp; "TBL"), MATCH(F208, INDEX(INDIRECT("Ans" &amp; E208 &amp; "TBL"), 0, 1), 0), 2), 0)</f>
        <v>0</v>
      </c>
      <c r="H208" s="127">
        <f ca="1">IFERROR(AVERAGE(G208,G215),0)</f>
        <v>0</v>
      </c>
      <c r="I208" s="470"/>
      <c r="J208" s="141"/>
      <c r="K208" s="95"/>
      <c r="L208" s="96"/>
      <c r="M208" s="96"/>
      <c r="N208" s="96"/>
      <c r="O208" s="96"/>
      <c r="P208" s="96"/>
      <c r="Q208" s="95"/>
      <c r="R208" s="95"/>
      <c r="S208" s="95"/>
      <c r="T208" s="95"/>
      <c r="U208" s="95"/>
      <c r="V208" s="95"/>
      <c r="W208" s="95"/>
      <c r="X208" s="95"/>
      <c r="Y208" s="95"/>
      <c r="Z208" s="95"/>
    </row>
    <row r="209" spans="1:26" ht="56" customHeight="1" x14ac:dyDescent="0.15">
      <c r="B209" s="478"/>
      <c r="C209" s="448"/>
      <c r="D209" s="449" t="str">
        <f>INDEX('imp-questions'!G:G, MATCH(A208, 'imp-questions'!A:A, 0))</f>
        <v>You perform conformity checks regularly, preferably using automation
 You store conformity check results in an accessible location
 You follow an established process to address reported non-conformities
 You review each baseline at least annually, and update it when required</v>
      </c>
      <c r="E209" s="450"/>
      <c r="F209" s="451"/>
      <c r="G209" s="143"/>
      <c r="H209" s="142"/>
      <c r="I209" s="471"/>
      <c r="J209" s="141"/>
      <c r="K209" s="95"/>
      <c r="L209" s="96"/>
      <c r="M209" s="96"/>
      <c r="N209" s="96"/>
      <c r="O209" s="96"/>
      <c r="P209" s="96"/>
      <c r="Q209" s="95"/>
      <c r="R209" s="95"/>
      <c r="S209" s="95"/>
      <c r="T209" s="95"/>
      <c r="U209" s="95"/>
      <c r="V209" s="95"/>
      <c r="W209" s="95"/>
      <c r="X209" s="95"/>
      <c r="Y209" s="95"/>
      <c r="Z209" s="95"/>
    </row>
    <row r="210" spans="1:26" x14ac:dyDescent="0.15">
      <c r="B210" s="164"/>
      <c r="C210" s="124"/>
      <c r="D210" s="125"/>
      <c r="E210" s="125"/>
      <c r="F210" s="125"/>
      <c r="G210" s="202"/>
      <c r="H210" s="125"/>
      <c r="I210" s="165"/>
      <c r="J210" s="121"/>
      <c r="K210" s="95"/>
      <c r="L210" s="96"/>
      <c r="M210" s="96"/>
      <c r="N210" s="96"/>
      <c r="O210" s="96"/>
      <c r="P210" s="96"/>
      <c r="Q210" s="95"/>
      <c r="R210" s="95"/>
      <c r="S210" s="95"/>
      <c r="T210" s="95"/>
      <c r="U210" s="95"/>
      <c r="V210" s="95"/>
      <c r="W210" s="95"/>
      <c r="X210" s="95"/>
      <c r="Y210" s="95"/>
      <c r="Z210" s="95"/>
    </row>
    <row r="211" spans="1:26" ht="15" customHeight="1" x14ac:dyDescent="0.15">
      <c r="A211" s="89" t="s">
        <v>116</v>
      </c>
      <c r="B211" s="501" t="str">
        <f>INDEX('imp-questions'!D:D, MATCH(A211, 'imp-questions'!A:A, 0))</f>
        <v>Patching and Updating</v>
      </c>
      <c r="C211" s="198">
        <f>INDEX('imp-questions'!E:E, MATCH(A211, 'imp-questions'!A:A, 0))</f>
        <v>1</v>
      </c>
      <c r="D211" s="112" t="str">
        <f>INDEX('imp-questions'!F:F, MATCH(A211, 'imp-questions'!A:A, 0))</f>
        <v>Do you identify and patch vulnerable components?</v>
      </c>
      <c r="E211" s="113" t="str">
        <f>CHAR(65+INDEX('imp-questions'!H:H, MATCH(A211, 'imp-questions'!A:A, 0)))</f>
        <v>G</v>
      </c>
      <c r="F211" s="114"/>
      <c r="G211" s="135">
        <f ca="1">IFERROR(INDEX(INDIRECT("Ans" &amp; E211 &amp; "TBL"), MATCH(F211, INDEX(INDIRECT("Ans" &amp; E211 &amp; "TBL"), 0, 1), 0), 2), 0)</f>
        <v>0</v>
      </c>
      <c r="H211" s="127"/>
      <c r="I211" s="508"/>
      <c r="J211" s="121"/>
      <c r="K211" s="95"/>
      <c r="L211" s="96"/>
      <c r="M211" s="96"/>
      <c r="N211" s="96"/>
      <c r="O211" s="96"/>
      <c r="P211" s="96"/>
      <c r="Q211" s="95"/>
      <c r="R211" s="95"/>
      <c r="S211" s="95"/>
      <c r="T211" s="95"/>
      <c r="U211" s="95"/>
      <c r="V211" s="95"/>
      <c r="W211" s="95"/>
      <c r="X211" s="95"/>
      <c r="Y211" s="95"/>
      <c r="Z211" s="95"/>
    </row>
    <row r="212" spans="1:26" ht="28" customHeight="1" x14ac:dyDescent="0.15">
      <c r="B212" s="477"/>
      <c r="C212" s="448"/>
      <c r="D212" s="449" t="str">
        <f>INDEX('imp-questions'!G:G, MATCH(A211, 'imp-questions'!A:A, 0))</f>
        <v>You have an up-to-date list of components, including version information
 You regularly review public sources for vulnerabilities related to your components</v>
      </c>
      <c r="E212" s="450"/>
      <c r="F212" s="451"/>
      <c r="G212" s="143"/>
      <c r="H212" s="144"/>
      <c r="I212" s="509"/>
      <c r="J212" s="121"/>
      <c r="K212" s="95"/>
      <c r="L212" s="96"/>
      <c r="M212" s="96"/>
      <c r="N212" s="96"/>
      <c r="O212" s="96"/>
      <c r="P212" s="96"/>
      <c r="Q212" s="95"/>
      <c r="R212" s="95"/>
      <c r="S212" s="95"/>
      <c r="T212" s="95"/>
      <c r="U212" s="95"/>
      <c r="V212" s="95"/>
      <c r="W212" s="95"/>
      <c r="X212" s="95"/>
      <c r="Y212" s="95"/>
      <c r="Z212" s="95"/>
    </row>
    <row r="213" spans="1:26" ht="14" x14ac:dyDescent="0.15">
      <c r="A213" s="89" t="s">
        <v>117</v>
      </c>
      <c r="B213" s="477"/>
      <c r="C213" s="196">
        <f>INDEX('imp-questions'!E:E, MATCH(A213, 'imp-questions'!A:A, 0))</f>
        <v>2</v>
      </c>
      <c r="D213" s="112" t="str">
        <f>INDEX('imp-questions'!F:F, MATCH(A213, 'imp-questions'!A:A, 0))</f>
        <v>Do you follow an established process for updating components of your technology stacks?</v>
      </c>
      <c r="E213" s="113" t="str">
        <f>CHAR(65+INDEX('imp-questions'!H:H, MATCH(A213, 'imp-questions'!A:A, 0)))</f>
        <v>G</v>
      </c>
      <c r="F213" s="118"/>
      <c r="G213" s="135">
        <f ca="1">IFERROR(INDEX(INDIRECT("Ans" &amp; E213 &amp; "TBL"), MATCH(F213, INDEX(INDIRECT("Ans" &amp; E213 &amp; "TBL"), 0, 1), 0), 2), 0)</f>
        <v>0</v>
      </c>
      <c r="H213" s="127"/>
      <c r="I213" s="508"/>
      <c r="J213" s="121"/>
      <c r="K213" s="95"/>
      <c r="L213" s="96"/>
      <c r="M213" s="96"/>
      <c r="N213" s="96"/>
      <c r="O213" s="96"/>
      <c r="P213" s="96"/>
      <c r="Q213" s="95"/>
      <c r="R213" s="95"/>
      <c r="S213" s="95"/>
      <c r="T213" s="95"/>
      <c r="U213" s="95"/>
      <c r="V213" s="95"/>
      <c r="W213" s="95"/>
      <c r="X213" s="95"/>
      <c r="Y213" s="95"/>
      <c r="Z213" s="95"/>
    </row>
    <row r="214" spans="1:26" ht="42" customHeight="1" x14ac:dyDescent="0.15">
      <c r="B214" s="477"/>
      <c r="C214" s="448"/>
      <c r="D214" s="449" t="str">
        <f>INDEX('imp-questions'!G:G, MATCH(A213, 'imp-questions'!A:A, 0))</f>
        <v>The process includes vendor information for third-party patches
 The process considers external sources to gather information about zero day attacks, and includes appropriate risk mitigation steps
 The process includes guidance for prioritizing component updates</v>
      </c>
      <c r="E214" s="450"/>
      <c r="F214" s="451"/>
      <c r="G214" s="116"/>
      <c r="H214" s="122"/>
      <c r="I214" s="509"/>
      <c r="J214" s="121"/>
      <c r="K214" s="95"/>
      <c r="L214" s="96"/>
      <c r="M214" s="96"/>
      <c r="N214" s="96"/>
      <c r="O214" s="96"/>
      <c r="P214" s="96"/>
      <c r="Q214" s="95"/>
      <c r="R214" s="95"/>
      <c r="S214" s="95"/>
      <c r="T214" s="95"/>
      <c r="U214" s="95"/>
      <c r="V214" s="95"/>
      <c r="W214" s="95"/>
      <c r="X214" s="95"/>
      <c r="Y214" s="95"/>
      <c r="Z214" s="95"/>
    </row>
    <row r="215" spans="1:26" ht="14" x14ac:dyDescent="0.15">
      <c r="A215" s="89" t="s">
        <v>118</v>
      </c>
      <c r="B215" s="477"/>
      <c r="C215" s="196">
        <f>INDEX('imp-questions'!E:E, MATCH(A215, 'imp-questions'!A:A, 0))</f>
        <v>3</v>
      </c>
      <c r="D215" s="112" t="str">
        <f>INDEX('imp-questions'!F:F, MATCH(A215, 'imp-questions'!A:A, 0))</f>
        <v>Do you regularly evaluate components and review patch level status?</v>
      </c>
      <c r="E215" s="113" t="str">
        <f>CHAR(65+INDEX('imp-questions'!H:H, MATCH(A215, 'imp-questions'!A:A, 0)))</f>
        <v>G</v>
      </c>
      <c r="F215" s="118"/>
      <c r="G215" s="135">
        <f ca="1">IFERROR(INDEX(INDIRECT("Ans" &amp; E215 &amp; "TBL"), MATCH(F215, INDEX(INDIRECT("Ans" &amp; E215 &amp; "TBL"), 0, 1), 0), 2), 0)</f>
        <v>0</v>
      </c>
      <c r="H215" s="127"/>
      <c r="I215" s="508"/>
      <c r="J215" s="121"/>
      <c r="K215" s="95"/>
      <c r="L215" s="96"/>
      <c r="M215" s="96"/>
      <c r="N215" s="96"/>
      <c r="O215" s="96"/>
      <c r="P215" s="96"/>
      <c r="Q215" s="95"/>
      <c r="R215" s="95"/>
      <c r="S215" s="95"/>
      <c r="T215" s="95"/>
      <c r="U215" s="95"/>
      <c r="V215" s="95"/>
      <c r="W215" s="95"/>
      <c r="X215" s="95"/>
      <c r="Y215" s="95"/>
      <c r="Z215" s="95"/>
    </row>
    <row r="216" spans="1:26" ht="42" customHeight="1" x14ac:dyDescent="0.15">
      <c r="B216" s="478"/>
      <c r="C216" s="448"/>
      <c r="D216" s="453" t="str">
        <f>INDEX('imp-questions'!G:G, MATCH(A215, 'imp-questions'!A:A, 0))</f>
        <v>You update the list with components and versions
 You identify and update missing updates according to existing SLA
 You review and update the process based on feedback from the people who perform patching</v>
      </c>
      <c r="E216" s="450"/>
      <c r="F216" s="451"/>
      <c r="G216" s="116"/>
      <c r="H216" s="122"/>
      <c r="I216" s="509"/>
      <c r="J216" s="121"/>
      <c r="K216" s="95"/>
      <c r="L216" s="96"/>
      <c r="M216" s="96"/>
      <c r="N216" s="96"/>
      <c r="O216" s="96"/>
      <c r="P216" s="96"/>
      <c r="Q216" s="95"/>
      <c r="R216" s="95"/>
      <c r="S216" s="95"/>
      <c r="T216" s="95"/>
      <c r="U216" s="95"/>
      <c r="V216" s="95"/>
      <c r="W216" s="95"/>
      <c r="X216" s="95"/>
      <c r="Y216" s="95"/>
      <c r="Z216" s="95"/>
    </row>
    <row r="217" spans="1:26" ht="14" x14ac:dyDescent="0.15">
      <c r="B217" s="503" t="s">
        <v>119</v>
      </c>
      <c r="C217" s="504"/>
      <c r="D217" s="505"/>
      <c r="E217" s="199"/>
      <c r="F217" s="200" t="s">
        <v>15</v>
      </c>
      <c r="G217" s="200"/>
      <c r="H217" s="201"/>
      <c r="I217" s="195" t="s">
        <v>16</v>
      </c>
      <c r="J217" s="195" t="s">
        <v>17</v>
      </c>
      <c r="K217" s="95"/>
      <c r="L217" s="96"/>
      <c r="M217" s="96"/>
      <c r="N217" s="96"/>
      <c r="O217" s="96"/>
      <c r="P217" s="96"/>
      <c r="Q217" s="95"/>
      <c r="R217" s="95"/>
      <c r="S217" s="95"/>
      <c r="T217" s="95"/>
      <c r="U217" s="95"/>
      <c r="V217" s="95"/>
      <c r="W217" s="95"/>
      <c r="X217" s="95"/>
      <c r="Y217" s="95"/>
      <c r="Z217" s="95"/>
    </row>
    <row r="218" spans="1:26" ht="28" customHeight="1" x14ac:dyDescent="0.15">
      <c r="A218" s="89" t="s">
        <v>120</v>
      </c>
      <c r="B218" s="502" t="str">
        <f>INDEX('imp-questions'!D:D, MATCH(A218, 'imp-questions'!A:A, 0))</f>
        <v>Data Protection</v>
      </c>
      <c r="C218" s="198">
        <f>INDEX('imp-questions'!E:E, MATCH(A218, 'imp-questions'!A:A, 0))</f>
        <v>1</v>
      </c>
      <c r="D218" s="131" t="str">
        <f>INDEX('imp-questions'!F:F, MATCH(A218, 'imp-questions'!A:A, 0))</f>
        <v>Do you protect and handle information according to protection requirements for data stored and processed on each application?</v>
      </c>
      <c r="E218" s="113" t="str">
        <f>CHAR(65+INDEX('imp-questions'!H:H, MATCH(A218, 'imp-questions'!A:A, 0)))</f>
        <v>A</v>
      </c>
      <c r="F218" s="150"/>
      <c r="G218" s="135">
        <f ca="1">IFERROR(INDEX(INDIRECT("Ans" &amp; E218 &amp; "TBL"), MATCH(F218, INDEX(INDIRECT("Ans" &amp; E218 &amp; "TBL"), 0, 1), 0), 2), 0)</f>
        <v>0</v>
      </c>
      <c r="H218" s="127">
        <f ca="1">IFERROR(AVERAGE(G218,G225),0)</f>
        <v>0</v>
      </c>
      <c r="I218" s="510"/>
      <c r="J218" s="468">
        <f ca="1">SUM(H218,H220,H222)</f>
        <v>0</v>
      </c>
      <c r="K218" s="95"/>
      <c r="L218" s="96"/>
      <c r="M218" s="96"/>
      <c r="N218" s="96"/>
      <c r="O218" s="96"/>
      <c r="P218" s="96"/>
      <c r="Q218" s="95"/>
      <c r="R218" s="95"/>
      <c r="S218" s="95"/>
      <c r="T218" s="95"/>
      <c r="U218" s="95"/>
      <c r="V218" s="95"/>
      <c r="W218" s="95"/>
      <c r="X218" s="95"/>
      <c r="Y218" s="95"/>
      <c r="Z218" s="95"/>
    </row>
    <row r="219" spans="1:26" ht="42" customHeight="1" x14ac:dyDescent="0.15">
      <c r="B219" s="477"/>
      <c r="C219" s="448"/>
      <c r="D219" s="449" t="str">
        <f>INDEX('imp-questions'!G:G, MATCH(A218, 'imp-questions'!A:A, 0))</f>
        <v>You know the data elements processed and stored by each application
 You know the type and sensitivity level of each identified data element
 You have controls to prevent propagation of unsanitized sensitive data from production to lower environments</v>
      </c>
      <c r="E219" s="450"/>
      <c r="F219" s="451"/>
      <c r="G219" s="116"/>
      <c r="H219" s="139"/>
      <c r="I219" s="511"/>
      <c r="J219" s="469"/>
      <c r="K219" s="95"/>
      <c r="L219" s="96"/>
      <c r="M219" s="96"/>
      <c r="N219" s="96"/>
      <c r="O219" s="96"/>
      <c r="P219" s="96"/>
      <c r="Q219" s="95"/>
      <c r="R219" s="95"/>
      <c r="S219" s="95"/>
      <c r="T219" s="95"/>
      <c r="U219" s="95"/>
      <c r="V219" s="95"/>
      <c r="W219" s="95"/>
      <c r="X219" s="95"/>
      <c r="Y219" s="95"/>
      <c r="Z219" s="95"/>
    </row>
    <row r="220" spans="1:26" ht="25.5" customHeight="1" x14ac:dyDescent="0.15">
      <c r="A220" s="89" t="s">
        <v>121</v>
      </c>
      <c r="B220" s="477"/>
      <c r="C220" s="196">
        <f>INDEX('imp-questions'!E:E, MATCH(A220, 'imp-questions'!A:A, 0))</f>
        <v>2</v>
      </c>
      <c r="D220" s="112" t="str">
        <f>INDEX('imp-questions'!F:F, MATCH(A220, 'imp-questions'!A:A, 0))</f>
        <v>Do you maintain a data catalog, including types, sensitivity levels, and processing and storage locations?</v>
      </c>
      <c r="E220" s="113" t="str">
        <f>CHAR(65+INDEX('imp-questions'!H:H, MATCH(A220, 'imp-questions'!A:A, 0)))</f>
        <v>J</v>
      </c>
      <c r="F220" s="118"/>
      <c r="G220" s="135">
        <f ca="1">IFERROR(INDEX(INDIRECT("Ans" &amp; E220 &amp; "TBL"), MATCH(F220, INDEX(INDIRECT("Ans" &amp; E220 &amp; "TBL"), 0, 1), 0), 2), 0)</f>
        <v>0</v>
      </c>
      <c r="H220" s="127">
        <f ca="1">IFERROR(AVERAGE(G220,G227),0)</f>
        <v>0</v>
      </c>
      <c r="I220" s="512"/>
      <c r="J220" s="141"/>
      <c r="K220" s="95"/>
      <c r="L220" s="96"/>
      <c r="M220" s="96"/>
      <c r="N220" s="96"/>
      <c r="O220" s="96"/>
      <c r="P220" s="96"/>
      <c r="Q220" s="95"/>
      <c r="R220" s="95"/>
      <c r="S220" s="95"/>
      <c r="T220" s="95"/>
      <c r="U220" s="95"/>
      <c r="V220" s="95"/>
      <c r="W220" s="95"/>
      <c r="X220" s="95"/>
      <c r="Y220" s="95"/>
      <c r="Z220" s="95"/>
    </row>
    <row r="221" spans="1:26" ht="56" customHeight="1" x14ac:dyDescent="0.15">
      <c r="B221" s="477"/>
      <c r="C221" s="448"/>
      <c r="D221" s="449" t="str">
        <f>INDEX('imp-questions'!G:G, MATCH(A220, 'imp-questions'!A:A, 0))</f>
        <v>The data catalog is stored in an accessible location
 You know which data elements are subject to specific regulation
 You have controls for protecting and preserving data throughout its lifetime
 You have retention requirements for data, and you destroy backups in a timely manner after the relevant retention period ends</v>
      </c>
      <c r="E221" s="450"/>
      <c r="F221" s="451"/>
      <c r="G221" s="116"/>
      <c r="H221" s="142"/>
      <c r="I221" s="471"/>
      <c r="J221" s="141"/>
      <c r="K221" s="95"/>
      <c r="L221" s="96"/>
      <c r="M221" s="96"/>
      <c r="N221" s="96"/>
      <c r="O221" s="96"/>
      <c r="P221" s="96"/>
      <c r="Q221" s="95"/>
      <c r="R221" s="95"/>
      <c r="S221" s="95"/>
      <c r="T221" s="95"/>
      <c r="U221" s="95"/>
      <c r="V221" s="95"/>
      <c r="W221" s="95"/>
      <c r="X221" s="95"/>
      <c r="Y221" s="95"/>
      <c r="Z221" s="95"/>
    </row>
    <row r="222" spans="1:26" ht="25.5" customHeight="1" x14ac:dyDescent="0.15">
      <c r="A222" s="89" t="s">
        <v>122</v>
      </c>
      <c r="B222" s="477"/>
      <c r="C222" s="196">
        <f>INDEX('imp-questions'!E:E, MATCH(A222, 'imp-questions'!A:A, 0))</f>
        <v>3</v>
      </c>
      <c r="D222" s="112" t="str">
        <f>INDEX('imp-questions'!F:F, MATCH(A222, 'imp-questions'!A:A, 0))</f>
        <v>Do you regularly review and update the data catalog and your data protection policies and procedures?</v>
      </c>
      <c r="E222" s="113" t="str">
        <f>CHAR(65+INDEX('imp-questions'!H:H, MATCH(A222, 'imp-questions'!A:A, 0)))</f>
        <v>K</v>
      </c>
      <c r="F222" s="118"/>
      <c r="G222" s="135">
        <f ca="1">IFERROR(INDEX(INDIRECT("Ans" &amp; E222 &amp; "TBL"), MATCH(F222, INDEX(INDIRECT("Ans" &amp; E222 &amp; "TBL"), 0, 1), 0), 2), 0)</f>
        <v>0</v>
      </c>
      <c r="H222" s="127">
        <f ca="1">IFERROR(AVERAGE(G222,G229),0)</f>
        <v>0</v>
      </c>
      <c r="I222" s="470"/>
      <c r="J222" s="141"/>
      <c r="K222" s="95"/>
      <c r="L222" s="96"/>
      <c r="M222" s="96"/>
      <c r="N222" s="96"/>
      <c r="O222" s="96"/>
      <c r="P222" s="96"/>
      <c r="Q222" s="95"/>
      <c r="R222" s="95"/>
      <c r="S222" s="95"/>
      <c r="T222" s="95"/>
      <c r="U222" s="95"/>
      <c r="V222" s="95"/>
      <c r="W222" s="95"/>
      <c r="X222" s="95"/>
      <c r="Y222" s="95"/>
      <c r="Z222" s="95"/>
    </row>
    <row r="223" spans="1:26" ht="42" customHeight="1" x14ac:dyDescent="0.15">
      <c r="B223" s="478"/>
      <c r="C223" s="448"/>
      <c r="D223" s="449" t="str">
        <f>INDEX('imp-questions'!G:G, MATCH(A222, 'imp-questions'!A:A, 0))</f>
        <v>You have automated monitoring to detect attempted or actual violations of the Data Protection Policy
 You have tools for data loss prevention, access control and tracking, or anomalous behavior detection
 You periodically audit the operation of automated mechanisms, including backups and record deletions</v>
      </c>
      <c r="E223" s="450"/>
      <c r="F223" s="451"/>
      <c r="G223" s="116"/>
      <c r="H223" s="142"/>
      <c r="I223" s="471"/>
      <c r="J223" s="141"/>
      <c r="K223" s="95"/>
      <c r="L223" s="96"/>
      <c r="M223" s="96"/>
      <c r="N223" s="96"/>
      <c r="O223" s="96"/>
      <c r="P223" s="96"/>
      <c r="Q223" s="95"/>
      <c r="R223" s="95"/>
      <c r="S223" s="95"/>
      <c r="T223" s="95"/>
      <c r="U223" s="95"/>
      <c r="V223" s="95"/>
      <c r="W223" s="95"/>
      <c r="X223" s="95"/>
      <c r="Y223" s="95"/>
      <c r="Z223" s="95"/>
    </row>
    <row r="224" spans="1:26" x14ac:dyDescent="0.15">
      <c r="B224" s="164"/>
      <c r="C224" s="124"/>
      <c r="D224" s="125"/>
      <c r="E224" s="125"/>
      <c r="F224" s="125"/>
      <c r="G224" s="125"/>
      <c r="H224" s="125"/>
      <c r="I224" s="165"/>
      <c r="J224" s="121"/>
      <c r="K224" s="95"/>
      <c r="L224" s="96"/>
      <c r="M224" s="96"/>
      <c r="N224" s="96"/>
      <c r="O224" s="96"/>
      <c r="P224" s="96"/>
      <c r="Q224" s="95"/>
      <c r="R224" s="95"/>
      <c r="S224" s="95"/>
      <c r="T224" s="95"/>
      <c r="U224" s="95"/>
      <c r="V224" s="95"/>
      <c r="W224" s="95"/>
      <c r="X224" s="95"/>
      <c r="Y224" s="95"/>
      <c r="Z224" s="95"/>
    </row>
    <row r="225" spans="1:26" ht="28" customHeight="1" x14ac:dyDescent="0.15">
      <c r="A225" s="89" t="s">
        <v>123</v>
      </c>
      <c r="B225" s="501" t="str">
        <f>INDEX('imp-questions'!D:D, MATCH(A225, 'imp-questions'!A:A, 0))</f>
        <v>System Decommissioning / Legacy Management</v>
      </c>
      <c r="C225" s="198">
        <f>INDEX('imp-questions'!E:E, MATCH(A225, 'imp-questions'!A:A, 0))</f>
        <v>1</v>
      </c>
      <c r="D225" s="112" t="str">
        <f>INDEX('imp-questions'!F:F, MATCH(A225, 'imp-questions'!A:A, 0))</f>
        <v>Do you identify and remove systems, applications, application dependencies, or services that are no longer used, have reached end of life, or are no longer actively developed or supported?</v>
      </c>
      <c r="E225" s="113" t="str">
        <f>CHAR(65+INDEX('imp-questions'!H:H, MATCH(A225, 'imp-questions'!A:A, 0)))</f>
        <v>A</v>
      </c>
      <c r="F225" s="150"/>
      <c r="G225" s="135">
        <f ca="1">IFERROR(INDEX(INDIRECT("Ans" &amp; E225 &amp; "TBL"), MATCH(F225, INDEX(INDIRECT("Ans" &amp; E225 &amp; "TBL"), 0, 1), 0), 2), 0)</f>
        <v>0</v>
      </c>
      <c r="H225" s="127"/>
      <c r="I225" s="508"/>
      <c r="J225" s="121"/>
      <c r="K225" s="95"/>
      <c r="L225" s="96"/>
      <c r="M225" s="96"/>
      <c r="N225" s="96"/>
      <c r="O225" s="96"/>
      <c r="P225" s="96"/>
      <c r="Q225" s="95"/>
      <c r="R225" s="95"/>
      <c r="S225" s="95"/>
      <c r="T225" s="95"/>
      <c r="U225" s="95"/>
      <c r="V225" s="95"/>
      <c r="W225" s="95"/>
      <c r="X225" s="95"/>
      <c r="Y225" s="95"/>
      <c r="Z225" s="95"/>
    </row>
    <row r="226" spans="1:26" ht="28" customHeight="1" x14ac:dyDescent="0.15">
      <c r="B226" s="477"/>
      <c r="C226" s="448"/>
      <c r="D226" s="449" t="str">
        <f>INDEX('imp-questions'!G:G, MATCH(A225, 'imp-questions'!A:A, 0))</f>
        <v>You do not use unsupported applications or dependencies
 You manage customer/user migration from older versions for each product and customer/user group</v>
      </c>
      <c r="E226" s="450"/>
      <c r="F226" s="451"/>
      <c r="G226" s="116"/>
      <c r="H226" s="122"/>
      <c r="I226" s="509"/>
      <c r="J226" s="121"/>
      <c r="K226" s="95"/>
      <c r="L226" s="96"/>
      <c r="M226" s="96"/>
      <c r="N226" s="96"/>
      <c r="O226" s="96"/>
      <c r="P226" s="96"/>
      <c r="Q226" s="95"/>
      <c r="R226" s="95"/>
      <c r="S226" s="95"/>
      <c r="T226" s="95"/>
      <c r="U226" s="95"/>
      <c r="V226" s="95"/>
      <c r="W226" s="95"/>
      <c r="X226" s="95"/>
      <c r="Y226" s="95"/>
      <c r="Z226" s="95"/>
    </row>
    <row r="227" spans="1:26" ht="28" customHeight="1" x14ac:dyDescent="0.15">
      <c r="A227" s="89" t="s">
        <v>124</v>
      </c>
      <c r="B227" s="477"/>
      <c r="C227" s="196">
        <f>INDEX('imp-questions'!E:E, MATCH(A227, 'imp-questions'!A:A, 0))</f>
        <v>2</v>
      </c>
      <c r="D227" s="112" t="str">
        <f>INDEX('imp-questions'!F:F, MATCH(A227, 'imp-questions'!A:A, 0))</f>
        <v>Do you follow an established process for removing all associated resources, as part of decommissioning of unused systems, applications, application dependencies, or services?</v>
      </c>
      <c r="E227" s="113" t="str">
        <f>CHAR(65+INDEX('imp-questions'!H:H, MATCH(A227, 'imp-questions'!A:A, 0)))</f>
        <v>E</v>
      </c>
      <c r="F227" s="118"/>
      <c r="G227" s="135">
        <f ca="1">IFERROR(INDEX(INDIRECT("Ans" &amp; E227 &amp; "TBL"), MATCH(F227, INDEX(INDIRECT("Ans" &amp; E227 &amp; "TBL"), 0, 1), 0), 2), 0)</f>
        <v>0</v>
      </c>
      <c r="H227" s="127"/>
      <c r="I227" s="508"/>
      <c r="J227" s="121"/>
      <c r="K227" s="95"/>
      <c r="L227" s="96"/>
      <c r="M227" s="96"/>
      <c r="N227" s="96"/>
      <c r="O227" s="96"/>
      <c r="P227" s="96"/>
      <c r="Q227" s="95"/>
      <c r="R227" s="95"/>
      <c r="S227" s="95"/>
      <c r="T227" s="95"/>
      <c r="U227" s="95"/>
      <c r="V227" s="95"/>
      <c r="W227" s="95"/>
      <c r="X227" s="95"/>
      <c r="Y227" s="95"/>
      <c r="Z227" s="95"/>
    </row>
    <row r="228" spans="1:26" ht="42" customHeight="1" x14ac:dyDescent="0.15">
      <c r="B228" s="477"/>
      <c r="C228" s="448"/>
      <c r="D228" s="449" t="str">
        <f>INDEX('imp-questions'!G:G, MATCH(A227, 'imp-questions'!A:A, 0))</f>
        <v>You document the status of support for all released versions of your products, in an accessible location
 The process includes replacement or upgrade of third-party applications, or application dependencies, that have reached end of life
 Operating environments do not contain orphaned accounts, firewall rules, or other configuration artifacts</v>
      </c>
      <c r="E228" s="450"/>
      <c r="F228" s="451"/>
      <c r="G228" s="116"/>
      <c r="H228" s="122"/>
      <c r="I228" s="509"/>
      <c r="J228" s="121"/>
      <c r="K228" s="95"/>
      <c r="L228" s="96"/>
      <c r="M228" s="96"/>
      <c r="N228" s="96"/>
      <c r="O228" s="96"/>
      <c r="P228" s="96"/>
      <c r="Q228" s="95"/>
      <c r="R228" s="95"/>
      <c r="S228" s="95"/>
      <c r="T228" s="95"/>
      <c r="U228" s="95"/>
      <c r="V228" s="95"/>
      <c r="W228" s="95"/>
      <c r="X228" s="95"/>
      <c r="Y228" s="95"/>
      <c r="Z228" s="95"/>
    </row>
    <row r="229" spans="1:26" ht="28" customHeight="1" x14ac:dyDescent="0.15">
      <c r="A229" s="89" t="s">
        <v>125</v>
      </c>
      <c r="B229" s="477"/>
      <c r="C229" s="196">
        <f>INDEX('imp-questions'!E:E, MATCH(A229, 'imp-questions'!A:A, 0))</f>
        <v>3</v>
      </c>
      <c r="D229" s="112" t="str">
        <f>INDEX('imp-questions'!F:F, MATCH(A229, 'imp-questions'!A:A, 0))</f>
        <v>Do you regularly evaluate the lifecycle state and support status of every software asset and underlying infrastructure component, and estimate their end of life?</v>
      </c>
      <c r="E229" s="113" t="str">
        <f>CHAR(65+INDEX('imp-questions'!H:H, MATCH(A229, 'imp-questions'!A:A, 0)))</f>
        <v>L</v>
      </c>
      <c r="F229" s="118"/>
      <c r="G229" s="135">
        <f ca="1">IFERROR(INDEX(INDIRECT("Ans" &amp; E229 &amp; "TBL"), MATCH(F229, INDEX(INDIRECT("Ans" &amp; E229 &amp; "TBL"), 0, 1), 0), 2), 0)</f>
        <v>0</v>
      </c>
      <c r="H229" s="127"/>
      <c r="I229" s="506"/>
      <c r="J229" s="121"/>
      <c r="K229" s="95"/>
      <c r="L229" s="96"/>
      <c r="M229" s="96"/>
      <c r="N229" s="96"/>
      <c r="O229" s="96"/>
      <c r="P229" s="96"/>
      <c r="Q229" s="95"/>
      <c r="R229" s="95"/>
      <c r="S229" s="95"/>
      <c r="T229" s="95"/>
      <c r="U229" s="95"/>
      <c r="V229" s="95"/>
      <c r="W229" s="95"/>
      <c r="X229" s="95"/>
      <c r="Y229" s="95"/>
      <c r="Z229" s="95"/>
    </row>
    <row r="230" spans="1:26" ht="42" customHeight="1" x14ac:dyDescent="0.15">
      <c r="B230" s="478"/>
      <c r="C230" s="454"/>
      <c r="D230" s="449" t="str">
        <f>INDEX('imp-questions'!G:G, MATCH(A229, 'imp-questions'!A:A, 0))</f>
        <v>Your end of life management process is agreed upon
 You inform customers and user groups of product timelines to prevent disruption of service or support
 You review the process at least annually</v>
      </c>
      <c r="E230" s="450"/>
      <c r="F230" s="451"/>
      <c r="G230" s="116"/>
      <c r="H230" s="122"/>
      <c r="I230" s="507"/>
      <c r="J230" s="121"/>
      <c r="K230" s="95"/>
      <c r="L230" s="96"/>
      <c r="M230" s="96"/>
      <c r="N230" s="96"/>
      <c r="O230" s="96"/>
      <c r="P230" s="96"/>
      <c r="Q230" s="95"/>
      <c r="R230" s="95"/>
      <c r="S230" s="95"/>
      <c r="T230" s="95"/>
      <c r="U230" s="95"/>
      <c r="V230" s="95"/>
      <c r="W230" s="95"/>
      <c r="X230" s="95"/>
      <c r="Y230" s="95"/>
      <c r="Z230" s="95"/>
    </row>
  </sheetData>
  <mergeCells count="166">
    <mergeCell ref="I63:I64"/>
    <mergeCell ref="I39:I40"/>
    <mergeCell ref="B32:B37"/>
    <mergeCell ref="B39:B44"/>
    <mergeCell ref="B53:B58"/>
    <mergeCell ref="B46:B51"/>
    <mergeCell ref="I46:I47"/>
    <mergeCell ref="I50:I51"/>
    <mergeCell ref="B59:J59"/>
    <mergeCell ref="J32:J33"/>
    <mergeCell ref="I53:I54"/>
    <mergeCell ref="I57:I58"/>
    <mergeCell ref="I48:I49"/>
    <mergeCell ref="I55:I56"/>
    <mergeCell ref="B89:B94"/>
    <mergeCell ref="B68:B73"/>
    <mergeCell ref="I93:I94"/>
    <mergeCell ref="J18:J19"/>
    <mergeCell ref="I100:I101"/>
    <mergeCell ref="I175:I176"/>
    <mergeCell ref="B75:B80"/>
    <mergeCell ref="I91:I92"/>
    <mergeCell ref="B96:B101"/>
    <mergeCell ref="I89:I90"/>
    <mergeCell ref="B82:B87"/>
    <mergeCell ref="B118:B123"/>
    <mergeCell ref="I118:I119"/>
    <mergeCell ref="I172:I173"/>
    <mergeCell ref="I20:I21"/>
    <mergeCell ref="I27:I28"/>
    <mergeCell ref="I34:I35"/>
    <mergeCell ref="I41:I42"/>
    <mergeCell ref="B31:D31"/>
    <mergeCell ref="I61:I62"/>
    <mergeCell ref="B139:B144"/>
    <mergeCell ref="I65:I66"/>
    <mergeCell ref="I32:I33"/>
    <mergeCell ref="I36:I37"/>
    <mergeCell ref="B1:I1"/>
    <mergeCell ref="B3:I3"/>
    <mergeCell ref="B4:I4"/>
    <mergeCell ref="B5:I5"/>
    <mergeCell ref="B25:B30"/>
    <mergeCell ref="B11:C11"/>
    <mergeCell ref="B12:C12"/>
    <mergeCell ref="B13:C13"/>
    <mergeCell ref="B14:C14"/>
    <mergeCell ref="I18:I19"/>
    <mergeCell ref="I22:I23"/>
    <mergeCell ref="I25:I26"/>
    <mergeCell ref="I29:I30"/>
    <mergeCell ref="B6:I6"/>
    <mergeCell ref="B7:I7"/>
    <mergeCell ref="B8:I8"/>
    <mergeCell ref="B10:C10"/>
    <mergeCell ref="B16:J16"/>
    <mergeCell ref="I115:I116"/>
    <mergeCell ref="I120:I121"/>
    <mergeCell ref="I139:I140"/>
    <mergeCell ref="I143:I144"/>
    <mergeCell ref="B154:B159"/>
    <mergeCell ref="B161:B166"/>
    <mergeCell ref="B168:B173"/>
    <mergeCell ref="I192:I193"/>
    <mergeCell ref="I199:I200"/>
    <mergeCell ref="B174:D174"/>
    <mergeCell ref="I147:I148"/>
    <mergeCell ref="I170:I171"/>
    <mergeCell ref="I177:I178"/>
    <mergeCell ref="I184:I185"/>
    <mergeCell ref="I141:I142"/>
    <mergeCell ref="I149:I150"/>
    <mergeCell ref="I156:I157"/>
    <mergeCell ref="B147:B152"/>
    <mergeCell ref="B145:J145"/>
    <mergeCell ref="J147:J148"/>
    <mergeCell ref="B189:D189"/>
    <mergeCell ref="B175:B180"/>
    <mergeCell ref="I154:I155"/>
    <mergeCell ref="I151:I152"/>
    <mergeCell ref="I190:I191"/>
    <mergeCell ref="I194:I195"/>
    <mergeCell ref="J204:J205"/>
    <mergeCell ref="J175:J176"/>
    <mergeCell ref="I79:I80"/>
    <mergeCell ref="I82:I83"/>
    <mergeCell ref="I86:I87"/>
    <mergeCell ref="I68:I69"/>
    <mergeCell ref="I72:I73"/>
    <mergeCell ref="I75:I76"/>
    <mergeCell ref="I96:I97"/>
    <mergeCell ref="J132:J133"/>
    <mergeCell ref="I136:I137"/>
    <mergeCell ref="J161:J162"/>
    <mergeCell ref="I70:I71"/>
    <mergeCell ref="I84:I85"/>
    <mergeCell ref="I98:I99"/>
    <mergeCell ref="I106:I107"/>
    <mergeCell ref="J190:J191"/>
    <mergeCell ref="I113:I114"/>
    <mergeCell ref="I127:I128"/>
    <mergeCell ref="J75:J76"/>
    <mergeCell ref="J104:J105"/>
    <mergeCell ref="J118:J119"/>
    <mergeCell ref="I179:I180"/>
    <mergeCell ref="I158:I159"/>
    <mergeCell ref="I161:I162"/>
    <mergeCell ref="I163:I164"/>
    <mergeCell ref="I165:I166"/>
    <mergeCell ref="I168:I169"/>
    <mergeCell ref="B188:J188"/>
    <mergeCell ref="I182:I183"/>
    <mergeCell ref="I186:I187"/>
    <mergeCell ref="B117:D117"/>
    <mergeCell ref="I122:I123"/>
    <mergeCell ref="B125:B130"/>
    <mergeCell ref="I125:I126"/>
    <mergeCell ref="I129:I130"/>
    <mergeCell ref="I132:I133"/>
    <mergeCell ref="I134:I135"/>
    <mergeCell ref="B131:D131"/>
    <mergeCell ref="B132:B137"/>
    <mergeCell ref="B225:B230"/>
    <mergeCell ref="B218:B223"/>
    <mergeCell ref="B217:D217"/>
    <mergeCell ref="I229:I230"/>
    <mergeCell ref="I215:I216"/>
    <mergeCell ref="I218:I219"/>
    <mergeCell ref="I220:I221"/>
    <mergeCell ref="I225:I226"/>
    <mergeCell ref="I201:I202"/>
    <mergeCell ref="B197:B202"/>
    <mergeCell ref="I211:I212"/>
    <mergeCell ref="I204:I205"/>
    <mergeCell ref="I208:I209"/>
    <mergeCell ref="I213:I214"/>
    <mergeCell ref="I227:I228"/>
    <mergeCell ref="B204:B209"/>
    <mergeCell ref="B211:B216"/>
    <mergeCell ref="I206:I207"/>
    <mergeCell ref="I197:I198"/>
    <mergeCell ref="B203:D203"/>
    <mergeCell ref="J218:J219"/>
    <mergeCell ref="I222:I223"/>
    <mergeCell ref="J46:J47"/>
    <mergeCell ref="J61:J62"/>
    <mergeCell ref="J89:J90"/>
    <mergeCell ref="B18:B23"/>
    <mergeCell ref="B160:D160"/>
    <mergeCell ref="B146:D146"/>
    <mergeCell ref="B88:D88"/>
    <mergeCell ref="B74:D74"/>
    <mergeCell ref="B60:D60"/>
    <mergeCell ref="B45:D45"/>
    <mergeCell ref="B61:B66"/>
    <mergeCell ref="I77:I78"/>
    <mergeCell ref="I43:I44"/>
    <mergeCell ref="B102:J102"/>
    <mergeCell ref="B103:D103"/>
    <mergeCell ref="B104:B109"/>
    <mergeCell ref="I104:I105"/>
    <mergeCell ref="I108:I109"/>
    <mergeCell ref="B111:B116"/>
    <mergeCell ref="I111:I112"/>
    <mergeCell ref="B182:B187"/>
    <mergeCell ref="B190:B195"/>
  </mergeCells>
  <dataValidations count="92">
    <dataValidation type="list" showInputMessage="1" showErrorMessage="1" sqref="M22:P22 M20:P20" xr:uid="{00000000-0002-0000-0200-000000000000}">
      <formula1>AnswerB</formula1>
    </dataValidation>
    <dataValidation type="list" showInputMessage="1" showErrorMessage="1" sqref="M18:P18" xr:uid="{00000000-0002-0000-0200-000001000000}">
      <formula1>AnswerA</formula1>
    </dataValidation>
    <dataValidation type="list" showInputMessage="1" showErrorMessage="1" sqref="F229" xr:uid="{00000000-0002-0000-0200-000002000000}">
      <formula1>O_OM_B_3_1</formula1>
    </dataValidation>
    <dataValidation type="list" showInputMessage="1" showErrorMessage="1" sqref="F18" xr:uid="{00000000-0002-0000-0200-000003000000}">
      <formula1>G_SM_A_1_1</formula1>
    </dataValidation>
    <dataValidation type="list" showInputMessage="1" showErrorMessage="1" sqref="F20" xr:uid="{00000000-0002-0000-0200-000004000000}">
      <formula1>G_SM_A_2_1</formula1>
    </dataValidation>
    <dataValidation type="list" showInputMessage="1" showErrorMessage="1" sqref="F22" xr:uid="{00000000-0002-0000-0200-000005000000}">
      <formula1>G_SM_A_3_1</formula1>
    </dataValidation>
    <dataValidation type="list" showInputMessage="1" showErrorMessage="1" sqref="F25" xr:uid="{00000000-0002-0000-0200-000006000000}">
      <formula1>G_SM_B_1_1</formula1>
    </dataValidation>
    <dataValidation type="list" showInputMessage="1" showErrorMessage="1" sqref="F27" xr:uid="{00000000-0002-0000-0200-000007000000}">
      <formula1>G_SM_B_2_1</formula1>
    </dataValidation>
    <dataValidation type="list" showInputMessage="1" showErrorMessage="1" sqref="F29" xr:uid="{00000000-0002-0000-0200-000008000000}">
      <formula1>G_SM_B_3_1</formula1>
    </dataValidation>
    <dataValidation type="list" showInputMessage="1" showErrorMessage="1" sqref="F32" xr:uid="{00000000-0002-0000-0200-000009000000}">
      <formula1>G_PC_A_1_1</formula1>
    </dataValidation>
    <dataValidation type="list" showInputMessage="1" showErrorMessage="1" sqref="F34" xr:uid="{00000000-0002-0000-0200-00000A000000}">
      <formula1>G_PC_A_2_1</formula1>
    </dataValidation>
    <dataValidation type="list" showInputMessage="1" showErrorMessage="1" sqref="F36" xr:uid="{00000000-0002-0000-0200-00000B000000}">
      <formula1>G_PC_A_3_1</formula1>
    </dataValidation>
    <dataValidation type="list" showInputMessage="1" showErrorMessage="1" sqref="F39" xr:uid="{00000000-0002-0000-0200-00000C000000}">
      <formula1>G_PC_B_1_1</formula1>
    </dataValidation>
    <dataValidation type="list" showInputMessage="1" showErrorMessage="1" sqref="F41" xr:uid="{00000000-0002-0000-0200-00000D000000}">
      <formula1>G_PC_B_2_1</formula1>
    </dataValidation>
    <dataValidation type="list" showInputMessage="1" showErrorMessage="1" sqref="F43" xr:uid="{00000000-0002-0000-0200-00000E000000}">
      <formula1>G_PC_B_3_1</formula1>
    </dataValidation>
    <dataValidation type="list" showInputMessage="1" showErrorMessage="1" sqref="F46" xr:uid="{00000000-0002-0000-0200-00000F000000}">
      <formula1>G_EG_A_1_1</formula1>
    </dataValidation>
    <dataValidation type="list" showInputMessage="1" showErrorMessage="1" sqref="F48" xr:uid="{00000000-0002-0000-0200-000010000000}">
      <formula1>G_EG_A_2_1</formula1>
    </dataValidation>
    <dataValidation type="list" showInputMessage="1" showErrorMessage="1" sqref="F50" xr:uid="{00000000-0002-0000-0200-000011000000}">
      <formula1>G_EG_A_3_1</formula1>
    </dataValidation>
    <dataValidation type="list" showInputMessage="1" showErrorMessage="1" sqref="F53" xr:uid="{00000000-0002-0000-0200-000012000000}">
      <formula1>G_EG_B_1_1</formula1>
    </dataValidation>
    <dataValidation type="list" showInputMessage="1" showErrorMessage="1" sqref="F55" xr:uid="{00000000-0002-0000-0200-000013000000}">
      <formula1>G_EG_B_2_1</formula1>
    </dataValidation>
    <dataValidation type="list" showInputMessage="1" showErrorMessage="1" sqref="F57" xr:uid="{00000000-0002-0000-0200-000014000000}">
      <formula1>G_EG_B_3_1</formula1>
    </dataValidation>
    <dataValidation type="list" showInputMessage="1" showErrorMessage="1" sqref="F61" xr:uid="{00000000-0002-0000-0200-000015000000}">
      <formula1>D_TA_A_1_1</formula1>
    </dataValidation>
    <dataValidation type="list" showInputMessage="1" showErrorMessage="1" sqref="F63" xr:uid="{00000000-0002-0000-0200-000016000000}">
      <formula1>D_TA_A_2_1</formula1>
    </dataValidation>
    <dataValidation type="list" showInputMessage="1" showErrorMessage="1" sqref="F65" xr:uid="{00000000-0002-0000-0200-000017000000}">
      <formula1>D_TA_A_3_1</formula1>
    </dataValidation>
    <dataValidation type="list" showInputMessage="1" showErrorMessage="1" sqref="F68" xr:uid="{00000000-0002-0000-0200-000018000000}">
      <formula1>D_TA_B_1_1</formula1>
    </dataValidation>
    <dataValidation type="list" showInputMessage="1" showErrorMessage="1" sqref="F70" xr:uid="{00000000-0002-0000-0200-000019000000}">
      <formula1>D_TA_B_2_1</formula1>
    </dataValidation>
    <dataValidation type="list" showInputMessage="1" showErrorMessage="1" sqref="F72" xr:uid="{00000000-0002-0000-0200-00001A000000}">
      <formula1>D_TA_B_3_1</formula1>
    </dataValidation>
    <dataValidation type="list" showInputMessage="1" showErrorMessage="1" sqref="F75" xr:uid="{00000000-0002-0000-0200-00001B000000}">
      <formula1>D_SR_A_1_1</formula1>
    </dataValidation>
    <dataValidation type="list" showInputMessage="1" showErrorMessage="1" sqref="F77" xr:uid="{00000000-0002-0000-0200-00001C000000}">
      <formula1>D_SR_A_2_1</formula1>
    </dataValidation>
    <dataValidation type="list" showInputMessage="1" showErrorMessage="1" sqref="F79" xr:uid="{00000000-0002-0000-0200-00001D000000}">
      <formula1>D_SR_A_3_1</formula1>
    </dataValidation>
    <dataValidation type="list" showInputMessage="1" showErrorMessage="1" sqref="F82" xr:uid="{00000000-0002-0000-0200-00001E000000}">
      <formula1>D_SR_B_1_1</formula1>
    </dataValidation>
    <dataValidation type="list" showInputMessage="1" showErrorMessage="1" sqref="F84" xr:uid="{00000000-0002-0000-0200-00001F000000}">
      <formula1>D_SR_B_2_1</formula1>
    </dataValidation>
    <dataValidation type="list" showInputMessage="1" showErrorMessage="1" sqref="F86" xr:uid="{00000000-0002-0000-0200-000020000000}">
      <formula1>D_SR_B_3_1</formula1>
    </dataValidation>
    <dataValidation type="list" showInputMessage="1" showErrorMessage="1" sqref="F89" xr:uid="{00000000-0002-0000-0200-000021000000}">
      <formula1>D_SA_A_1_1</formula1>
    </dataValidation>
    <dataValidation type="list" showInputMessage="1" showErrorMessage="1" sqref="F91" xr:uid="{00000000-0002-0000-0200-000022000000}">
      <formula1>D_SA_A_2_1</formula1>
    </dataValidation>
    <dataValidation type="list" showInputMessage="1" showErrorMessage="1" sqref="F93" xr:uid="{00000000-0002-0000-0200-000023000000}">
      <formula1>D_SA_A_3_1</formula1>
    </dataValidation>
    <dataValidation type="list" showInputMessage="1" showErrorMessage="1" sqref="F96" xr:uid="{00000000-0002-0000-0200-000024000000}">
      <formula1>D_SA_B_1_1</formula1>
    </dataValidation>
    <dataValidation type="list" showInputMessage="1" showErrorMessage="1" sqref="F98" xr:uid="{00000000-0002-0000-0200-000025000000}">
      <formula1>D_SA_B_2_1</formula1>
    </dataValidation>
    <dataValidation type="list" showInputMessage="1" showErrorMessage="1" sqref="F100" xr:uid="{00000000-0002-0000-0200-000026000000}">
      <formula1>D_SA_B_3_1</formula1>
    </dataValidation>
    <dataValidation type="list" showInputMessage="1" showErrorMessage="1" sqref="F104" xr:uid="{00000000-0002-0000-0200-000027000000}">
      <formula1>I_SB_A_1_1</formula1>
    </dataValidation>
    <dataValidation type="list" showInputMessage="1" showErrorMessage="1" sqref="F108" xr:uid="{00000000-0002-0000-0200-000028000000}">
      <formula1>I_SB_A_3_1</formula1>
    </dataValidation>
    <dataValidation type="list" showInputMessage="1" showErrorMessage="1" sqref="F106" xr:uid="{00000000-0002-0000-0200-000029000000}">
      <formula1>I_SB_A_2_1</formula1>
    </dataValidation>
    <dataValidation type="list" showInputMessage="1" showErrorMessage="1" sqref="F111" xr:uid="{00000000-0002-0000-0200-00002A000000}">
      <formula1>I_SB_B_1_1</formula1>
    </dataValidation>
    <dataValidation type="list" showInputMessage="1" showErrorMessage="1" sqref="F113" xr:uid="{00000000-0002-0000-0200-00002B000000}">
      <formula1>I_SB_B_2_1</formula1>
    </dataValidation>
    <dataValidation type="list" showInputMessage="1" showErrorMessage="1" sqref="F115" xr:uid="{00000000-0002-0000-0200-00002C000000}">
      <formula1>I_SB_B_3_1</formula1>
    </dataValidation>
    <dataValidation type="list" showInputMessage="1" showErrorMessage="1" sqref="F118" xr:uid="{00000000-0002-0000-0200-00002D000000}">
      <formula1>I_SD_A_1_1</formula1>
    </dataValidation>
    <dataValidation type="list" showInputMessage="1" showErrorMessage="1" sqref="F120" xr:uid="{00000000-0002-0000-0200-00002E000000}">
      <formula1>I_SD_A_2_1</formula1>
    </dataValidation>
    <dataValidation type="list" showInputMessage="1" showErrorMessage="1" sqref="F122" xr:uid="{00000000-0002-0000-0200-00002F000000}">
      <formula1>I_SD_A_3_1</formula1>
    </dataValidation>
    <dataValidation type="list" showInputMessage="1" showErrorMessage="1" sqref="F125" xr:uid="{00000000-0002-0000-0200-000030000000}">
      <formula1>I_SD_B_1_1</formula1>
    </dataValidation>
    <dataValidation type="list" showInputMessage="1" showErrorMessage="1" sqref="F127" xr:uid="{00000000-0002-0000-0200-000031000000}">
      <formula1>I_SD_B_2_1</formula1>
    </dataValidation>
    <dataValidation type="list" showInputMessage="1" showErrorMessage="1" sqref="F129" xr:uid="{00000000-0002-0000-0200-000032000000}">
      <formula1>I_SD_B_3_1</formula1>
    </dataValidation>
    <dataValidation type="list" showInputMessage="1" showErrorMessage="1" sqref="F132" xr:uid="{00000000-0002-0000-0200-000033000000}">
      <formula1>I_DM_A_1_1</formula1>
    </dataValidation>
    <dataValidation type="list" showInputMessage="1" showErrorMessage="1" sqref="F134" xr:uid="{00000000-0002-0000-0200-000034000000}">
      <formula1>I_DM_A_2_1</formula1>
    </dataValidation>
    <dataValidation type="list" showInputMessage="1" showErrorMessage="1" sqref="F136" xr:uid="{00000000-0002-0000-0200-000035000000}">
      <formula1>I_DM_A_3_1</formula1>
    </dataValidation>
    <dataValidation type="list" showInputMessage="1" showErrorMessage="1" sqref="F139" xr:uid="{00000000-0002-0000-0200-000036000000}">
      <formula1>I_DM_B_1_1</formula1>
    </dataValidation>
    <dataValidation type="list" showInputMessage="1" showErrorMessage="1" sqref="F141" xr:uid="{00000000-0002-0000-0200-000037000000}">
      <formula1>I_DM_B_2_1</formula1>
    </dataValidation>
    <dataValidation type="list" showInputMessage="1" showErrorMessage="1" sqref="F143" xr:uid="{00000000-0002-0000-0200-000038000000}">
      <formula1>I_DM_B_3_1</formula1>
    </dataValidation>
    <dataValidation type="list" showInputMessage="1" showErrorMessage="1" sqref="F147" xr:uid="{00000000-0002-0000-0200-000039000000}">
      <formula1>V_AA_A_1_1</formula1>
    </dataValidation>
    <dataValidation type="list" showInputMessage="1" showErrorMessage="1" sqref="F149" xr:uid="{00000000-0002-0000-0200-00003A000000}">
      <formula1>V_AA_A_2_1</formula1>
    </dataValidation>
    <dataValidation type="list" showInputMessage="1" showErrorMessage="1" sqref="F151" xr:uid="{00000000-0002-0000-0200-00003B000000}">
      <formula1>V_AA_A_3_1</formula1>
    </dataValidation>
    <dataValidation type="list" showInputMessage="1" showErrorMessage="1" sqref="F154" xr:uid="{00000000-0002-0000-0200-00003C000000}">
      <formula1>V_AA_B_1_1</formula1>
    </dataValidation>
    <dataValidation type="list" showInputMessage="1" showErrorMessage="1" sqref="F156" xr:uid="{00000000-0002-0000-0200-00003D000000}">
      <formula1>V_AA_B_2_1</formula1>
    </dataValidation>
    <dataValidation type="list" showInputMessage="1" showErrorMessage="1" sqref="F158" xr:uid="{00000000-0002-0000-0200-00003E000000}">
      <formula1>V_AA_B_3_1</formula1>
    </dataValidation>
    <dataValidation type="list" showInputMessage="1" showErrorMessage="1" sqref="F161" xr:uid="{00000000-0002-0000-0200-00003F000000}">
      <formula1>V_RT_A_1_1</formula1>
    </dataValidation>
    <dataValidation type="list" showInputMessage="1" showErrorMessage="1" sqref="F163" xr:uid="{00000000-0002-0000-0200-000040000000}">
      <formula1>V_RT_A_2_1</formula1>
    </dataValidation>
    <dataValidation type="list" showInputMessage="1" showErrorMessage="1" sqref="F165" xr:uid="{00000000-0002-0000-0200-000041000000}">
      <formula1>V_RT_A_3_1</formula1>
    </dataValidation>
    <dataValidation type="list" showInputMessage="1" showErrorMessage="1" sqref="F168" xr:uid="{00000000-0002-0000-0200-000042000000}">
      <formula1>V_RT_B_1_1</formula1>
    </dataValidation>
    <dataValidation type="list" showInputMessage="1" showErrorMessage="1" sqref="F170" xr:uid="{00000000-0002-0000-0200-000043000000}">
      <formula1>V_RT_B_2_1</formula1>
    </dataValidation>
    <dataValidation type="list" showInputMessage="1" showErrorMessage="1" sqref="F172" xr:uid="{00000000-0002-0000-0200-000044000000}">
      <formula1>V_RT_B_3_1</formula1>
    </dataValidation>
    <dataValidation type="list" showInputMessage="1" showErrorMessage="1" sqref="F175" xr:uid="{00000000-0002-0000-0200-000045000000}">
      <formula1>V_ST_A_1_1</formula1>
    </dataValidation>
    <dataValidation type="list" showInputMessage="1" showErrorMessage="1" sqref="F177" xr:uid="{00000000-0002-0000-0200-000046000000}">
      <formula1>V_ST_A_2_1</formula1>
    </dataValidation>
    <dataValidation type="list" showInputMessage="1" showErrorMessage="1" sqref="F179" xr:uid="{00000000-0002-0000-0200-000047000000}">
      <formula1>V_ST_A_3_1</formula1>
    </dataValidation>
    <dataValidation type="list" showInputMessage="1" showErrorMessage="1" sqref="F182" xr:uid="{00000000-0002-0000-0200-000048000000}">
      <formula1>V_ST_B_1_1</formula1>
    </dataValidation>
    <dataValidation type="list" showInputMessage="1" showErrorMessage="1" sqref="F184" xr:uid="{00000000-0002-0000-0200-000049000000}">
      <formula1>V_ST_B_2_1</formula1>
    </dataValidation>
    <dataValidation type="list" showInputMessage="1" showErrorMessage="1" sqref="F186" xr:uid="{00000000-0002-0000-0200-00004A000000}">
      <formula1>V_ST_B_3_1</formula1>
    </dataValidation>
    <dataValidation type="list" showInputMessage="1" showErrorMessage="1" sqref="F190" xr:uid="{00000000-0002-0000-0200-00004B000000}">
      <formula1>O_IM_A_1_1</formula1>
    </dataValidation>
    <dataValidation type="list" showInputMessage="1" showErrorMessage="1" sqref="F192" xr:uid="{00000000-0002-0000-0200-00004C000000}">
      <formula1>O_IM_A_2_1</formula1>
    </dataValidation>
    <dataValidation type="list" showInputMessage="1" showErrorMessage="1" sqref="F194" xr:uid="{00000000-0002-0000-0200-00004D000000}">
      <formula1>O_IM_A_3_1</formula1>
    </dataValidation>
    <dataValidation type="list" showInputMessage="1" showErrorMessage="1" sqref="F197" xr:uid="{00000000-0002-0000-0200-00004E000000}">
      <formula1>O_IM_B_1_1</formula1>
    </dataValidation>
    <dataValidation type="list" showInputMessage="1" showErrorMessage="1" sqref="F199" xr:uid="{00000000-0002-0000-0200-00004F000000}">
      <formula1>O_IM_B_2_1</formula1>
    </dataValidation>
    <dataValidation type="list" showInputMessage="1" showErrorMessage="1" sqref="F201" xr:uid="{00000000-0002-0000-0200-000050000000}">
      <formula1>O_IM_B_3_1</formula1>
    </dataValidation>
    <dataValidation type="list" showInputMessage="1" showErrorMessage="1" sqref="F204" xr:uid="{00000000-0002-0000-0200-000051000000}">
      <formula1>O_EM_A_1_1</formula1>
    </dataValidation>
    <dataValidation type="list" showInputMessage="1" showErrorMessage="1" sqref="F206" xr:uid="{00000000-0002-0000-0200-000052000000}">
      <formula1>O_EM_A_2_1</formula1>
    </dataValidation>
    <dataValidation type="list" showInputMessage="1" showErrorMessage="1" sqref="F208" xr:uid="{00000000-0002-0000-0200-000053000000}">
      <formula1>O_EM_A_3_1</formula1>
    </dataValidation>
    <dataValidation type="list" showInputMessage="1" showErrorMessage="1" sqref="F211" xr:uid="{00000000-0002-0000-0200-000054000000}">
      <formula1>O_EM_B_1_1</formula1>
    </dataValidation>
    <dataValidation type="list" showInputMessage="1" showErrorMessage="1" sqref="F213" xr:uid="{00000000-0002-0000-0200-000055000000}">
      <formula1>O_EM_B_2_1</formula1>
    </dataValidation>
    <dataValidation type="list" showInputMessage="1" showErrorMessage="1" sqref="F215" xr:uid="{00000000-0002-0000-0200-000056000000}">
      <formula1>O_EM_B_3_1</formula1>
    </dataValidation>
    <dataValidation type="list" showInputMessage="1" showErrorMessage="1" sqref="F218" xr:uid="{00000000-0002-0000-0200-000057000000}">
      <formula1>O_OM_A_1_1</formula1>
    </dataValidation>
    <dataValidation type="list" showInputMessage="1" showErrorMessage="1" sqref="F220" xr:uid="{00000000-0002-0000-0200-000058000000}">
      <formula1>O_OM_A_2_1</formula1>
    </dataValidation>
    <dataValidation type="list" showInputMessage="1" showErrorMessage="1" sqref="F222" xr:uid="{00000000-0002-0000-0200-000059000000}">
      <formula1>O_OM_A_3_1</formula1>
    </dataValidation>
    <dataValidation type="list" showInputMessage="1" showErrorMessage="1" sqref="F225" xr:uid="{00000000-0002-0000-0200-00005A000000}">
      <formula1>O_OM_B_1_1</formula1>
    </dataValidation>
    <dataValidation type="list" showInputMessage="1" showErrorMessage="1" sqref="F227" xr:uid="{00000000-0002-0000-0200-00005B000000}">
      <formula1>O_OM_B_2_1</formula1>
    </dataValidation>
  </dataValidations>
  <pageMargins left="0.75" right="0.75" top="1" bottom="1" header="0.5" footer="0.5"/>
  <pageSetup paperSize="9" scale="10" firstPageNumber="0" fitToWidth="0"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144"/>
  <sheetViews>
    <sheetView showGridLines="0" zoomScale="140" zoomScaleNormal="140" workbookViewId="0">
      <selection activeCell="I21" sqref="I21"/>
    </sheetView>
  </sheetViews>
  <sheetFormatPr baseColWidth="10" defaultColWidth="8.83203125" defaultRowHeight="13" x14ac:dyDescent="0.2"/>
  <cols>
    <col min="1" max="1" width="14.83203125" style="204" customWidth="1"/>
    <col min="2" max="2" width="24.83203125" style="204" customWidth="1"/>
    <col min="3" max="3" width="9.1640625" style="204" customWidth="1"/>
    <col min="4" max="6" width="6.5" style="204" customWidth="1"/>
    <col min="7" max="7" width="15" style="204" hidden="1" customWidth="1"/>
    <col min="8" max="8" width="9.1640625" style="204" customWidth="1"/>
    <col min="9" max="10" width="15" style="204" bestFit="1" customWidth="1"/>
    <col min="11" max="11" width="7.5" style="204" customWidth="1"/>
    <col min="12" max="14" width="15" style="204" bestFit="1" customWidth="1"/>
    <col min="15" max="19" width="8.83203125" style="204" customWidth="1"/>
    <col min="20" max="20" width="14.6640625" style="204" customWidth="1"/>
    <col min="21" max="21" width="24.5" style="204" customWidth="1"/>
    <col min="22" max="22" width="10.1640625" style="204" bestFit="1" customWidth="1"/>
    <col min="23" max="23" width="10.5" style="204" bestFit="1" customWidth="1"/>
    <col min="24" max="24" width="10.5" style="204" customWidth="1"/>
    <col min="25" max="25" width="9.5" style="204" bestFit="1" customWidth="1"/>
    <col min="26" max="26" width="8.83203125" style="204" customWidth="1"/>
    <col min="27" max="16384" width="8.83203125" style="204"/>
  </cols>
  <sheetData>
    <row r="1" spans="1:26" ht="25.5" customHeight="1" x14ac:dyDescent="0.2">
      <c r="A1" s="526" t="str">
        <f>CONCATENATE("SAMM Assessment Scorecard: ",C6," For ",C5)</f>
        <v xml:space="preserve">SAMM Assessment Scorecard:  For </v>
      </c>
      <c r="B1" s="564"/>
      <c r="C1" s="564"/>
      <c r="D1" s="564"/>
      <c r="E1" s="564"/>
      <c r="F1" s="564"/>
      <c r="G1" s="564"/>
      <c r="H1" s="564"/>
      <c r="I1" s="564"/>
      <c r="J1" s="564"/>
      <c r="K1" s="205"/>
      <c r="L1" s="205"/>
      <c r="M1" s="205"/>
      <c r="N1" s="205"/>
    </row>
    <row r="2" spans="1:26" ht="12.75" customHeight="1" thickBot="1" x14ac:dyDescent="0.25">
      <c r="A2" s="206"/>
      <c r="B2" s="206"/>
      <c r="C2" s="206"/>
      <c r="D2" s="206"/>
      <c r="E2" s="206"/>
      <c r="F2" s="206"/>
      <c r="G2" s="206"/>
      <c r="H2" s="206"/>
      <c r="I2" s="206"/>
      <c r="J2" s="206"/>
      <c r="K2" s="205"/>
      <c r="L2" s="205"/>
      <c r="M2" s="205"/>
      <c r="N2" s="205"/>
    </row>
    <row r="3" spans="1:26" ht="54" customHeight="1" thickBot="1" x14ac:dyDescent="0.25">
      <c r="A3" s="568" t="s">
        <v>236</v>
      </c>
      <c r="B3" s="561"/>
      <c r="C3" s="561"/>
      <c r="D3" s="561"/>
      <c r="E3" s="561"/>
      <c r="F3" s="561"/>
      <c r="G3" s="561"/>
      <c r="H3" s="561"/>
      <c r="I3" s="561"/>
      <c r="J3" s="561"/>
      <c r="K3" s="562"/>
      <c r="L3" s="205"/>
      <c r="M3" s="205"/>
      <c r="N3" s="205"/>
    </row>
    <row r="4" spans="1:26" ht="12.75" customHeight="1" x14ac:dyDescent="0.2">
      <c r="A4" s="207"/>
      <c r="B4" s="207"/>
      <c r="C4" s="207"/>
      <c r="D4" s="207"/>
      <c r="E4" s="207"/>
      <c r="F4" s="207"/>
      <c r="G4" s="207"/>
      <c r="H4" s="207"/>
      <c r="I4" s="207"/>
      <c r="J4" s="207"/>
      <c r="K4" s="205"/>
      <c r="L4" s="205"/>
      <c r="M4" s="205"/>
      <c r="N4" s="205"/>
    </row>
    <row r="5" spans="1:26" ht="12.75" customHeight="1" x14ac:dyDescent="0.2">
      <c r="A5" s="565" t="str">
        <f>Interview!B10</f>
        <v>Organization:</v>
      </c>
      <c r="B5" s="564"/>
      <c r="C5" s="567" t="str">
        <f>IF(ISBLANK(Interview!D10),"",Interview!D10)</f>
        <v/>
      </c>
      <c r="D5" s="564"/>
      <c r="E5" s="564"/>
      <c r="F5" s="564"/>
      <c r="G5" s="205"/>
      <c r="H5" s="205"/>
      <c r="I5" s="205"/>
      <c r="J5" s="205"/>
      <c r="K5" s="205"/>
      <c r="L5" s="205"/>
      <c r="M5" s="205"/>
      <c r="N5" s="205"/>
    </row>
    <row r="6" spans="1:26" ht="12.75" customHeight="1" x14ac:dyDescent="0.2">
      <c r="A6" s="565" t="str">
        <f>Interview!B11</f>
        <v>Team/Application:</v>
      </c>
      <c r="B6" s="564"/>
      <c r="C6" s="567" t="str">
        <f>IF(ISBLANK(Interview!D11),"",Interview!D11)</f>
        <v/>
      </c>
      <c r="D6" s="564"/>
      <c r="E6" s="564"/>
      <c r="F6" s="564"/>
      <c r="G6" s="205"/>
      <c r="H6" s="205"/>
      <c r="I6" s="205"/>
      <c r="J6" s="205"/>
      <c r="K6" s="205"/>
      <c r="L6" s="205"/>
      <c r="M6" s="205"/>
      <c r="N6" s="205"/>
    </row>
    <row r="7" spans="1:26" ht="12.75" customHeight="1" x14ac:dyDescent="0.2">
      <c r="A7" s="565" t="str">
        <f>Interview!B12</f>
        <v>Interview Date:</v>
      </c>
      <c r="B7" s="564"/>
      <c r="C7" s="566" t="str">
        <f>IF(ISBLANK(Interview!D12),"",Interview!D12)</f>
        <v/>
      </c>
      <c r="D7" s="564"/>
      <c r="E7" s="564"/>
      <c r="F7" s="564"/>
      <c r="G7" s="205"/>
      <c r="H7" s="205"/>
      <c r="I7" s="205"/>
      <c r="J7" s="205"/>
      <c r="K7" s="205"/>
      <c r="L7" s="205"/>
      <c r="M7" s="205"/>
      <c r="N7" s="205"/>
    </row>
    <row r="8" spans="1:26" ht="12.75" customHeight="1" x14ac:dyDescent="0.2">
      <c r="A8" s="565" t="str">
        <f>Interview!B13</f>
        <v xml:space="preserve">Team Lead: </v>
      </c>
      <c r="B8" s="564"/>
      <c r="C8" s="567" t="str">
        <f>IF(ISBLANK(Interview!D13),"",Interview!D13)</f>
        <v/>
      </c>
      <c r="D8" s="564"/>
      <c r="E8" s="564"/>
      <c r="F8" s="564"/>
      <c r="G8" s="205"/>
      <c r="H8" s="205"/>
      <c r="I8" s="205"/>
      <c r="J8" s="205"/>
      <c r="K8" s="205"/>
      <c r="L8" s="205"/>
      <c r="M8" s="205"/>
      <c r="N8" s="205"/>
    </row>
    <row r="9" spans="1:26" ht="12.75" customHeight="1" x14ac:dyDescent="0.2">
      <c r="A9" s="565" t="str">
        <f>Interview!B14</f>
        <v>Contributors:</v>
      </c>
      <c r="B9" s="564"/>
      <c r="C9" s="569" t="str">
        <f>IF(ISBLANK(Interview!D14),"",Interview!D14)</f>
        <v/>
      </c>
      <c r="D9" s="564"/>
      <c r="E9" s="564"/>
      <c r="F9" s="564"/>
      <c r="G9" s="564"/>
      <c r="H9" s="564"/>
      <c r="I9" s="564"/>
      <c r="J9" s="205"/>
      <c r="K9" s="205"/>
      <c r="L9" s="205"/>
      <c r="M9" s="205"/>
      <c r="N9" s="205"/>
    </row>
    <row r="10" spans="1:26" ht="12.75" customHeight="1" thickBot="1" x14ac:dyDescent="0.25">
      <c r="A10" s="208"/>
      <c r="B10" s="205"/>
      <c r="C10" s="205"/>
      <c r="D10" s="205"/>
      <c r="E10" s="205"/>
      <c r="F10" s="205"/>
      <c r="G10" s="205"/>
      <c r="H10" s="205"/>
      <c r="I10" s="205"/>
      <c r="J10" s="205"/>
      <c r="K10" s="205"/>
      <c r="L10" s="205"/>
      <c r="M10" s="205"/>
      <c r="N10" s="205"/>
    </row>
    <row r="11" spans="1:26" ht="25" customHeight="1" thickBot="1" x14ac:dyDescent="0.25">
      <c r="A11" s="560" t="s">
        <v>237</v>
      </c>
      <c r="B11" s="561"/>
      <c r="C11" s="561"/>
      <c r="D11" s="561"/>
      <c r="E11" s="561"/>
      <c r="F11" s="561"/>
      <c r="G11" s="561"/>
      <c r="H11" s="561"/>
      <c r="I11" s="561"/>
      <c r="J11" s="562"/>
      <c r="K11" s="205"/>
      <c r="L11" s="560" t="s">
        <v>237</v>
      </c>
      <c r="M11" s="561"/>
      <c r="N11" s="561"/>
      <c r="O11" s="561"/>
      <c r="P11" s="561"/>
      <c r="Q11" s="561"/>
      <c r="R11" s="562"/>
      <c r="T11" s="563" t="s">
        <v>237</v>
      </c>
      <c r="U11" s="561"/>
      <c r="V11" s="561"/>
      <c r="W11" s="561"/>
      <c r="X11" s="561"/>
      <c r="Y11" s="561"/>
      <c r="Z11" s="562"/>
    </row>
    <row r="12" spans="1:26" ht="12.75" customHeight="1" x14ac:dyDescent="0.2">
      <c r="A12" s="206"/>
      <c r="B12" s="206"/>
      <c r="C12" s="206"/>
      <c r="D12" s="570" t="s">
        <v>238</v>
      </c>
      <c r="E12" s="571"/>
      <c r="F12" s="572"/>
      <c r="G12" s="205"/>
      <c r="H12" s="205"/>
      <c r="I12" s="205"/>
      <c r="J12" s="205"/>
      <c r="K12" s="205"/>
      <c r="L12" s="205"/>
      <c r="M12" s="205"/>
      <c r="N12" s="205"/>
    </row>
    <row r="13" spans="1:26" ht="25" customHeight="1" x14ac:dyDescent="0.2">
      <c r="A13" s="209" t="s">
        <v>239</v>
      </c>
      <c r="B13" s="209" t="s">
        <v>240</v>
      </c>
      <c r="C13" s="209" t="s">
        <v>241</v>
      </c>
      <c r="D13" s="210">
        <v>1</v>
      </c>
      <c r="E13" s="210">
        <v>2</v>
      </c>
      <c r="F13" s="210">
        <v>3</v>
      </c>
      <c r="G13" s="211" t="s">
        <v>242</v>
      </c>
      <c r="H13" s="95"/>
      <c r="I13" s="209" t="s">
        <v>239</v>
      </c>
      <c r="J13" s="209" t="s">
        <v>241</v>
      </c>
      <c r="L13" s="205"/>
      <c r="M13" s="205"/>
      <c r="N13" s="205"/>
      <c r="V13" s="204" t="str">
        <f>T14</f>
        <v>Governance</v>
      </c>
      <c r="W13" s="204" t="str">
        <f>T17</f>
        <v>Design</v>
      </c>
      <c r="X13" s="204" t="str">
        <f>T20</f>
        <v>Implementation</v>
      </c>
      <c r="Y13" s="204" t="str">
        <f>T23</f>
        <v>Verification</v>
      </c>
      <c r="Z13" s="204" t="str">
        <f>T26</f>
        <v>Operations</v>
      </c>
    </row>
    <row r="14" spans="1:26" ht="25" customHeight="1" x14ac:dyDescent="0.2">
      <c r="A14" s="212" t="str">
        <f>Interview!$B$16</f>
        <v>Governance</v>
      </c>
      <c r="B14" s="221" t="str">
        <f>Interview!$D$17</f>
        <v>Strategy &amp; Metrics</v>
      </c>
      <c r="C14" s="213">
        <f ca="1">Interview!$J$18</f>
        <v>0</v>
      </c>
      <c r="D14" s="213">
        <f ca="1">Interview!H18</f>
        <v>0</v>
      </c>
      <c r="E14" s="213">
        <f ca="1">Interview!H20</f>
        <v>0</v>
      </c>
      <c r="F14" s="213">
        <f ca="1">Interview!H22</f>
        <v>0</v>
      </c>
      <c r="G14" s="214">
        <f t="shared" ref="G14:G19" ca="1" si="0">(((((IF((C14="0+"),0.5,0)+IF((C14=1),1,0))+IF((C14="1+"),1.5,0))+IF((C14=2),2,0))+IF((C14="2+"),2.5,0))+IF((C14=3),3,0))+IF((C14="3+"),3.5,0)</f>
        <v>0</v>
      </c>
      <c r="H14" s="215"/>
      <c r="I14" s="212" t="str">
        <f>A14</f>
        <v>Governance</v>
      </c>
      <c r="J14" s="213">
        <f ca="1">AVERAGE(C14:C16)</f>
        <v>0</v>
      </c>
      <c r="L14" s="205"/>
      <c r="M14" s="205"/>
      <c r="N14" s="205"/>
      <c r="T14" s="212" t="str">
        <f t="shared" ref="T14:V16" si="1">A14</f>
        <v>Governance</v>
      </c>
      <c r="U14" s="221" t="str">
        <f t="shared" si="1"/>
        <v>Strategy &amp; Metrics</v>
      </c>
      <c r="V14" s="213">
        <f t="shared" ca="1" si="1"/>
        <v>0</v>
      </c>
      <c r="W14" s="213">
        <v>0</v>
      </c>
      <c r="X14" s="213">
        <v>0</v>
      </c>
      <c r="Y14" s="213">
        <v>0</v>
      </c>
      <c r="Z14" s="213">
        <v>0</v>
      </c>
    </row>
    <row r="15" spans="1:26" ht="25" customHeight="1" x14ac:dyDescent="0.2">
      <c r="A15" s="212" t="str">
        <f>Interview!$B$16</f>
        <v>Governance</v>
      </c>
      <c r="B15" s="221" t="str">
        <f>Interview!$B$31</f>
        <v>Policy &amp; Compliance</v>
      </c>
      <c r="C15" s="213">
        <f ca="1">Interview!$J$32</f>
        <v>0</v>
      </c>
      <c r="D15" s="213">
        <f ca="1">Interview!H32</f>
        <v>0</v>
      </c>
      <c r="E15" s="213">
        <f ca="1">Interview!H34</f>
        <v>0</v>
      </c>
      <c r="F15" s="213">
        <f ca="1">Interview!H36</f>
        <v>0</v>
      </c>
      <c r="G15" s="214">
        <f t="shared" ca="1" si="0"/>
        <v>0</v>
      </c>
      <c r="H15" s="215"/>
      <c r="I15" s="216" t="str">
        <f>A17</f>
        <v>Design</v>
      </c>
      <c r="J15" s="213">
        <f ca="1">AVERAGE(C17:C19)</f>
        <v>0</v>
      </c>
      <c r="L15" s="205"/>
      <c r="M15" s="205"/>
      <c r="N15" s="205"/>
      <c r="T15" s="212" t="str">
        <f t="shared" si="1"/>
        <v>Governance</v>
      </c>
      <c r="U15" s="221" t="str">
        <f t="shared" si="1"/>
        <v>Policy &amp; Compliance</v>
      </c>
      <c r="V15" s="213">
        <f t="shared" ca="1" si="1"/>
        <v>0</v>
      </c>
      <c r="W15" s="213">
        <v>0</v>
      </c>
      <c r="X15" s="213">
        <v>0</v>
      </c>
      <c r="Y15" s="213">
        <v>0</v>
      </c>
      <c r="Z15" s="213">
        <v>0</v>
      </c>
    </row>
    <row r="16" spans="1:26" ht="25" customHeight="1" x14ac:dyDescent="0.2">
      <c r="A16" s="212" t="str">
        <f>Interview!$B$16</f>
        <v>Governance</v>
      </c>
      <c r="B16" s="221" t="str">
        <f>Interview!$B$45</f>
        <v>Education &amp; Guidance</v>
      </c>
      <c r="C16" s="213">
        <f ca="1">Interview!$J$46</f>
        <v>0</v>
      </c>
      <c r="D16" s="213">
        <f ca="1">Interview!H46</f>
        <v>0</v>
      </c>
      <c r="E16" s="213">
        <f ca="1">Interview!H48</f>
        <v>0</v>
      </c>
      <c r="F16" s="213">
        <f ca="1">Interview!H50</f>
        <v>0</v>
      </c>
      <c r="G16" s="214">
        <f t="shared" ca="1" si="0"/>
        <v>0</v>
      </c>
      <c r="H16" s="215"/>
      <c r="I16" s="218" t="str">
        <f>A20</f>
        <v>Implementation</v>
      </c>
      <c r="J16" s="213">
        <f ca="1">AVERAGE(C20:C22)</f>
        <v>0</v>
      </c>
      <c r="L16" s="205"/>
      <c r="M16" s="205"/>
      <c r="N16" s="205"/>
      <c r="T16" s="212" t="str">
        <f t="shared" si="1"/>
        <v>Governance</v>
      </c>
      <c r="U16" s="221" t="str">
        <f t="shared" si="1"/>
        <v>Education &amp; Guidance</v>
      </c>
      <c r="V16" s="213">
        <f t="shared" ca="1" si="1"/>
        <v>0</v>
      </c>
      <c r="W16" s="213">
        <v>0</v>
      </c>
      <c r="X16" s="213">
        <v>0</v>
      </c>
      <c r="Y16" s="213">
        <v>0</v>
      </c>
      <c r="Z16" s="213">
        <v>0</v>
      </c>
    </row>
    <row r="17" spans="1:26" ht="25" customHeight="1" x14ac:dyDescent="0.2">
      <c r="A17" s="216" t="str">
        <f>Interview!$B$59</f>
        <v>Design</v>
      </c>
      <c r="B17" s="222" t="str">
        <f>Interview!$B$60</f>
        <v>Threat Assessment</v>
      </c>
      <c r="C17" s="213">
        <f ca="1">Interview!$J$61</f>
        <v>0</v>
      </c>
      <c r="D17" s="213">
        <f ca="1">Interview!H61</f>
        <v>0</v>
      </c>
      <c r="E17" s="213">
        <f ca="1">Interview!H63</f>
        <v>0</v>
      </c>
      <c r="F17" s="213">
        <f ca="1">Interview!H65</f>
        <v>0</v>
      </c>
      <c r="G17" s="214">
        <f t="shared" ca="1" si="0"/>
        <v>0</v>
      </c>
      <c r="H17" s="215"/>
      <c r="I17" s="219" t="str">
        <f>A23</f>
        <v>Verification</v>
      </c>
      <c r="J17" s="213">
        <f ca="1">AVERAGE(C23:C25)</f>
        <v>0</v>
      </c>
      <c r="L17" s="205"/>
      <c r="M17" s="205"/>
      <c r="N17" s="205"/>
      <c r="T17" s="216" t="str">
        <f t="shared" ref="T17:T28" si="2">A17</f>
        <v>Design</v>
      </c>
      <c r="U17" s="222" t="str">
        <f t="shared" ref="U17:U28" si="3">B17</f>
        <v>Threat Assessment</v>
      </c>
      <c r="V17" s="213">
        <v>0</v>
      </c>
      <c r="W17" s="213">
        <f ca="1">C17</f>
        <v>0</v>
      </c>
      <c r="X17" s="213">
        <v>0</v>
      </c>
      <c r="Y17" s="213">
        <v>0</v>
      </c>
      <c r="Z17" s="213">
        <v>0</v>
      </c>
    </row>
    <row r="18" spans="1:26" ht="25" customHeight="1" x14ac:dyDescent="0.2">
      <c r="A18" s="216" t="str">
        <f>Interview!$B$59</f>
        <v>Design</v>
      </c>
      <c r="B18" s="222" t="str">
        <f>Interview!$B$74</f>
        <v>Security Requirements</v>
      </c>
      <c r="C18" s="213">
        <f ca="1">Interview!$J$75</f>
        <v>0</v>
      </c>
      <c r="D18" s="213">
        <f ca="1">Interview!H75</f>
        <v>0</v>
      </c>
      <c r="E18" s="213">
        <f ca="1">Interview!H77</f>
        <v>0</v>
      </c>
      <c r="F18" s="213">
        <f ca="1">Interview!H79</f>
        <v>0</v>
      </c>
      <c r="G18" s="214">
        <f t="shared" ca="1" si="0"/>
        <v>0</v>
      </c>
      <c r="H18" s="215"/>
      <c r="I18" s="220" t="str">
        <f>A26</f>
        <v>Operations</v>
      </c>
      <c r="J18" s="213">
        <f ca="1">AVERAGE(C26:C28)</f>
        <v>0</v>
      </c>
      <c r="K18" s="205"/>
      <c r="L18" s="205"/>
      <c r="M18" s="205"/>
      <c r="N18" s="205"/>
      <c r="T18" s="216" t="str">
        <f t="shared" si="2"/>
        <v>Design</v>
      </c>
      <c r="U18" s="222" t="str">
        <f t="shared" si="3"/>
        <v>Security Requirements</v>
      </c>
      <c r="V18" s="213">
        <v>0</v>
      </c>
      <c r="W18" s="213">
        <f ca="1">C18</f>
        <v>0</v>
      </c>
      <c r="X18" s="213">
        <v>0</v>
      </c>
      <c r="Y18" s="213">
        <v>0</v>
      </c>
      <c r="Z18" s="213">
        <v>0</v>
      </c>
    </row>
    <row r="19" spans="1:26" ht="25" customHeight="1" x14ac:dyDescent="0.2">
      <c r="A19" s="216" t="str">
        <f>Interview!$B$59</f>
        <v>Design</v>
      </c>
      <c r="B19" s="222" t="str">
        <f>Interview!$B$88</f>
        <v>Secure Architecture</v>
      </c>
      <c r="C19" s="213">
        <f ca="1">Interview!$J$89</f>
        <v>0</v>
      </c>
      <c r="D19" s="213">
        <f ca="1">Interview!H89</f>
        <v>0</v>
      </c>
      <c r="E19" s="213">
        <f ca="1">Interview!H91</f>
        <v>0</v>
      </c>
      <c r="F19" s="213">
        <f ca="1">Interview!H93</f>
        <v>0</v>
      </c>
      <c r="G19" s="214">
        <f t="shared" ca="1" si="0"/>
        <v>0</v>
      </c>
      <c r="H19" s="215"/>
      <c r="I19" s="217" t="s">
        <v>243</v>
      </c>
      <c r="J19" s="213">
        <f ca="1">AVERAGE(J14:J18)</f>
        <v>0</v>
      </c>
      <c r="K19" s="205"/>
      <c r="L19" s="205"/>
      <c r="M19" s="205"/>
      <c r="N19" s="205"/>
      <c r="T19" s="216" t="str">
        <f t="shared" si="2"/>
        <v>Design</v>
      </c>
      <c r="U19" s="222" t="str">
        <f t="shared" si="3"/>
        <v>Secure Architecture</v>
      </c>
      <c r="V19" s="213">
        <v>0</v>
      </c>
      <c r="W19" s="213">
        <f ca="1">C19</f>
        <v>0</v>
      </c>
      <c r="X19" s="213">
        <v>0</v>
      </c>
      <c r="Y19" s="213">
        <v>0</v>
      </c>
      <c r="Z19" s="213">
        <v>0</v>
      </c>
    </row>
    <row r="20" spans="1:26" ht="25" customHeight="1" x14ac:dyDescent="0.2">
      <c r="A20" s="218" t="str">
        <f>Interview!$B$102</f>
        <v>Implementation</v>
      </c>
      <c r="B20" s="223" t="str">
        <f>Interview!$B$103</f>
        <v>Secure Build</v>
      </c>
      <c r="C20" s="213">
        <f ca="1">Interview!$J$104</f>
        <v>0</v>
      </c>
      <c r="D20" s="213">
        <f ca="1">Interview!H104</f>
        <v>0</v>
      </c>
      <c r="E20" s="213">
        <f ca="1">Interview!H106</f>
        <v>0</v>
      </c>
      <c r="F20" s="213">
        <f ca="1">Interview!H108</f>
        <v>0</v>
      </c>
      <c r="G20" s="214">
        <f ca="1">(((((IF((C20="0+"),0.5,0)+IF((C20=1),1,0))+IF((C20="1+"),1.5,0))+IF((C20=2),2,0))+IF((C20="2+"),2.5,0))+IF((C20=3),3,0))+IF((C20="3+"),3.5,0)</f>
        <v>0</v>
      </c>
      <c r="H20" s="215"/>
      <c r="I20" s="205"/>
      <c r="J20" s="205"/>
      <c r="K20" s="205"/>
      <c r="L20" s="205"/>
      <c r="M20" s="205"/>
      <c r="N20" s="205"/>
      <c r="T20" s="218" t="str">
        <f t="shared" si="2"/>
        <v>Implementation</v>
      </c>
      <c r="U20" s="223" t="str">
        <f t="shared" si="3"/>
        <v>Secure Build</v>
      </c>
      <c r="V20" s="213">
        <v>0</v>
      </c>
      <c r="W20" s="213">
        <v>0</v>
      </c>
      <c r="X20" s="213">
        <f ca="1">C20</f>
        <v>0</v>
      </c>
      <c r="Y20" s="213">
        <v>0</v>
      </c>
      <c r="Z20" s="213">
        <v>0</v>
      </c>
    </row>
    <row r="21" spans="1:26" ht="25" customHeight="1" x14ac:dyDescent="0.2">
      <c r="A21" s="218" t="str">
        <f>Interview!$B$102</f>
        <v>Implementation</v>
      </c>
      <c r="B21" s="223" t="str">
        <f>Interview!$B$117</f>
        <v>Secure Deployment</v>
      </c>
      <c r="C21" s="213">
        <f ca="1">Interview!$J$118</f>
        <v>0</v>
      </c>
      <c r="D21" s="213">
        <f ca="1">Interview!H118</f>
        <v>0</v>
      </c>
      <c r="E21" s="213">
        <f ca="1">Interview!H120</f>
        <v>0</v>
      </c>
      <c r="F21" s="213">
        <f ca="1">Interview!H122</f>
        <v>0</v>
      </c>
      <c r="G21" s="214">
        <f ca="1">(((((IF((C21="0+"),0.5,0)+IF((C21=1),1,0))+IF((C21="1+"),1.5,0))+IF((C21=2),2,0))+IF((C21="2+"),2.5,0))+IF((C21=3),3,0))+IF((C21="3+"),3.5,0)</f>
        <v>0</v>
      </c>
      <c r="H21" s="215"/>
      <c r="I21" s="205"/>
      <c r="J21" s="205"/>
      <c r="K21" s="205"/>
      <c r="L21" s="205"/>
      <c r="M21" s="205"/>
      <c r="N21" s="205"/>
      <c r="T21" s="218" t="str">
        <f t="shared" si="2"/>
        <v>Implementation</v>
      </c>
      <c r="U21" s="223" t="str">
        <f t="shared" si="3"/>
        <v>Secure Deployment</v>
      </c>
      <c r="V21" s="213">
        <v>0</v>
      </c>
      <c r="W21" s="213">
        <v>0</v>
      </c>
      <c r="X21" s="213">
        <f ca="1">C21</f>
        <v>0</v>
      </c>
      <c r="Y21" s="213">
        <v>0</v>
      </c>
      <c r="Z21" s="213">
        <v>0</v>
      </c>
    </row>
    <row r="22" spans="1:26" ht="25" customHeight="1" x14ac:dyDescent="0.2">
      <c r="A22" s="218" t="str">
        <f>Interview!$B$102</f>
        <v>Implementation</v>
      </c>
      <c r="B22" s="223" t="str">
        <f>Interview!$B$131</f>
        <v>Defect Management</v>
      </c>
      <c r="C22" s="213">
        <f ca="1">Interview!$J$132</f>
        <v>0</v>
      </c>
      <c r="D22" s="213">
        <f ca="1">Interview!H132</f>
        <v>0</v>
      </c>
      <c r="E22" s="213">
        <f ca="1">Interview!H134</f>
        <v>0</v>
      </c>
      <c r="F22" s="213">
        <f ca="1">Interview!H136</f>
        <v>0</v>
      </c>
      <c r="G22" s="214">
        <f ca="1">(((((IF((C22="0+"),0.5,0)+IF((C22=1),1,0))+IF((C22="1+"),1.5,0))+IF((C22=2),2,0))+IF((C22="2+"),2.5,0))+IF((C22=3),3,0))+IF((C22="3+"),3.5,0)</f>
        <v>0</v>
      </c>
      <c r="H22" s="215"/>
      <c r="I22" s="205"/>
      <c r="J22" s="205"/>
      <c r="K22" s="205"/>
      <c r="L22" s="205"/>
      <c r="M22" s="205"/>
      <c r="N22" s="205"/>
      <c r="T22" s="218" t="str">
        <f t="shared" si="2"/>
        <v>Implementation</v>
      </c>
      <c r="U22" s="223" t="str">
        <f t="shared" si="3"/>
        <v>Defect Management</v>
      </c>
      <c r="V22" s="213">
        <v>0</v>
      </c>
      <c r="W22" s="213">
        <v>0</v>
      </c>
      <c r="X22" s="213">
        <f ca="1">C22</f>
        <v>0</v>
      </c>
      <c r="Y22" s="213">
        <v>0</v>
      </c>
      <c r="Z22" s="213">
        <v>0</v>
      </c>
    </row>
    <row r="23" spans="1:26" ht="25" customHeight="1" x14ac:dyDescent="0.2">
      <c r="A23" s="219" t="str">
        <f>Interview!$B$145</f>
        <v>Verification</v>
      </c>
      <c r="B23" s="224" t="str">
        <f>Interview!$B$146</f>
        <v>Architecture Assessment</v>
      </c>
      <c r="C23" s="213">
        <f ca="1">Interview!$J$147</f>
        <v>0</v>
      </c>
      <c r="D23" s="213">
        <f ca="1">Interview!H147</f>
        <v>0</v>
      </c>
      <c r="E23" s="213">
        <f ca="1">Interview!H149</f>
        <v>0</v>
      </c>
      <c r="F23" s="213">
        <f ca="1">Interview!H151</f>
        <v>0</v>
      </c>
      <c r="G23" s="214">
        <f t="shared" ref="G23:G28" ca="1" si="4">(((((IF((C23="0+"),0.5,0)+IF((C23=1),1,0))+IF((C23="1+"),1.5,0))+IF((C23=2),2,0))+IF((C23="2+"),2.5,0))+IF((C23=3),3,0))+IF((C23="3+"),3.5,0)</f>
        <v>0</v>
      </c>
      <c r="H23" s="215"/>
      <c r="I23" s="205"/>
      <c r="J23" s="205"/>
      <c r="K23" s="205"/>
      <c r="L23" s="205"/>
      <c r="M23" s="205"/>
      <c r="N23" s="205"/>
      <c r="T23" s="219" t="str">
        <f t="shared" si="2"/>
        <v>Verification</v>
      </c>
      <c r="U23" s="224" t="str">
        <f t="shared" si="3"/>
        <v>Architecture Assessment</v>
      </c>
      <c r="V23" s="213">
        <v>0</v>
      </c>
      <c r="W23" s="213">
        <v>0</v>
      </c>
      <c r="X23" s="213">
        <v>0</v>
      </c>
      <c r="Y23" s="213">
        <f ca="1">C23</f>
        <v>0</v>
      </c>
      <c r="Z23" s="213">
        <v>0</v>
      </c>
    </row>
    <row r="24" spans="1:26" ht="25" customHeight="1" x14ac:dyDescent="0.2">
      <c r="A24" s="219" t="str">
        <f>Interview!$B$145</f>
        <v>Verification</v>
      </c>
      <c r="B24" s="224" t="str">
        <f>Interview!$B$160</f>
        <v>Requirements Testing</v>
      </c>
      <c r="C24" s="213">
        <f ca="1">Interview!$J$161</f>
        <v>0</v>
      </c>
      <c r="D24" s="213">
        <f ca="1">Interview!H161</f>
        <v>0</v>
      </c>
      <c r="E24" s="213">
        <f ca="1">Interview!H163</f>
        <v>0</v>
      </c>
      <c r="F24" s="213">
        <f ca="1">Interview!H165</f>
        <v>0</v>
      </c>
      <c r="G24" s="214">
        <f t="shared" ca="1" si="4"/>
        <v>0</v>
      </c>
      <c r="H24" s="215"/>
      <c r="I24" s="205"/>
      <c r="J24" s="205"/>
      <c r="K24" s="205"/>
      <c r="L24" s="205"/>
      <c r="M24" s="205"/>
      <c r="N24" s="205"/>
      <c r="T24" s="219" t="str">
        <f t="shared" si="2"/>
        <v>Verification</v>
      </c>
      <c r="U24" s="224" t="str">
        <f t="shared" si="3"/>
        <v>Requirements Testing</v>
      </c>
      <c r="V24" s="213">
        <v>0</v>
      </c>
      <c r="W24" s="213">
        <v>0</v>
      </c>
      <c r="X24" s="213">
        <v>0</v>
      </c>
      <c r="Y24" s="213">
        <f ca="1">C24</f>
        <v>0</v>
      </c>
      <c r="Z24" s="213">
        <v>0</v>
      </c>
    </row>
    <row r="25" spans="1:26" ht="25" customHeight="1" x14ac:dyDescent="0.2">
      <c r="A25" s="219" t="str">
        <f>Interview!$B$145</f>
        <v>Verification</v>
      </c>
      <c r="B25" s="224" t="str">
        <f>Interview!$B$174</f>
        <v>Security Testing</v>
      </c>
      <c r="C25" s="213">
        <f ca="1">Interview!$J$175</f>
        <v>0</v>
      </c>
      <c r="D25" s="213">
        <f ca="1">Interview!H175</f>
        <v>0</v>
      </c>
      <c r="E25" s="213">
        <f ca="1">Interview!H177</f>
        <v>0</v>
      </c>
      <c r="F25" s="213">
        <f ca="1">Interview!H179</f>
        <v>0</v>
      </c>
      <c r="G25" s="214">
        <f t="shared" ca="1" si="4"/>
        <v>0</v>
      </c>
      <c r="H25" s="215"/>
      <c r="I25" s="205"/>
      <c r="J25" s="205"/>
      <c r="K25" s="205"/>
      <c r="L25" s="205"/>
      <c r="M25" s="205"/>
      <c r="N25" s="205"/>
      <c r="T25" s="219" t="str">
        <f t="shared" si="2"/>
        <v>Verification</v>
      </c>
      <c r="U25" s="224" t="str">
        <f t="shared" si="3"/>
        <v>Security Testing</v>
      </c>
      <c r="V25" s="213">
        <v>0</v>
      </c>
      <c r="W25" s="213">
        <v>0</v>
      </c>
      <c r="X25" s="213">
        <v>0</v>
      </c>
      <c r="Y25" s="213">
        <f ca="1">C25</f>
        <v>0</v>
      </c>
      <c r="Z25" s="213">
        <v>0</v>
      </c>
    </row>
    <row r="26" spans="1:26" ht="25" customHeight="1" x14ac:dyDescent="0.2">
      <c r="A26" s="220" t="str">
        <f>Interview!$B$188</f>
        <v>Operations</v>
      </c>
      <c r="B26" s="225" t="str">
        <f>Interview!$B$189</f>
        <v>Incident Management</v>
      </c>
      <c r="C26" s="213">
        <f ca="1">Interview!$J$190</f>
        <v>0</v>
      </c>
      <c r="D26" s="213">
        <f ca="1">Interview!H190</f>
        <v>0</v>
      </c>
      <c r="E26" s="213">
        <f ca="1">Interview!H192</f>
        <v>0</v>
      </c>
      <c r="F26" s="213">
        <f ca="1">Interview!H194</f>
        <v>0</v>
      </c>
      <c r="G26" s="214">
        <f t="shared" ca="1" si="4"/>
        <v>0</v>
      </c>
      <c r="H26" s="215"/>
      <c r="I26" s="205"/>
      <c r="J26" s="205"/>
      <c r="K26" s="205"/>
      <c r="L26" s="205"/>
      <c r="M26" s="205"/>
      <c r="N26" s="205"/>
      <c r="T26" s="220" t="str">
        <f t="shared" si="2"/>
        <v>Operations</v>
      </c>
      <c r="U26" s="225" t="str">
        <f t="shared" si="3"/>
        <v>Incident Management</v>
      </c>
      <c r="V26" s="213">
        <v>0</v>
      </c>
      <c r="W26" s="213">
        <v>0</v>
      </c>
      <c r="X26" s="213">
        <v>0</v>
      </c>
      <c r="Y26" s="213">
        <v>0</v>
      </c>
      <c r="Z26" s="213">
        <f ca="1">C26</f>
        <v>0</v>
      </c>
    </row>
    <row r="27" spans="1:26" ht="25" customHeight="1" x14ac:dyDescent="0.2">
      <c r="A27" s="220" t="str">
        <f>Interview!$B$188</f>
        <v>Operations</v>
      </c>
      <c r="B27" s="225" t="str">
        <f>Interview!$B$203</f>
        <v>Environment Management</v>
      </c>
      <c r="C27" s="213">
        <f ca="1">Interview!$J$204</f>
        <v>0</v>
      </c>
      <c r="D27" s="213">
        <f ca="1">Interview!H204</f>
        <v>0</v>
      </c>
      <c r="E27" s="213">
        <f ca="1">Interview!H206</f>
        <v>0</v>
      </c>
      <c r="F27" s="213">
        <f ca="1">Interview!H208</f>
        <v>0</v>
      </c>
      <c r="G27" s="214">
        <f t="shared" ca="1" si="4"/>
        <v>0</v>
      </c>
      <c r="H27" s="215"/>
      <c r="I27" s="205"/>
      <c r="J27" s="205"/>
      <c r="K27" s="205"/>
      <c r="L27" s="205"/>
      <c r="M27" s="205"/>
      <c r="N27" s="205"/>
      <c r="T27" s="220" t="str">
        <f t="shared" si="2"/>
        <v>Operations</v>
      </c>
      <c r="U27" s="225" t="str">
        <f t="shared" si="3"/>
        <v>Environment Management</v>
      </c>
      <c r="V27" s="213">
        <v>0</v>
      </c>
      <c r="W27" s="213">
        <v>0</v>
      </c>
      <c r="X27" s="213">
        <v>0</v>
      </c>
      <c r="Y27" s="213">
        <v>0</v>
      </c>
      <c r="Z27" s="213">
        <f ca="1">C27</f>
        <v>0</v>
      </c>
    </row>
    <row r="28" spans="1:26" ht="25" customHeight="1" x14ac:dyDescent="0.2">
      <c r="A28" s="220" t="str">
        <f>Interview!$B$188</f>
        <v>Operations</v>
      </c>
      <c r="B28" s="225" t="str">
        <f>Interview!$B$217</f>
        <v>Operational Management</v>
      </c>
      <c r="C28" s="213">
        <f ca="1">Interview!$J$218</f>
        <v>0</v>
      </c>
      <c r="D28" s="213">
        <f ca="1">Interview!H218</f>
        <v>0</v>
      </c>
      <c r="E28" s="213">
        <f ca="1">Interview!H220</f>
        <v>0</v>
      </c>
      <c r="F28" s="213">
        <f ca="1">Interview!H222</f>
        <v>0</v>
      </c>
      <c r="G28" s="214">
        <f t="shared" ca="1" si="4"/>
        <v>0</v>
      </c>
      <c r="H28" s="215"/>
      <c r="I28" s="205"/>
      <c r="J28" s="205"/>
      <c r="K28" s="205"/>
      <c r="L28" s="205"/>
      <c r="M28" s="205"/>
      <c r="N28" s="205"/>
      <c r="T28" s="220" t="str">
        <f t="shared" si="2"/>
        <v>Operations</v>
      </c>
      <c r="U28" s="225" t="str">
        <f t="shared" si="3"/>
        <v>Operational Management</v>
      </c>
      <c r="V28" s="213">
        <v>0</v>
      </c>
      <c r="W28" s="213">
        <v>0</v>
      </c>
      <c r="X28" s="213">
        <v>0</v>
      </c>
      <c r="Y28" s="213">
        <v>0</v>
      </c>
      <c r="Z28" s="213">
        <f ca="1">C28</f>
        <v>0</v>
      </c>
    </row>
    <row r="29" spans="1:26" ht="12.75" customHeight="1" x14ac:dyDescent="0.2">
      <c r="A29" s="207"/>
      <c r="B29" s="207"/>
      <c r="C29" s="207"/>
      <c r="D29" s="207"/>
      <c r="E29" s="207"/>
      <c r="F29" s="207"/>
      <c r="G29" s="205"/>
      <c r="H29" s="205"/>
      <c r="I29" s="205"/>
      <c r="J29" s="205"/>
      <c r="K29" s="205"/>
      <c r="L29" s="205"/>
      <c r="M29" s="205"/>
      <c r="N29" s="205"/>
    </row>
    <row r="30" spans="1:26" ht="12.75" customHeight="1" thickBot="1" x14ac:dyDescent="0.25">
      <c r="K30" s="205"/>
    </row>
    <row r="31" spans="1:26" ht="25" customHeight="1" thickBot="1" x14ac:dyDescent="0.25">
      <c r="A31" s="560" t="s">
        <v>244</v>
      </c>
      <c r="B31" s="561"/>
      <c r="C31" s="561"/>
      <c r="D31" s="561"/>
      <c r="E31" s="561"/>
      <c r="F31" s="561"/>
      <c r="G31" s="561"/>
      <c r="H31" s="561"/>
      <c r="I31" s="561"/>
      <c r="J31" s="562"/>
      <c r="K31" s="205"/>
      <c r="L31" s="560" t="s">
        <v>244</v>
      </c>
      <c r="M31" s="561"/>
      <c r="N31" s="561"/>
      <c r="O31" s="561"/>
      <c r="P31" s="561"/>
      <c r="Q31" s="561"/>
      <c r="R31" s="562"/>
      <c r="T31" s="563" t="s">
        <v>244</v>
      </c>
      <c r="U31" s="561"/>
      <c r="V31" s="561"/>
      <c r="W31" s="561"/>
      <c r="X31" s="561"/>
      <c r="Y31" s="561"/>
      <c r="Z31" s="562"/>
    </row>
    <row r="32" spans="1:26" ht="12" customHeight="1" x14ac:dyDescent="0.2">
      <c r="A32" s="206"/>
      <c r="B32" s="206"/>
      <c r="C32" s="206"/>
      <c r="D32" s="570" t="s">
        <v>238</v>
      </c>
      <c r="E32" s="571"/>
      <c r="F32" s="572"/>
      <c r="G32" s="205"/>
      <c r="H32" s="205"/>
      <c r="I32" s="205"/>
      <c r="J32" s="205"/>
      <c r="K32" s="205"/>
      <c r="L32" s="205"/>
      <c r="M32" s="205"/>
      <c r="N32" s="205"/>
    </row>
    <row r="33" spans="1:26" ht="25" customHeight="1" x14ac:dyDescent="0.2">
      <c r="A33" s="209" t="s">
        <v>239</v>
      </c>
      <c r="B33" s="209" t="s">
        <v>240</v>
      </c>
      <c r="C33" s="209" t="s">
        <v>241</v>
      </c>
      <c r="D33" s="210">
        <v>1</v>
      </c>
      <c r="E33" s="210">
        <v>2</v>
      </c>
      <c r="F33" s="210">
        <v>3</v>
      </c>
      <c r="G33" s="211" t="s">
        <v>242</v>
      </c>
      <c r="H33" s="95"/>
      <c r="I33" s="209" t="s">
        <v>239</v>
      </c>
      <c r="J33" s="209" t="s">
        <v>241</v>
      </c>
      <c r="K33" s="205"/>
      <c r="L33" s="205"/>
      <c r="M33" s="205"/>
      <c r="N33" s="205"/>
      <c r="V33" s="204" t="str">
        <f>T34</f>
        <v>Governance</v>
      </c>
      <c r="W33" s="204" t="str">
        <f>T37</f>
        <v>Design</v>
      </c>
      <c r="X33" s="204" t="str">
        <f>T40</f>
        <v>Implementation</v>
      </c>
      <c r="Y33" s="204" t="str">
        <f>T43</f>
        <v>Verification</v>
      </c>
      <c r="Z33" s="204" t="str">
        <f>T46</f>
        <v>Operations</v>
      </c>
    </row>
    <row r="34" spans="1:26" ht="25" customHeight="1" x14ac:dyDescent="0.2">
      <c r="A34" s="212" t="str">
        <f>Interview!$B$16</f>
        <v>Governance</v>
      </c>
      <c r="B34" s="221" t="str">
        <f>Interview!$D$17</f>
        <v>Strategy &amp; Metrics</v>
      </c>
      <c r="C34" s="213">
        <f ca="1">Roadmap!M18</f>
        <v>0</v>
      </c>
      <c r="D34" s="213">
        <f ca="1">Roadmap!L18</f>
        <v>0</v>
      </c>
      <c r="E34" s="213">
        <f ca="1">Roadmap!L19</f>
        <v>0</v>
      </c>
      <c r="F34" s="213">
        <f ca="1">Roadmap!L20</f>
        <v>0</v>
      </c>
      <c r="G34" s="214">
        <f t="shared" ref="G34:G39" ca="1" si="5">(((((IF((C34="0+"),0.5,0)+IF((C34=1),1,0))+IF((C34="1+"),1.5,0))+IF((C34=2),2,0))+IF((C34="2+"),2.5,0))+IF((C34=3),3,0))+IF((C34="3+"),3.5,0)</f>
        <v>0</v>
      </c>
      <c r="H34" s="215"/>
      <c r="I34" s="212" t="str">
        <f>A34</f>
        <v>Governance</v>
      </c>
      <c r="J34" s="213">
        <f ca="1">AVERAGE(C34:C36)</f>
        <v>0</v>
      </c>
      <c r="K34" s="205"/>
      <c r="L34" s="205"/>
      <c r="M34" s="205"/>
      <c r="N34" s="205"/>
      <c r="T34" s="212" t="str">
        <f>Interview!$B$16</f>
        <v>Governance</v>
      </c>
      <c r="U34" s="221" t="str">
        <f>Interview!$D$17</f>
        <v>Strategy &amp; Metrics</v>
      </c>
      <c r="V34" s="213">
        <f ca="1">C34</f>
        <v>0</v>
      </c>
      <c r="W34" s="213">
        <v>0</v>
      </c>
      <c r="X34" s="213">
        <v>0</v>
      </c>
      <c r="Y34" s="213">
        <v>0</v>
      </c>
      <c r="Z34" s="213">
        <v>0</v>
      </c>
    </row>
    <row r="35" spans="1:26" ht="25" customHeight="1" x14ac:dyDescent="0.2">
      <c r="A35" s="212" t="str">
        <f>Interview!$B$16</f>
        <v>Governance</v>
      </c>
      <c r="B35" s="221" t="str">
        <f>Interview!$B$31</f>
        <v>Policy &amp; Compliance</v>
      </c>
      <c r="C35" s="213">
        <f ca="1">Roadmap!M27</f>
        <v>0</v>
      </c>
      <c r="D35" s="213">
        <f ca="1">Roadmap!L27</f>
        <v>0</v>
      </c>
      <c r="E35" s="213">
        <f ca="1">Roadmap!L28</f>
        <v>0</v>
      </c>
      <c r="F35" s="213">
        <f ca="1">Roadmap!L29</f>
        <v>0</v>
      </c>
      <c r="G35" s="214">
        <f t="shared" ca="1" si="5"/>
        <v>0</v>
      </c>
      <c r="H35" s="215"/>
      <c r="I35" s="216" t="str">
        <f>A37</f>
        <v>Design</v>
      </c>
      <c r="J35" s="213">
        <f ca="1">AVERAGE(C37:C39)</f>
        <v>0</v>
      </c>
      <c r="K35" s="205"/>
      <c r="L35" s="205"/>
      <c r="M35" s="205"/>
      <c r="N35" s="205"/>
      <c r="T35" s="212" t="str">
        <f>Interview!$B$16</f>
        <v>Governance</v>
      </c>
      <c r="U35" s="221" t="str">
        <f>Interview!$B$31</f>
        <v>Policy &amp; Compliance</v>
      </c>
      <c r="V35" s="213">
        <f ca="1">C35</f>
        <v>0</v>
      </c>
      <c r="W35" s="213">
        <v>0</v>
      </c>
      <c r="X35" s="213">
        <v>0</v>
      </c>
      <c r="Y35" s="213">
        <v>0</v>
      </c>
      <c r="Z35" s="213">
        <v>0</v>
      </c>
    </row>
    <row r="36" spans="1:26" ht="25" customHeight="1" x14ac:dyDescent="0.2">
      <c r="A36" s="212" t="str">
        <f>Interview!$B$16</f>
        <v>Governance</v>
      </c>
      <c r="B36" s="221" t="str">
        <f>Interview!$B$45</f>
        <v>Education &amp; Guidance</v>
      </c>
      <c r="C36" s="213">
        <f ca="1">Roadmap!M36</f>
        <v>0</v>
      </c>
      <c r="D36" s="213">
        <f ca="1">Roadmap!L36</f>
        <v>0</v>
      </c>
      <c r="E36" s="213">
        <f ca="1">Roadmap!L37</f>
        <v>0</v>
      </c>
      <c r="F36" s="213">
        <f ca="1">Roadmap!L38</f>
        <v>0</v>
      </c>
      <c r="G36" s="214">
        <f t="shared" ca="1" si="5"/>
        <v>0</v>
      </c>
      <c r="H36" s="215"/>
      <c r="I36" s="218" t="str">
        <f>A40</f>
        <v>Implementation</v>
      </c>
      <c r="J36" s="213">
        <f ca="1">AVERAGE(C40:C42)</f>
        <v>0</v>
      </c>
      <c r="K36" s="205"/>
      <c r="L36" s="205"/>
      <c r="M36" s="205"/>
      <c r="N36" s="205"/>
      <c r="T36" s="212" t="str">
        <f>Interview!$B$16</f>
        <v>Governance</v>
      </c>
      <c r="U36" s="221" t="str">
        <f>Interview!$B$45</f>
        <v>Education &amp; Guidance</v>
      </c>
      <c r="V36" s="213">
        <f ca="1">C36</f>
        <v>0</v>
      </c>
      <c r="W36" s="213">
        <v>0</v>
      </c>
      <c r="X36" s="213">
        <v>0</v>
      </c>
      <c r="Y36" s="213">
        <v>0</v>
      </c>
      <c r="Z36" s="213">
        <v>0</v>
      </c>
    </row>
    <row r="37" spans="1:26" ht="25" customHeight="1" x14ac:dyDescent="0.2">
      <c r="A37" s="216" t="str">
        <f>Interview!$B$59</f>
        <v>Design</v>
      </c>
      <c r="B37" s="222" t="str">
        <f>Interview!$B$60</f>
        <v>Threat Assessment</v>
      </c>
      <c r="C37" s="213">
        <f ca="1">Roadmap!M46</f>
        <v>0</v>
      </c>
      <c r="D37" s="213">
        <f ca="1">Roadmap!L46</f>
        <v>0</v>
      </c>
      <c r="E37" s="213">
        <f ca="1">Roadmap!L47</f>
        <v>0</v>
      </c>
      <c r="F37" s="213">
        <f ca="1">Roadmap!L48</f>
        <v>0</v>
      </c>
      <c r="G37" s="214">
        <f t="shared" ca="1" si="5"/>
        <v>0</v>
      </c>
      <c r="H37" s="215"/>
      <c r="I37" s="219" t="str">
        <f>A43</f>
        <v>Verification</v>
      </c>
      <c r="J37" s="213">
        <f ca="1">AVERAGE(C43:C45)</f>
        <v>0</v>
      </c>
      <c r="K37" s="205"/>
      <c r="L37" s="205"/>
      <c r="M37" s="205"/>
      <c r="N37" s="205"/>
      <c r="T37" s="216" t="str">
        <f>Interview!$B$59</f>
        <v>Design</v>
      </c>
      <c r="U37" s="222" t="str">
        <f>Interview!$B$60</f>
        <v>Threat Assessment</v>
      </c>
      <c r="V37" s="213">
        <v>0</v>
      </c>
      <c r="W37" s="213">
        <f ca="1">C37</f>
        <v>0</v>
      </c>
      <c r="X37" s="213">
        <v>0</v>
      </c>
      <c r="Y37" s="213">
        <v>0</v>
      </c>
      <c r="Z37" s="213">
        <v>0</v>
      </c>
    </row>
    <row r="38" spans="1:26" ht="25" customHeight="1" x14ac:dyDescent="0.2">
      <c r="A38" s="216" t="str">
        <f>Interview!$B$59</f>
        <v>Design</v>
      </c>
      <c r="B38" s="222" t="str">
        <f>Interview!$B$74</f>
        <v>Security Requirements</v>
      </c>
      <c r="C38" s="213">
        <f ca="1">Roadmap!M55</f>
        <v>0</v>
      </c>
      <c r="D38" s="213">
        <f ca="1">Roadmap!L55</f>
        <v>0</v>
      </c>
      <c r="E38" s="213">
        <f ca="1">Roadmap!L56</f>
        <v>0</v>
      </c>
      <c r="F38" s="213">
        <f ca="1">Roadmap!L57</f>
        <v>0</v>
      </c>
      <c r="G38" s="214">
        <f t="shared" ca="1" si="5"/>
        <v>0</v>
      </c>
      <c r="H38" s="215"/>
      <c r="I38" s="220" t="str">
        <f>A46</f>
        <v>Operations</v>
      </c>
      <c r="J38" s="213">
        <f ca="1">AVERAGE(C46:C48)</f>
        <v>0</v>
      </c>
      <c r="K38" s="205"/>
      <c r="L38" s="213"/>
      <c r="M38" s="205"/>
      <c r="N38" s="205"/>
      <c r="T38" s="216" t="str">
        <f>Interview!$B$59</f>
        <v>Design</v>
      </c>
      <c r="U38" s="222" t="str">
        <f>Interview!$B$74</f>
        <v>Security Requirements</v>
      </c>
      <c r="V38" s="213">
        <v>0</v>
      </c>
      <c r="W38" s="213">
        <f ca="1">C38</f>
        <v>0</v>
      </c>
      <c r="X38" s="213">
        <v>0</v>
      </c>
      <c r="Y38" s="213">
        <v>0</v>
      </c>
      <c r="Z38" s="213">
        <v>0</v>
      </c>
    </row>
    <row r="39" spans="1:26" ht="25" customHeight="1" x14ac:dyDescent="0.2">
      <c r="A39" s="216" t="str">
        <f>Interview!$B$59</f>
        <v>Design</v>
      </c>
      <c r="B39" s="222" t="str">
        <f>Interview!$B$88</f>
        <v>Secure Architecture</v>
      </c>
      <c r="C39" s="213">
        <f ca="1">Roadmap!M64</f>
        <v>0</v>
      </c>
      <c r="D39" s="213">
        <f ca="1">Roadmap!L64</f>
        <v>0</v>
      </c>
      <c r="E39" s="213">
        <f ca="1">Roadmap!L65</f>
        <v>0</v>
      </c>
      <c r="F39" s="213">
        <f ca="1">Roadmap!L66</f>
        <v>0</v>
      </c>
      <c r="G39" s="214">
        <f t="shared" ca="1" si="5"/>
        <v>0</v>
      </c>
      <c r="H39" s="215"/>
      <c r="I39" s="217" t="s">
        <v>243</v>
      </c>
      <c r="J39" s="213">
        <f ca="1">AVERAGE(J34:J38)</f>
        <v>0</v>
      </c>
      <c r="K39" s="205"/>
      <c r="L39" s="213"/>
      <c r="M39" s="205"/>
      <c r="N39" s="205"/>
      <c r="T39" s="216" t="str">
        <f>Interview!$B$59</f>
        <v>Design</v>
      </c>
      <c r="U39" s="222" t="str">
        <f>Interview!$B$88</f>
        <v>Secure Architecture</v>
      </c>
      <c r="V39" s="213">
        <v>0</v>
      </c>
      <c r="W39" s="213">
        <f ca="1">C39</f>
        <v>0</v>
      </c>
      <c r="X39" s="213">
        <v>0</v>
      </c>
      <c r="Y39" s="213">
        <v>0</v>
      </c>
      <c r="Z39" s="213">
        <v>0</v>
      </c>
    </row>
    <row r="40" spans="1:26" ht="25" customHeight="1" x14ac:dyDescent="0.2">
      <c r="A40" s="218" t="str">
        <f>Interview!$B$102</f>
        <v>Implementation</v>
      </c>
      <c r="B40" s="223" t="str">
        <f>Interview!$B$103</f>
        <v>Secure Build</v>
      </c>
      <c r="C40" s="213">
        <f ca="1">Roadmap!M74</f>
        <v>0</v>
      </c>
      <c r="D40" s="213">
        <f ca="1">Roadmap!L74</f>
        <v>0</v>
      </c>
      <c r="E40" s="213">
        <f ca="1">Roadmap!L75</f>
        <v>0</v>
      </c>
      <c r="F40" s="213">
        <f ca="1">Roadmap!L76</f>
        <v>0</v>
      </c>
      <c r="G40" s="214">
        <f ca="1">(((((IF((C40="0+"),0.5,0)+IF((C40=1),1,0))+IF((C40="1+"),1.5,0))+IF((C40=2),2,0))+IF((C40="2+"),2.5,0))+IF((C40=3),3,0))+IF((C40="3+"),3.5,0)</f>
        <v>0</v>
      </c>
      <c r="H40" s="215"/>
      <c r="I40" s="205"/>
      <c r="J40" s="205"/>
      <c r="K40" s="205"/>
      <c r="L40" s="213"/>
      <c r="M40" s="205"/>
      <c r="N40" s="205"/>
      <c r="T40" s="218" t="str">
        <f>Interview!$B$102</f>
        <v>Implementation</v>
      </c>
      <c r="U40" s="223" t="str">
        <f>Interview!$B$103</f>
        <v>Secure Build</v>
      </c>
      <c r="V40" s="213">
        <v>0</v>
      </c>
      <c r="W40" s="213">
        <v>0</v>
      </c>
      <c r="X40" s="213">
        <f ca="1">C40</f>
        <v>0</v>
      </c>
      <c r="Y40" s="213">
        <v>0</v>
      </c>
      <c r="Z40" s="213">
        <v>0</v>
      </c>
    </row>
    <row r="41" spans="1:26" ht="25" customHeight="1" x14ac:dyDescent="0.2">
      <c r="A41" s="218" t="str">
        <f>Interview!$B$102</f>
        <v>Implementation</v>
      </c>
      <c r="B41" s="223" t="str">
        <f>Interview!$B$117</f>
        <v>Secure Deployment</v>
      </c>
      <c r="C41" s="213">
        <f ca="1">Roadmap!M83</f>
        <v>0</v>
      </c>
      <c r="D41" s="213">
        <f ca="1">Roadmap!L83</f>
        <v>0</v>
      </c>
      <c r="E41" s="213">
        <f ca="1">Roadmap!L84</f>
        <v>0</v>
      </c>
      <c r="F41" s="213">
        <f ca="1">Roadmap!L85</f>
        <v>0</v>
      </c>
      <c r="G41" s="214">
        <f ca="1">(((((IF((C41="0+"),0.5,0)+IF((C41=1),1,0))+IF((C41="1+"),1.5,0))+IF((C41=2),2,0))+IF((C41="2+"),2.5,0))+IF((C41=3),3,0))+IF((C41="3+"),3.5,0)</f>
        <v>0</v>
      </c>
      <c r="H41" s="215"/>
      <c r="I41" s="205"/>
      <c r="J41" s="205"/>
      <c r="K41" s="205"/>
      <c r="L41" s="205"/>
      <c r="M41" s="205"/>
      <c r="N41" s="205"/>
      <c r="T41" s="218" t="str">
        <f>Interview!$B$102</f>
        <v>Implementation</v>
      </c>
      <c r="U41" s="223" t="str">
        <f>Interview!$B$117</f>
        <v>Secure Deployment</v>
      </c>
      <c r="V41" s="213">
        <v>0</v>
      </c>
      <c r="W41" s="213">
        <v>0</v>
      </c>
      <c r="X41" s="213">
        <f ca="1">C41</f>
        <v>0</v>
      </c>
      <c r="Y41" s="213">
        <v>0</v>
      </c>
      <c r="Z41" s="213">
        <v>0</v>
      </c>
    </row>
    <row r="42" spans="1:26" ht="25" customHeight="1" x14ac:dyDescent="0.2">
      <c r="A42" s="218" t="str">
        <f>Interview!$B$102</f>
        <v>Implementation</v>
      </c>
      <c r="B42" s="223" t="str">
        <f>Interview!$B$131</f>
        <v>Defect Management</v>
      </c>
      <c r="C42" s="213">
        <f ca="1">Roadmap!M92</f>
        <v>0</v>
      </c>
      <c r="D42" s="213">
        <f ca="1">Roadmap!L92</f>
        <v>0</v>
      </c>
      <c r="E42" s="213">
        <f ca="1">Roadmap!L93</f>
        <v>0</v>
      </c>
      <c r="F42" s="213">
        <f ca="1">Roadmap!L94</f>
        <v>0</v>
      </c>
      <c r="G42" s="214">
        <f ca="1">(((((IF((C42="0+"),0.5,0)+IF((C42=1),1,0))+IF((C42="1+"),1.5,0))+IF((C42=2),2,0))+IF((C42="2+"),2.5,0))+IF((C42=3),3,0))+IF((C42="3+"),3.5,0)</f>
        <v>0</v>
      </c>
      <c r="H42" s="215"/>
      <c r="I42" s="205"/>
      <c r="J42" s="205"/>
      <c r="K42" s="205"/>
      <c r="L42" s="205"/>
      <c r="M42" s="205"/>
      <c r="N42" s="205"/>
      <c r="T42" s="218" t="str">
        <f>Interview!$B$102</f>
        <v>Implementation</v>
      </c>
      <c r="U42" s="223" t="str">
        <f>Interview!$B$131</f>
        <v>Defect Management</v>
      </c>
      <c r="V42" s="213">
        <v>0</v>
      </c>
      <c r="W42" s="213">
        <v>0</v>
      </c>
      <c r="X42" s="213">
        <f ca="1">C42</f>
        <v>0</v>
      </c>
      <c r="Y42" s="213">
        <v>0</v>
      </c>
      <c r="Z42" s="213">
        <v>0</v>
      </c>
    </row>
    <row r="43" spans="1:26" ht="25" customHeight="1" x14ac:dyDescent="0.2">
      <c r="A43" s="219" t="str">
        <f>Interview!$B$145</f>
        <v>Verification</v>
      </c>
      <c r="B43" s="224" t="str">
        <f>Interview!$B$146</f>
        <v>Architecture Assessment</v>
      </c>
      <c r="C43" s="213">
        <f ca="1">Roadmap!M102</f>
        <v>0</v>
      </c>
      <c r="D43" s="213">
        <f ca="1">Roadmap!L102</f>
        <v>0</v>
      </c>
      <c r="E43" s="213">
        <f ca="1">Roadmap!L103</f>
        <v>0</v>
      </c>
      <c r="F43" s="213">
        <f ca="1">Roadmap!L104</f>
        <v>0</v>
      </c>
      <c r="G43" s="214">
        <f t="shared" ref="G43:G48" ca="1" si="6">(((((IF((C43="0+"),0.5,0)+IF((C43=1),1,0))+IF((C43="1+"),1.5,0))+IF((C43=2),2,0))+IF((C43="2+"),2.5,0))+IF((C43=3),3,0))+IF((C43="3+"),3.5,0)</f>
        <v>0</v>
      </c>
      <c r="H43" s="215"/>
      <c r="I43" s="205"/>
      <c r="J43" s="205"/>
      <c r="K43" s="205"/>
      <c r="L43" s="205"/>
      <c r="M43" s="205"/>
      <c r="N43" s="205"/>
      <c r="T43" s="219" t="str">
        <f>Interview!$B$145</f>
        <v>Verification</v>
      </c>
      <c r="U43" s="224" t="str">
        <f>Interview!$B$146</f>
        <v>Architecture Assessment</v>
      </c>
      <c r="V43" s="213">
        <v>0</v>
      </c>
      <c r="W43" s="213">
        <v>0</v>
      </c>
      <c r="X43" s="213">
        <v>0</v>
      </c>
      <c r="Y43" s="213">
        <f ca="1">C43</f>
        <v>0</v>
      </c>
      <c r="Z43" s="213">
        <v>0</v>
      </c>
    </row>
    <row r="44" spans="1:26" ht="25" customHeight="1" x14ac:dyDescent="0.2">
      <c r="A44" s="219" t="str">
        <f>Interview!$B$145</f>
        <v>Verification</v>
      </c>
      <c r="B44" s="224" t="str">
        <f>Interview!$B$160</f>
        <v>Requirements Testing</v>
      </c>
      <c r="C44" s="213">
        <f ca="1">Roadmap!M111</f>
        <v>0</v>
      </c>
      <c r="D44" s="213">
        <f ca="1">Roadmap!L111</f>
        <v>0</v>
      </c>
      <c r="E44" s="213">
        <f ca="1">Roadmap!L112</f>
        <v>0</v>
      </c>
      <c r="F44" s="213">
        <f ca="1">Roadmap!L113</f>
        <v>0</v>
      </c>
      <c r="G44" s="214">
        <f t="shared" ca="1" si="6"/>
        <v>0</v>
      </c>
      <c r="H44" s="215"/>
      <c r="I44" s="205"/>
      <c r="J44" s="205"/>
      <c r="K44" s="205"/>
      <c r="L44" s="205"/>
      <c r="M44" s="205"/>
      <c r="N44" s="205"/>
      <c r="T44" s="219" t="str">
        <f>Interview!$B$145</f>
        <v>Verification</v>
      </c>
      <c r="U44" s="224" t="str">
        <f>Interview!$B$160</f>
        <v>Requirements Testing</v>
      </c>
      <c r="V44" s="213">
        <v>0</v>
      </c>
      <c r="W44" s="213">
        <v>0</v>
      </c>
      <c r="X44" s="213">
        <v>0</v>
      </c>
      <c r="Y44" s="213">
        <f ca="1">C44</f>
        <v>0</v>
      </c>
      <c r="Z44" s="213">
        <v>0</v>
      </c>
    </row>
    <row r="45" spans="1:26" ht="25" customHeight="1" x14ac:dyDescent="0.2">
      <c r="A45" s="219" t="str">
        <f>Interview!$B$145</f>
        <v>Verification</v>
      </c>
      <c r="B45" s="224" t="str">
        <f>Interview!$B$174</f>
        <v>Security Testing</v>
      </c>
      <c r="C45" s="213">
        <f ca="1">Roadmap!M120</f>
        <v>0</v>
      </c>
      <c r="D45" s="213">
        <f ca="1">Roadmap!L120</f>
        <v>0</v>
      </c>
      <c r="E45" s="213">
        <f ca="1">Roadmap!L121</f>
        <v>0</v>
      </c>
      <c r="F45" s="213">
        <f ca="1">Roadmap!L122</f>
        <v>0</v>
      </c>
      <c r="G45" s="214">
        <f t="shared" ca="1" si="6"/>
        <v>0</v>
      </c>
      <c r="H45" s="215"/>
      <c r="I45" s="205"/>
      <c r="J45" s="205"/>
      <c r="K45" s="205"/>
      <c r="L45" s="205"/>
      <c r="M45" s="205"/>
      <c r="N45" s="205"/>
      <c r="T45" s="219" t="str">
        <f>Interview!$B$145</f>
        <v>Verification</v>
      </c>
      <c r="U45" s="224" t="str">
        <f>Interview!$B$174</f>
        <v>Security Testing</v>
      </c>
      <c r="V45" s="213">
        <v>0</v>
      </c>
      <c r="W45" s="213">
        <v>0</v>
      </c>
      <c r="X45" s="213">
        <v>0</v>
      </c>
      <c r="Y45" s="213">
        <f ca="1">C45</f>
        <v>0</v>
      </c>
      <c r="Z45" s="213">
        <v>0</v>
      </c>
    </row>
    <row r="46" spans="1:26" ht="25" customHeight="1" x14ac:dyDescent="0.2">
      <c r="A46" s="220" t="str">
        <f>Interview!$B$188</f>
        <v>Operations</v>
      </c>
      <c r="B46" s="225" t="str">
        <f>Interview!$B$189</f>
        <v>Incident Management</v>
      </c>
      <c r="C46" s="213">
        <f ca="1">Roadmap!M130</f>
        <v>0</v>
      </c>
      <c r="D46" s="213">
        <f ca="1">Roadmap!L130</f>
        <v>0</v>
      </c>
      <c r="E46" s="213">
        <f ca="1">Roadmap!L131</f>
        <v>0</v>
      </c>
      <c r="F46" s="213">
        <f ca="1">Roadmap!L132</f>
        <v>0</v>
      </c>
      <c r="G46" s="214">
        <f t="shared" ca="1" si="6"/>
        <v>0</v>
      </c>
      <c r="H46" s="215"/>
      <c r="I46" s="205"/>
      <c r="J46" s="205"/>
      <c r="K46" s="205"/>
      <c r="L46" s="205"/>
      <c r="M46" s="205"/>
      <c r="N46" s="205"/>
      <c r="T46" s="220" t="str">
        <f>Interview!$B$188</f>
        <v>Operations</v>
      </c>
      <c r="U46" s="225" t="str">
        <f>Interview!$B$189</f>
        <v>Incident Management</v>
      </c>
      <c r="V46" s="213">
        <v>0</v>
      </c>
      <c r="W46" s="213">
        <v>0</v>
      </c>
      <c r="X46" s="213">
        <v>0</v>
      </c>
      <c r="Y46" s="213">
        <v>0</v>
      </c>
      <c r="Z46" s="213">
        <f ca="1">C46</f>
        <v>0</v>
      </c>
    </row>
    <row r="47" spans="1:26" ht="25" customHeight="1" x14ac:dyDescent="0.2">
      <c r="A47" s="220" t="str">
        <f>Interview!$B$188</f>
        <v>Operations</v>
      </c>
      <c r="B47" s="225" t="str">
        <f>Interview!$B$203</f>
        <v>Environment Management</v>
      </c>
      <c r="C47" s="213">
        <f ca="1">Roadmap!M139</f>
        <v>0</v>
      </c>
      <c r="D47" s="213">
        <f ca="1">Roadmap!L139</f>
        <v>0</v>
      </c>
      <c r="E47" s="213">
        <f ca="1">Roadmap!L140</f>
        <v>0</v>
      </c>
      <c r="F47" s="213">
        <f ca="1">Roadmap!L141</f>
        <v>0</v>
      </c>
      <c r="G47" s="214">
        <f t="shared" ca="1" si="6"/>
        <v>0</v>
      </c>
      <c r="H47" s="215"/>
      <c r="I47" s="205"/>
      <c r="J47" s="205"/>
      <c r="K47" s="205"/>
      <c r="L47" s="205"/>
      <c r="M47" s="205"/>
      <c r="N47" s="205"/>
      <c r="T47" s="220" t="str">
        <f>Interview!$B$188</f>
        <v>Operations</v>
      </c>
      <c r="U47" s="225" t="str">
        <f>Interview!$B$203</f>
        <v>Environment Management</v>
      </c>
      <c r="V47" s="213">
        <v>0</v>
      </c>
      <c r="W47" s="213">
        <v>0</v>
      </c>
      <c r="X47" s="213">
        <v>0</v>
      </c>
      <c r="Y47" s="213">
        <v>0</v>
      </c>
      <c r="Z47" s="213">
        <f ca="1">C47</f>
        <v>0</v>
      </c>
    </row>
    <row r="48" spans="1:26" ht="25" customHeight="1" x14ac:dyDescent="0.2">
      <c r="A48" s="220" t="str">
        <f>Interview!$B$188</f>
        <v>Operations</v>
      </c>
      <c r="B48" s="225" t="str">
        <f>Interview!$B$217</f>
        <v>Operational Management</v>
      </c>
      <c r="C48" s="213">
        <f ca="1">Roadmap!M148</f>
        <v>0</v>
      </c>
      <c r="D48" s="213">
        <f ca="1">Roadmap!L148</f>
        <v>0</v>
      </c>
      <c r="E48" s="213">
        <f ca="1">Roadmap!L149</f>
        <v>0</v>
      </c>
      <c r="F48" s="213">
        <f ca="1">Roadmap!L150</f>
        <v>0</v>
      </c>
      <c r="G48" s="214">
        <f t="shared" ca="1" si="6"/>
        <v>0</v>
      </c>
      <c r="H48" s="215"/>
      <c r="I48" s="205"/>
      <c r="J48" s="205"/>
      <c r="K48" s="205"/>
      <c r="L48" s="205"/>
      <c r="M48" s="205"/>
      <c r="N48" s="205"/>
      <c r="T48" s="220" t="str">
        <f>Interview!$B$188</f>
        <v>Operations</v>
      </c>
      <c r="U48" s="225" t="str">
        <f>Interview!$B$217</f>
        <v>Operational Management</v>
      </c>
      <c r="V48" s="213">
        <v>0</v>
      </c>
      <c r="W48" s="213">
        <v>0</v>
      </c>
      <c r="X48" s="213">
        <v>0</v>
      </c>
      <c r="Y48" s="213">
        <v>0</v>
      </c>
      <c r="Z48" s="213">
        <f ca="1">C48</f>
        <v>0</v>
      </c>
    </row>
    <row r="49" spans="1:26" ht="12.75" customHeight="1" x14ac:dyDescent="0.2">
      <c r="A49" s="205"/>
      <c r="B49" s="205"/>
      <c r="C49" s="205"/>
      <c r="D49" s="205"/>
      <c r="E49" s="205"/>
      <c r="F49" s="205"/>
      <c r="G49" s="205"/>
      <c r="H49" s="205"/>
      <c r="I49" s="205"/>
      <c r="J49" s="205"/>
      <c r="K49" s="205"/>
      <c r="L49" s="205"/>
      <c r="M49" s="205"/>
      <c r="N49" s="205"/>
    </row>
    <row r="50" spans="1:26" ht="12.75" customHeight="1" thickBot="1" x14ac:dyDescent="0.25">
      <c r="K50" s="205"/>
    </row>
    <row r="51" spans="1:26" ht="25" customHeight="1" thickBot="1" x14ac:dyDescent="0.25">
      <c r="A51" s="560" t="s">
        <v>245</v>
      </c>
      <c r="B51" s="561"/>
      <c r="C51" s="561"/>
      <c r="D51" s="561"/>
      <c r="E51" s="561"/>
      <c r="F51" s="561"/>
      <c r="G51" s="561"/>
      <c r="H51" s="561"/>
      <c r="I51" s="561"/>
      <c r="J51" s="562"/>
      <c r="K51" s="205"/>
      <c r="L51" s="560" t="s">
        <v>245</v>
      </c>
      <c r="M51" s="561"/>
      <c r="N51" s="561"/>
      <c r="O51" s="561"/>
      <c r="P51" s="561"/>
      <c r="Q51" s="561"/>
      <c r="R51" s="562"/>
      <c r="T51" s="563" t="s">
        <v>245</v>
      </c>
      <c r="U51" s="561"/>
      <c r="V51" s="561"/>
      <c r="W51" s="561"/>
      <c r="X51" s="561"/>
      <c r="Y51" s="561"/>
      <c r="Z51" s="562"/>
    </row>
    <row r="52" spans="1:26" ht="12" customHeight="1" x14ac:dyDescent="0.2">
      <c r="A52" s="206"/>
      <c r="B52" s="206"/>
      <c r="C52" s="206"/>
      <c r="D52" s="570" t="s">
        <v>238</v>
      </c>
      <c r="E52" s="571"/>
      <c r="F52" s="572"/>
      <c r="G52" s="205"/>
      <c r="H52" s="205"/>
      <c r="I52" s="205"/>
      <c r="J52" s="205"/>
      <c r="K52" s="205"/>
      <c r="L52" s="205"/>
      <c r="M52" s="205"/>
      <c r="N52" s="205"/>
    </row>
    <row r="53" spans="1:26" ht="25" customHeight="1" x14ac:dyDescent="0.2">
      <c r="A53" s="209" t="s">
        <v>239</v>
      </c>
      <c r="B53" s="209" t="s">
        <v>240</v>
      </c>
      <c r="C53" s="209" t="s">
        <v>241</v>
      </c>
      <c r="D53" s="210">
        <v>1</v>
      </c>
      <c r="E53" s="210">
        <v>2</v>
      </c>
      <c r="F53" s="210">
        <v>3</v>
      </c>
      <c r="G53" s="211" t="s">
        <v>242</v>
      </c>
      <c r="H53" s="95"/>
      <c r="I53" s="209" t="s">
        <v>239</v>
      </c>
      <c r="J53" s="209" t="s">
        <v>241</v>
      </c>
      <c r="K53" s="205"/>
      <c r="L53" s="205"/>
      <c r="M53" s="205"/>
      <c r="N53" s="205"/>
      <c r="V53" s="204" t="str">
        <f>T54</f>
        <v>Governance</v>
      </c>
      <c r="W53" s="204" t="str">
        <f>T57</f>
        <v>Design</v>
      </c>
      <c r="X53" s="204" t="str">
        <f>T60</f>
        <v>Implementation</v>
      </c>
      <c r="Y53" s="204" t="str">
        <f>T63</f>
        <v>Verification</v>
      </c>
      <c r="Z53" s="204" t="str">
        <f>T66</f>
        <v>Operations</v>
      </c>
    </row>
    <row r="54" spans="1:26" ht="25" customHeight="1" x14ac:dyDescent="0.2">
      <c r="A54" s="212" t="str">
        <f>Interview!$B$16</f>
        <v>Governance</v>
      </c>
      <c r="B54" s="221" t="str">
        <f>Interview!$D$17</f>
        <v>Strategy &amp; Metrics</v>
      </c>
      <c r="C54" s="213">
        <f ca="1">Roadmap!Q18</f>
        <v>0</v>
      </c>
      <c r="D54" s="213">
        <f ca="1">Roadmap!P18</f>
        <v>0</v>
      </c>
      <c r="E54" s="213">
        <f ca="1">Roadmap!P19</f>
        <v>0</v>
      </c>
      <c r="F54" s="213">
        <f ca="1">Roadmap!P20</f>
        <v>0</v>
      </c>
      <c r="G54" s="214">
        <f t="shared" ref="G54:G59" ca="1" si="7">(((((IF((C54="0+"),0.5,0)+IF((C54=1),1,0))+IF((C54="1+"),1.5,0))+IF((C54=2),2,0))+IF((C54="2+"),2.5,0))+IF((C54=3),3,0))+IF((C54="3+"),3.5,0)</f>
        <v>0</v>
      </c>
      <c r="H54" s="215"/>
      <c r="I54" s="212" t="str">
        <f>A54</f>
        <v>Governance</v>
      </c>
      <c r="J54" s="213">
        <f ca="1">AVERAGE(C54:C56)</f>
        <v>0</v>
      </c>
      <c r="K54" s="205"/>
      <c r="L54" s="205"/>
      <c r="M54" s="205"/>
      <c r="N54" s="205"/>
      <c r="T54" s="212" t="str">
        <f>Interview!$B$16</f>
        <v>Governance</v>
      </c>
      <c r="U54" s="221" t="str">
        <f>Interview!$D$17</f>
        <v>Strategy &amp; Metrics</v>
      </c>
      <c r="V54" s="213">
        <f ca="1">C54</f>
        <v>0</v>
      </c>
      <c r="W54" s="213">
        <v>0</v>
      </c>
      <c r="X54" s="213">
        <v>0</v>
      </c>
      <c r="Y54" s="213">
        <v>0</v>
      </c>
      <c r="Z54" s="213">
        <v>0</v>
      </c>
    </row>
    <row r="55" spans="1:26" ht="25" customHeight="1" x14ac:dyDescent="0.2">
      <c r="A55" s="212" t="str">
        <f>Interview!$B$16</f>
        <v>Governance</v>
      </c>
      <c r="B55" s="221" t="str">
        <f>Interview!$B$31</f>
        <v>Policy &amp; Compliance</v>
      </c>
      <c r="C55" s="213">
        <f ca="1">Roadmap!Q27</f>
        <v>0</v>
      </c>
      <c r="D55" s="213">
        <f ca="1">Roadmap!P27</f>
        <v>0</v>
      </c>
      <c r="E55" s="213">
        <f ca="1">Roadmap!P28</f>
        <v>0</v>
      </c>
      <c r="F55" s="213">
        <f ca="1">Roadmap!P29</f>
        <v>0</v>
      </c>
      <c r="G55" s="214">
        <f t="shared" ca="1" si="7"/>
        <v>0</v>
      </c>
      <c r="H55" s="215"/>
      <c r="I55" s="216" t="str">
        <f>A57</f>
        <v>Design</v>
      </c>
      <c r="J55" s="213">
        <f ca="1">AVERAGE(C57:C59)</f>
        <v>0</v>
      </c>
      <c r="K55" s="205"/>
      <c r="L55" s="205"/>
      <c r="M55" s="205"/>
      <c r="N55" s="205"/>
      <c r="T55" s="212" t="str">
        <f>Interview!$B$16</f>
        <v>Governance</v>
      </c>
      <c r="U55" s="221" t="str">
        <f>Interview!$B$31</f>
        <v>Policy &amp; Compliance</v>
      </c>
      <c r="V55" s="213">
        <f ca="1">C55</f>
        <v>0</v>
      </c>
      <c r="W55" s="213">
        <v>0</v>
      </c>
      <c r="X55" s="213">
        <v>0</v>
      </c>
      <c r="Y55" s="213">
        <v>0</v>
      </c>
      <c r="Z55" s="213">
        <v>0</v>
      </c>
    </row>
    <row r="56" spans="1:26" ht="25" customHeight="1" x14ac:dyDescent="0.2">
      <c r="A56" s="212" t="str">
        <f>Interview!$B$16</f>
        <v>Governance</v>
      </c>
      <c r="B56" s="221" t="str">
        <f>Interview!$B$45</f>
        <v>Education &amp; Guidance</v>
      </c>
      <c r="C56" s="213">
        <f ca="1">Roadmap!Q36</f>
        <v>0</v>
      </c>
      <c r="D56" s="213">
        <f ca="1">Roadmap!P36</f>
        <v>0</v>
      </c>
      <c r="E56" s="213">
        <f ca="1">Roadmap!P37</f>
        <v>0</v>
      </c>
      <c r="F56" s="213">
        <f ca="1">Roadmap!P38</f>
        <v>0</v>
      </c>
      <c r="G56" s="214">
        <f t="shared" ca="1" si="7"/>
        <v>0</v>
      </c>
      <c r="H56" s="215"/>
      <c r="I56" s="218" t="str">
        <f>A60</f>
        <v>Implementation</v>
      </c>
      <c r="J56" s="213">
        <f ca="1">AVERAGE(C60:C62)</f>
        <v>0</v>
      </c>
      <c r="K56" s="205"/>
      <c r="L56" s="205"/>
      <c r="M56" s="205"/>
      <c r="N56" s="205"/>
      <c r="T56" s="212" t="str">
        <f>Interview!$B$16</f>
        <v>Governance</v>
      </c>
      <c r="U56" s="221" t="str">
        <f>Interview!$B$45</f>
        <v>Education &amp; Guidance</v>
      </c>
      <c r="V56" s="213">
        <f ca="1">C56</f>
        <v>0</v>
      </c>
      <c r="W56" s="213">
        <v>0</v>
      </c>
      <c r="X56" s="213">
        <v>0</v>
      </c>
      <c r="Y56" s="213">
        <v>0</v>
      </c>
      <c r="Z56" s="213">
        <v>0</v>
      </c>
    </row>
    <row r="57" spans="1:26" ht="25" customHeight="1" x14ac:dyDescent="0.2">
      <c r="A57" s="216" t="str">
        <f>Interview!$B$59</f>
        <v>Design</v>
      </c>
      <c r="B57" s="222" t="str">
        <f>Interview!$B$60</f>
        <v>Threat Assessment</v>
      </c>
      <c r="C57" s="213">
        <f ca="1">Roadmap!Q46</f>
        <v>0</v>
      </c>
      <c r="D57" s="213">
        <f ca="1">Roadmap!P46</f>
        <v>0</v>
      </c>
      <c r="E57" s="213">
        <f ca="1">Roadmap!P47</f>
        <v>0</v>
      </c>
      <c r="F57" s="213">
        <f ca="1">Roadmap!P48</f>
        <v>0</v>
      </c>
      <c r="G57" s="214">
        <f t="shared" ca="1" si="7"/>
        <v>0</v>
      </c>
      <c r="H57" s="215"/>
      <c r="I57" s="219" t="str">
        <f>A63</f>
        <v>Verification</v>
      </c>
      <c r="J57" s="213">
        <f ca="1">AVERAGE(C63:C65)</f>
        <v>0</v>
      </c>
      <c r="K57" s="205"/>
      <c r="L57" s="205"/>
      <c r="M57" s="205"/>
      <c r="N57" s="205"/>
      <c r="T57" s="216" t="str">
        <f>Interview!$B$59</f>
        <v>Design</v>
      </c>
      <c r="U57" s="222" t="str">
        <f>Interview!$B$60</f>
        <v>Threat Assessment</v>
      </c>
      <c r="V57" s="213">
        <v>0</v>
      </c>
      <c r="W57" s="213">
        <f ca="1">C57</f>
        <v>0</v>
      </c>
      <c r="X57" s="213">
        <v>0</v>
      </c>
      <c r="Y57" s="213">
        <v>0</v>
      </c>
      <c r="Z57" s="213">
        <v>0</v>
      </c>
    </row>
    <row r="58" spans="1:26" ht="25" customHeight="1" x14ac:dyDescent="0.2">
      <c r="A58" s="216" t="str">
        <f>Interview!$B$59</f>
        <v>Design</v>
      </c>
      <c r="B58" s="222" t="str">
        <f>Interview!$B$74</f>
        <v>Security Requirements</v>
      </c>
      <c r="C58" s="213">
        <f ca="1">Roadmap!Q55</f>
        <v>0</v>
      </c>
      <c r="D58" s="213">
        <f ca="1">Roadmap!P55</f>
        <v>0</v>
      </c>
      <c r="E58" s="213">
        <f ca="1">Roadmap!P56</f>
        <v>0</v>
      </c>
      <c r="F58" s="213">
        <f ca="1">Roadmap!P57</f>
        <v>0</v>
      </c>
      <c r="G58" s="214">
        <f t="shared" ca="1" si="7"/>
        <v>0</v>
      </c>
      <c r="H58" s="215"/>
      <c r="I58" s="220" t="str">
        <f>A66</f>
        <v>Operations</v>
      </c>
      <c r="J58" s="213">
        <f ca="1">AVERAGE(C66:C68)</f>
        <v>0</v>
      </c>
      <c r="K58" s="205"/>
      <c r="L58" s="205"/>
      <c r="M58" s="205"/>
      <c r="N58" s="205"/>
      <c r="T58" s="216" t="str">
        <f>Interview!$B$59</f>
        <v>Design</v>
      </c>
      <c r="U58" s="222" t="str">
        <f>Interview!$B$74</f>
        <v>Security Requirements</v>
      </c>
      <c r="V58" s="213">
        <v>0</v>
      </c>
      <c r="W58" s="213">
        <f ca="1">C58</f>
        <v>0</v>
      </c>
      <c r="X58" s="213">
        <v>0</v>
      </c>
      <c r="Y58" s="213">
        <v>0</v>
      </c>
      <c r="Z58" s="213">
        <v>0</v>
      </c>
    </row>
    <row r="59" spans="1:26" ht="25" customHeight="1" x14ac:dyDescent="0.2">
      <c r="A59" s="216" t="str">
        <f>Interview!$B$59</f>
        <v>Design</v>
      </c>
      <c r="B59" s="222" t="str">
        <f>Interview!$B$88</f>
        <v>Secure Architecture</v>
      </c>
      <c r="C59" s="213">
        <f ca="1">Roadmap!Q64</f>
        <v>0</v>
      </c>
      <c r="D59" s="213">
        <f ca="1">Roadmap!P64</f>
        <v>0</v>
      </c>
      <c r="E59" s="213">
        <f ca="1">Roadmap!P65</f>
        <v>0</v>
      </c>
      <c r="F59" s="213">
        <f ca="1">Roadmap!P66</f>
        <v>0</v>
      </c>
      <c r="G59" s="214">
        <f t="shared" ca="1" si="7"/>
        <v>0</v>
      </c>
      <c r="H59" s="215"/>
      <c r="I59" s="217" t="s">
        <v>243</v>
      </c>
      <c r="J59" s="213">
        <f ca="1">AVERAGE(J54:J58)</f>
        <v>0</v>
      </c>
      <c r="K59" s="205"/>
      <c r="L59" s="205"/>
      <c r="M59" s="205"/>
      <c r="N59" s="205"/>
      <c r="T59" s="216" t="str">
        <f>Interview!$B$59</f>
        <v>Design</v>
      </c>
      <c r="U59" s="222" t="str">
        <f>Interview!$B$88</f>
        <v>Secure Architecture</v>
      </c>
      <c r="V59" s="213">
        <v>0</v>
      </c>
      <c r="W59" s="213">
        <f ca="1">C59</f>
        <v>0</v>
      </c>
      <c r="X59" s="213">
        <v>0</v>
      </c>
      <c r="Y59" s="213">
        <v>0</v>
      </c>
      <c r="Z59" s="213">
        <v>0</v>
      </c>
    </row>
    <row r="60" spans="1:26" ht="25" customHeight="1" x14ac:dyDescent="0.2">
      <c r="A60" s="218" t="str">
        <f>Interview!$B$102</f>
        <v>Implementation</v>
      </c>
      <c r="B60" s="223" t="str">
        <f>Interview!$B$103</f>
        <v>Secure Build</v>
      </c>
      <c r="C60" s="213">
        <f ca="1">Roadmap!Q74</f>
        <v>0</v>
      </c>
      <c r="D60" s="213">
        <f ca="1">Roadmap!P74</f>
        <v>0</v>
      </c>
      <c r="E60" s="213">
        <f ca="1">Roadmap!P75</f>
        <v>0</v>
      </c>
      <c r="F60" s="213">
        <f ca="1">Roadmap!P76</f>
        <v>0</v>
      </c>
      <c r="G60" s="214">
        <f ca="1">(((((IF((C60="0+"),0.5,0)+IF((C60=1),1,0))+IF((C60="1+"),1.5,0))+IF((C60=2),2,0))+IF((C60="2+"),2.5,0))+IF((C60=3),3,0))+IF((C60="3+"),3.5,0)</f>
        <v>0</v>
      </c>
      <c r="H60" s="215"/>
      <c r="I60" s="205"/>
      <c r="J60" s="205"/>
      <c r="K60" s="205"/>
      <c r="L60" s="205"/>
      <c r="M60" s="205"/>
      <c r="N60" s="205"/>
      <c r="T60" s="218" t="str">
        <f>Interview!$B$102</f>
        <v>Implementation</v>
      </c>
      <c r="U60" s="223" t="str">
        <f>Interview!$B$103</f>
        <v>Secure Build</v>
      </c>
      <c r="V60" s="213">
        <v>0</v>
      </c>
      <c r="W60" s="213">
        <v>0</v>
      </c>
      <c r="X60" s="213">
        <f ca="1">C60</f>
        <v>0</v>
      </c>
      <c r="Y60" s="213">
        <v>0</v>
      </c>
      <c r="Z60" s="213">
        <v>0</v>
      </c>
    </row>
    <row r="61" spans="1:26" ht="25" customHeight="1" x14ac:dyDescent="0.2">
      <c r="A61" s="218" t="str">
        <f>Interview!$B$102</f>
        <v>Implementation</v>
      </c>
      <c r="B61" s="223" t="str">
        <f>Interview!$B$117</f>
        <v>Secure Deployment</v>
      </c>
      <c r="C61" s="213">
        <f ca="1">Roadmap!Q83</f>
        <v>0</v>
      </c>
      <c r="D61" s="213">
        <f ca="1">Roadmap!P83</f>
        <v>0</v>
      </c>
      <c r="E61" s="213">
        <f ca="1">Roadmap!P84</f>
        <v>0</v>
      </c>
      <c r="F61" s="213">
        <f ca="1">Roadmap!P85</f>
        <v>0</v>
      </c>
      <c r="G61" s="214">
        <f ca="1">(((((IF((C61="0+"),0.5,0)+IF((C61=1),1,0))+IF((C61="1+"),1.5,0))+IF((C61=2),2,0))+IF((C61="2+"),2.5,0))+IF((C61=3),3,0))+IF((C61="3+"),3.5,0)</f>
        <v>0</v>
      </c>
      <c r="H61" s="215"/>
      <c r="I61" s="205"/>
      <c r="J61" s="205"/>
      <c r="K61" s="205"/>
      <c r="L61" s="205"/>
      <c r="M61" s="205"/>
      <c r="N61" s="205"/>
      <c r="T61" s="218" t="str">
        <f>Interview!$B$102</f>
        <v>Implementation</v>
      </c>
      <c r="U61" s="223" t="str">
        <f>Interview!$B$117</f>
        <v>Secure Deployment</v>
      </c>
      <c r="V61" s="213">
        <v>0</v>
      </c>
      <c r="W61" s="213">
        <v>0</v>
      </c>
      <c r="X61" s="213">
        <f ca="1">C61</f>
        <v>0</v>
      </c>
      <c r="Y61" s="213">
        <v>0</v>
      </c>
      <c r="Z61" s="213">
        <v>0</v>
      </c>
    </row>
    <row r="62" spans="1:26" ht="25" customHeight="1" x14ac:dyDescent="0.2">
      <c r="A62" s="218" t="str">
        <f>Interview!$B$102</f>
        <v>Implementation</v>
      </c>
      <c r="B62" s="223" t="str">
        <f>Interview!$B$131</f>
        <v>Defect Management</v>
      </c>
      <c r="C62" s="213">
        <f ca="1">Roadmap!Q92</f>
        <v>0</v>
      </c>
      <c r="D62" s="213">
        <f ca="1">Roadmap!P92</f>
        <v>0</v>
      </c>
      <c r="E62" s="213">
        <f ca="1">Roadmap!P93</f>
        <v>0</v>
      </c>
      <c r="F62" s="213">
        <f ca="1">Roadmap!P94</f>
        <v>0</v>
      </c>
      <c r="G62" s="214">
        <f ca="1">(((((IF((C62="0+"),0.5,0)+IF((C62=1),1,0))+IF((C62="1+"),1.5,0))+IF((C62=2),2,0))+IF((C62="2+"),2.5,0))+IF((C62=3),3,0))+IF((C62="3+"),3.5,0)</f>
        <v>0</v>
      </c>
      <c r="H62" s="215"/>
      <c r="I62" s="205"/>
      <c r="J62" s="205"/>
      <c r="K62" s="205"/>
      <c r="L62" s="205"/>
      <c r="M62" s="205"/>
      <c r="N62" s="205"/>
      <c r="T62" s="218" t="str">
        <f>Interview!$B$102</f>
        <v>Implementation</v>
      </c>
      <c r="U62" s="223" t="str">
        <f>Interview!$B$131</f>
        <v>Defect Management</v>
      </c>
      <c r="V62" s="213">
        <v>0</v>
      </c>
      <c r="W62" s="213">
        <v>0</v>
      </c>
      <c r="X62" s="213">
        <f ca="1">C62</f>
        <v>0</v>
      </c>
      <c r="Y62" s="213">
        <v>0</v>
      </c>
      <c r="Z62" s="213">
        <v>0</v>
      </c>
    </row>
    <row r="63" spans="1:26" ht="25" customHeight="1" x14ac:dyDescent="0.2">
      <c r="A63" s="219" t="str">
        <f>Interview!$B$145</f>
        <v>Verification</v>
      </c>
      <c r="B63" s="224" t="str">
        <f>Interview!$B$146</f>
        <v>Architecture Assessment</v>
      </c>
      <c r="C63" s="213">
        <f ca="1">Roadmap!Q102</f>
        <v>0</v>
      </c>
      <c r="D63" s="213">
        <f ca="1">Roadmap!P102</f>
        <v>0</v>
      </c>
      <c r="E63" s="213">
        <f ca="1">Roadmap!P103</f>
        <v>0</v>
      </c>
      <c r="F63" s="213">
        <f ca="1">Roadmap!P104</f>
        <v>0</v>
      </c>
      <c r="G63" s="214">
        <f t="shared" ref="G63:G68" ca="1" si="8">(((((IF((C63="0+"),0.5,0)+IF((C63=1),1,0))+IF((C63="1+"),1.5,0))+IF((C63=2),2,0))+IF((C63="2+"),2.5,0))+IF((C63=3),3,0))+IF((C63="3+"),3.5,0)</f>
        <v>0</v>
      </c>
      <c r="H63" s="215"/>
      <c r="I63" s="205"/>
      <c r="J63" s="205"/>
      <c r="K63" s="205"/>
      <c r="L63" s="205"/>
      <c r="M63" s="205"/>
      <c r="N63" s="205"/>
      <c r="T63" s="219" t="str">
        <f>Interview!$B$145</f>
        <v>Verification</v>
      </c>
      <c r="U63" s="224" t="str">
        <f>Interview!$B$146</f>
        <v>Architecture Assessment</v>
      </c>
      <c r="V63" s="213">
        <v>0</v>
      </c>
      <c r="W63" s="213">
        <v>0</v>
      </c>
      <c r="X63" s="213">
        <v>0</v>
      </c>
      <c r="Y63" s="213">
        <f ca="1">C63</f>
        <v>0</v>
      </c>
      <c r="Z63" s="213">
        <v>0</v>
      </c>
    </row>
    <row r="64" spans="1:26" ht="25" customHeight="1" x14ac:dyDescent="0.2">
      <c r="A64" s="219" t="str">
        <f>Interview!$B$145</f>
        <v>Verification</v>
      </c>
      <c r="B64" s="224" t="str">
        <f>Interview!$B$160</f>
        <v>Requirements Testing</v>
      </c>
      <c r="C64" s="213">
        <f ca="1">Roadmap!Q111</f>
        <v>0</v>
      </c>
      <c r="D64" s="213">
        <f ca="1">Roadmap!P111</f>
        <v>0</v>
      </c>
      <c r="E64" s="213">
        <f ca="1">Roadmap!P112</f>
        <v>0</v>
      </c>
      <c r="F64" s="213">
        <f ca="1">Roadmap!P113</f>
        <v>0</v>
      </c>
      <c r="G64" s="214">
        <f t="shared" ca="1" si="8"/>
        <v>0</v>
      </c>
      <c r="H64" s="215"/>
      <c r="I64" s="205"/>
      <c r="J64" s="205"/>
      <c r="K64" s="205"/>
      <c r="L64" s="205"/>
      <c r="M64" s="205"/>
      <c r="N64" s="205"/>
      <c r="T64" s="219" t="str">
        <f>Interview!$B$145</f>
        <v>Verification</v>
      </c>
      <c r="U64" s="224" t="str">
        <f>Interview!$B$160</f>
        <v>Requirements Testing</v>
      </c>
      <c r="V64" s="213">
        <v>0</v>
      </c>
      <c r="W64" s="213">
        <v>0</v>
      </c>
      <c r="X64" s="213">
        <v>0</v>
      </c>
      <c r="Y64" s="213">
        <f ca="1">C64</f>
        <v>0</v>
      </c>
      <c r="Z64" s="213">
        <v>0</v>
      </c>
    </row>
    <row r="65" spans="1:26" ht="25" customHeight="1" x14ac:dyDescent="0.2">
      <c r="A65" s="219" t="str">
        <f>Interview!$B$145</f>
        <v>Verification</v>
      </c>
      <c r="B65" s="224" t="str">
        <f>Interview!$B$174</f>
        <v>Security Testing</v>
      </c>
      <c r="C65" s="213">
        <f ca="1">Roadmap!Q120</f>
        <v>0</v>
      </c>
      <c r="D65" s="213">
        <f ca="1">Roadmap!P120</f>
        <v>0</v>
      </c>
      <c r="E65" s="213">
        <f ca="1">Roadmap!P121</f>
        <v>0</v>
      </c>
      <c r="F65" s="213">
        <f ca="1">Roadmap!P122</f>
        <v>0</v>
      </c>
      <c r="G65" s="214">
        <f t="shared" ca="1" si="8"/>
        <v>0</v>
      </c>
      <c r="H65" s="215"/>
      <c r="I65" s="205"/>
      <c r="J65" s="205"/>
      <c r="K65" s="205"/>
      <c r="L65" s="205"/>
      <c r="M65" s="205"/>
      <c r="N65" s="205"/>
      <c r="T65" s="219" t="str">
        <f>Interview!$B$145</f>
        <v>Verification</v>
      </c>
      <c r="U65" s="224" t="str">
        <f>Interview!$B$174</f>
        <v>Security Testing</v>
      </c>
      <c r="V65" s="213">
        <v>0</v>
      </c>
      <c r="W65" s="213">
        <v>0</v>
      </c>
      <c r="X65" s="213">
        <v>0</v>
      </c>
      <c r="Y65" s="213">
        <f ca="1">C65</f>
        <v>0</v>
      </c>
      <c r="Z65" s="213">
        <v>0</v>
      </c>
    </row>
    <row r="66" spans="1:26" ht="25" customHeight="1" x14ac:dyDescent="0.2">
      <c r="A66" s="220" t="str">
        <f>Interview!$B$188</f>
        <v>Operations</v>
      </c>
      <c r="B66" s="225" t="str">
        <f>Interview!$B$189</f>
        <v>Incident Management</v>
      </c>
      <c r="C66" s="213">
        <f ca="1">Roadmap!Q130</f>
        <v>0</v>
      </c>
      <c r="D66" s="213">
        <f ca="1">Roadmap!P130</f>
        <v>0</v>
      </c>
      <c r="E66" s="213">
        <f ca="1">Roadmap!P131</f>
        <v>0</v>
      </c>
      <c r="F66" s="213">
        <f ca="1">Roadmap!P132</f>
        <v>0</v>
      </c>
      <c r="G66" s="214">
        <f t="shared" ca="1" si="8"/>
        <v>0</v>
      </c>
      <c r="H66" s="215"/>
      <c r="I66" s="205"/>
      <c r="J66" s="205"/>
      <c r="K66" s="205"/>
      <c r="L66" s="205"/>
      <c r="M66" s="205"/>
      <c r="N66" s="205"/>
      <c r="T66" s="220" t="str">
        <f>Interview!$B$188</f>
        <v>Operations</v>
      </c>
      <c r="U66" s="225" t="str">
        <f>Interview!$B$189</f>
        <v>Incident Management</v>
      </c>
      <c r="V66" s="213">
        <v>0</v>
      </c>
      <c r="W66" s="213">
        <v>0</v>
      </c>
      <c r="X66" s="213">
        <v>0</v>
      </c>
      <c r="Y66" s="213">
        <v>0</v>
      </c>
      <c r="Z66" s="213">
        <f ca="1">C66</f>
        <v>0</v>
      </c>
    </row>
    <row r="67" spans="1:26" ht="25" customHeight="1" x14ac:dyDescent="0.2">
      <c r="A67" s="220" t="str">
        <f>Interview!$B$188</f>
        <v>Operations</v>
      </c>
      <c r="B67" s="225" t="str">
        <f>Interview!$B$203</f>
        <v>Environment Management</v>
      </c>
      <c r="C67" s="213">
        <f ca="1">Roadmap!Q139</f>
        <v>0</v>
      </c>
      <c r="D67" s="213">
        <f ca="1">Roadmap!P139</f>
        <v>0</v>
      </c>
      <c r="E67" s="213">
        <f ca="1">Roadmap!P140</f>
        <v>0</v>
      </c>
      <c r="F67" s="213">
        <f ca="1">Roadmap!P141</f>
        <v>0</v>
      </c>
      <c r="G67" s="214">
        <f t="shared" ca="1" si="8"/>
        <v>0</v>
      </c>
      <c r="H67" s="215"/>
      <c r="I67" s="205"/>
      <c r="J67" s="205"/>
      <c r="K67" s="205"/>
      <c r="L67" s="205"/>
      <c r="M67" s="205"/>
      <c r="N67" s="205"/>
      <c r="T67" s="220" t="str">
        <f>Interview!$B$188</f>
        <v>Operations</v>
      </c>
      <c r="U67" s="225" t="str">
        <f>Interview!$B$203</f>
        <v>Environment Management</v>
      </c>
      <c r="V67" s="213">
        <v>0</v>
      </c>
      <c r="W67" s="213">
        <v>0</v>
      </c>
      <c r="X67" s="213">
        <v>0</v>
      </c>
      <c r="Y67" s="213">
        <v>0</v>
      </c>
      <c r="Z67" s="213">
        <f ca="1">C67</f>
        <v>0</v>
      </c>
    </row>
    <row r="68" spans="1:26" ht="25" customHeight="1" x14ac:dyDescent="0.2">
      <c r="A68" s="220" t="str">
        <f>Interview!$B$188</f>
        <v>Operations</v>
      </c>
      <c r="B68" s="225" t="str">
        <f>Interview!$B$217</f>
        <v>Operational Management</v>
      </c>
      <c r="C68" s="213">
        <f ca="1">Roadmap!Q148</f>
        <v>0</v>
      </c>
      <c r="D68" s="213">
        <f ca="1">Roadmap!P148</f>
        <v>0</v>
      </c>
      <c r="E68" s="213">
        <f ca="1">Roadmap!P149</f>
        <v>0</v>
      </c>
      <c r="F68" s="213">
        <f ca="1">Roadmap!P150</f>
        <v>0</v>
      </c>
      <c r="G68" s="214">
        <f t="shared" ca="1" si="8"/>
        <v>0</v>
      </c>
      <c r="H68" s="215"/>
      <c r="I68" s="205"/>
      <c r="J68" s="205"/>
      <c r="K68" s="205"/>
      <c r="L68" s="205"/>
      <c r="M68" s="205"/>
      <c r="N68" s="205"/>
      <c r="T68" s="220" t="str">
        <f>Interview!$B$188</f>
        <v>Operations</v>
      </c>
      <c r="U68" s="225" t="str">
        <f>Interview!$B$217</f>
        <v>Operational Management</v>
      </c>
      <c r="V68" s="213">
        <v>0</v>
      </c>
      <c r="W68" s="213">
        <v>0</v>
      </c>
      <c r="X68" s="213">
        <v>0</v>
      </c>
      <c r="Y68" s="213">
        <v>0</v>
      </c>
      <c r="Z68" s="213">
        <f ca="1">C68</f>
        <v>0</v>
      </c>
    </row>
    <row r="69" spans="1:26" ht="12.75" customHeight="1" thickBot="1" x14ac:dyDescent="0.25">
      <c r="K69" s="205"/>
    </row>
    <row r="70" spans="1:26" ht="25" customHeight="1" thickBot="1" x14ac:dyDescent="0.25">
      <c r="A70" s="560" t="s">
        <v>246</v>
      </c>
      <c r="B70" s="561"/>
      <c r="C70" s="561"/>
      <c r="D70" s="561"/>
      <c r="E70" s="561"/>
      <c r="F70" s="561"/>
      <c r="G70" s="561"/>
      <c r="H70" s="561"/>
      <c r="I70" s="561"/>
      <c r="J70" s="562"/>
      <c r="K70" s="205"/>
      <c r="L70" s="560" t="s">
        <v>246</v>
      </c>
      <c r="M70" s="561"/>
      <c r="N70" s="561"/>
      <c r="O70" s="561"/>
      <c r="P70" s="561"/>
      <c r="Q70" s="561"/>
      <c r="R70" s="562"/>
      <c r="T70" s="563" t="s">
        <v>246</v>
      </c>
      <c r="U70" s="561"/>
      <c r="V70" s="561"/>
      <c r="W70" s="561"/>
      <c r="X70" s="561"/>
      <c r="Y70" s="561"/>
      <c r="Z70" s="562"/>
    </row>
    <row r="71" spans="1:26" ht="12" customHeight="1" x14ac:dyDescent="0.2">
      <c r="A71" s="206"/>
      <c r="B71" s="206"/>
      <c r="C71" s="206"/>
      <c r="D71" s="570" t="s">
        <v>238</v>
      </c>
      <c r="E71" s="571"/>
      <c r="F71" s="572"/>
      <c r="G71" s="205"/>
      <c r="H71" s="205"/>
      <c r="I71" s="205"/>
      <c r="J71" s="205"/>
      <c r="K71" s="205"/>
      <c r="L71" s="205"/>
      <c r="M71" s="205"/>
      <c r="N71" s="205"/>
    </row>
    <row r="72" spans="1:26" ht="25" customHeight="1" x14ac:dyDescent="0.2">
      <c r="A72" s="209" t="s">
        <v>239</v>
      </c>
      <c r="B72" s="209" t="s">
        <v>240</v>
      </c>
      <c r="C72" s="209" t="s">
        <v>241</v>
      </c>
      <c r="D72" s="210">
        <v>1</v>
      </c>
      <c r="E72" s="210">
        <v>2</v>
      </c>
      <c r="F72" s="210">
        <v>3</v>
      </c>
      <c r="G72" s="211" t="s">
        <v>242</v>
      </c>
      <c r="H72" s="95"/>
      <c r="I72" s="209" t="s">
        <v>239</v>
      </c>
      <c r="J72" s="209" t="s">
        <v>241</v>
      </c>
      <c r="K72" s="205"/>
      <c r="L72" s="205"/>
      <c r="M72" s="205"/>
      <c r="N72" s="205"/>
      <c r="V72" s="204" t="str">
        <f>T73</f>
        <v>Governance</v>
      </c>
      <c r="W72" s="204" t="str">
        <f>T76</f>
        <v>Design</v>
      </c>
      <c r="X72" s="204" t="str">
        <f>T79</f>
        <v>Implementation</v>
      </c>
      <c r="Y72" s="204" t="str">
        <f>T82</f>
        <v>Verification</v>
      </c>
      <c r="Z72" s="204" t="str">
        <f>T85</f>
        <v>Operations</v>
      </c>
    </row>
    <row r="73" spans="1:26" ht="25" customHeight="1" x14ac:dyDescent="0.2">
      <c r="A73" s="212" t="str">
        <f>Interview!$B$16</f>
        <v>Governance</v>
      </c>
      <c r="B73" s="221" t="str">
        <f>Interview!$D$17</f>
        <v>Strategy &amp; Metrics</v>
      </c>
      <c r="C73" s="213">
        <f ca="1">Roadmap!U18</f>
        <v>0</v>
      </c>
      <c r="D73" s="213">
        <f ca="1">Roadmap!T18</f>
        <v>0</v>
      </c>
      <c r="E73" s="213">
        <f ca="1">Roadmap!T19</f>
        <v>0</v>
      </c>
      <c r="F73" s="213">
        <f ca="1">Roadmap!T20</f>
        <v>0</v>
      </c>
      <c r="G73" s="214">
        <f t="shared" ref="G73:G78" ca="1" si="9">(((((IF((C73="0+"),0.5,0)+IF((C73=1),1,0))+IF((C73="1+"),1.5,0))+IF((C73=2),2,0))+IF((C73="2+"),2.5,0))+IF((C73=3),3,0))+IF((C73="3+"),3.5,0)</f>
        <v>0</v>
      </c>
      <c r="H73" s="215"/>
      <c r="I73" s="212" t="str">
        <f>A73</f>
        <v>Governance</v>
      </c>
      <c r="J73" s="213">
        <f ca="1">AVERAGE(C73:C75)</f>
        <v>0</v>
      </c>
      <c r="K73" s="205"/>
      <c r="L73" s="205"/>
      <c r="M73" s="205"/>
      <c r="N73" s="205"/>
      <c r="T73" s="212" t="str">
        <f>Interview!$B$16</f>
        <v>Governance</v>
      </c>
      <c r="U73" s="221" t="str">
        <f>Interview!$D$17</f>
        <v>Strategy &amp; Metrics</v>
      </c>
      <c r="V73" s="213">
        <f ca="1">C73</f>
        <v>0</v>
      </c>
      <c r="W73" s="213">
        <v>0</v>
      </c>
      <c r="X73" s="213">
        <v>0</v>
      </c>
      <c r="Y73" s="213">
        <v>0</v>
      </c>
      <c r="Z73" s="213">
        <v>0</v>
      </c>
    </row>
    <row r="74" spans="1:26" ht="25" customHeight="1" x14ac:dyDescent="0.2">
      <c r="A74" s="212" t="str">
        <f>Interview!$B$16</f>
        <v>Governance</v>
      </c>
      <c r="B74" s="221" t="str">
        <f>Interview!$B$31</f>
        <v>Policy &amp; Compliance</v>
      </c>
      <c r="C74" s="213">
        <f ca="1">Roadmap!U27</f>
        <v>0</v>
      </c>
      <c r="D74" s="213">
        <f ca="1">Roadmap!T27</f>
        <v>0</v>
      </c>
      <c r="E74" s="213">
        <f ca="1">Roadmap!T28</f>
        <v>0</v>
      </c>
      <c r="F74" s="213">
        <f ca="1">Roadmap!T29</f>
        <v>0</v>
      </c>
      <c r="G74" s="214">
        <f t="shared" ca="1" si="9"/>
        <v>0</v>
      </c>
      <c r="H74" s="215"/>
      <c r="I74" s="216" t="str">
        <f>A76</f>
        <v>Design</v>
      </c>
      <c r="J74" s="213">
        <f ca="1">AVERAGE(C76:C78)</f>
        <v>0</v>
      </c>
      <c r="K74" s="205"/>
      <c r="L74" s="205"/>
      <c r="M74" s="205"/>
      <c r="N74" s="205"/>
      <c r="T74" s="212" t="str">
        <f>Interview!$B$16</f>
        <v>Governance</v>
      </c>
      <c r="U74" s="221" t="str">
        <f>Interview!$B$31</f>
        <v>Policy &amp; Compliance</v>
      </c>
      <c r="V74" s="213">
        <f ca="1">C74</f>
        <v>0</v>
      </c>
      <c r="W74" s="213">
        <v>0</v>
      </c>
      <c r="X74" s="213">
        <v>0</v>
      </c>
      <c r="Y74" s="213">
        <v>0</v>
      </c>
      <c r="Z74" s="213">
        <v>0</v>
      </c>
    </row>
    <row r="75" spans="1:26" ht="25" customHeight="1" x14ac:dyDescent="0.2">
      <c r="A75" s="212" t="str">
        <f>Interview!$B$16</f>
        <v>Governance</v>
      </c>
      <c r="B75" s="221" t="str">
        <f>Interview!$B$45</f>
        <v>Education &amp; Guidance</v>
      </c>
      <c r="C75" s="213">
        <f ca="1">Roadmap!U36</f>
        <v>0</v>
      </c>
      <c r="D75" s="213">
        <f ca="1">Roadmap!T36</f>
        <v>0</v>
      </c>
      <c r="E75" s="213">
        <f ca="1">Roadmap!T37</f>
        <v>0</v>
      </c>
      <c r="F75" s="213">
        <f ca="1">Roadmap!T38</f>
        <v>0</v>
      </c>
      <c r="G75" s="214">
        <f t="shared" ca="1" si="9"/>
        <v>0</v>
      </c>
      <c r="H75" s="215"/>
      <c r="I75" s="218" t="str">
        <f>A79</f>
        <v>Implementation</v>
      </c>
      <c r="J75" s="213">
        <f ca="1">AVERAGE(C79:C81)</f>
        <v>0</v>
      </c>
      <c r="K75" s="205"/>
      <c r="L75" s="205"/>
      <c r="M75" s="205"/>
      <c r="N75" s="205"/>
      <c r="T75" s="212" t="str">
        <f>Interview!$B$16</f>
        <v>Governance</v>
      </c>
      <c r="U75" s="221" t="str">
        <f>Interview!$B$45</f>
        <v>Education &amp; Guidance</v>
      </c>
      <c r="V75" s="213">
        <f ca="1">C75</f>
        <v>0</v>
      </c>
      <c r="W75" s="213">
        <v>0</v>
      </c>
      <c r="X75" s="213">
        <v>0</v>
      </c>
      <c r="Y75" s="213">
        <v>0</v>
      </c>
      <c r="Z75" s="213">
        <v>0</v>
      </c>
    </row>
    <row r="76" spans="1:26" ht="25" customHeight="1" x14ac:dyDescent="0.2">
      <c r="A76" s="216" t="str">
        <f>Interview!$B$59</f>
        <v>Design</v>
      </c>
      <c r="B76" s="222" t="str">
        <f>Interview!$B$60</f>
        <v>Threat Assessment</v>
      </c>
      <c r="C76" s="213">
        <f ca="1">Roadmap!U46</f>
        <v>0</v>
      </c>
      <c r="D76" s="213">
        <f ca="1">Roadmap!T46</f>
        <v>0</v>
      </c>
      <c r="E76" s="213">
        <f ca="1">Roadmap!T47</f>
        <v>0</v>
      </c>
      <c r="F76" s="213">
        <f ca="1">Roadmap!T48</f>
        <v>0</v>
      </c>
      <c r="G76" s="214">
        <f t="shared" ca="1" si="9"/>
        <v>0</v>
      </c>
      <c r="H76" s="215"/>
      <c r="I76" s="219" t="str">
        <f>A82</f>
        <v>Verification</v>
      </c>
      <c r="J76" s="213">
        <f ca="1">AVERAGE(C82:C84)</f>
        <v>0</v>
      </c>
      <c r="K76" s="205"/>
      <c r="L76" s="205"/>
      <c r="M76" s="205"/>
      <c r="N76" s="205"/>
      <c r="T76" s="216" t="str">
        <f>Interview!$B$59</f>
        <v>Design</v>
      </c>
      <c r="U76" s="222" t="str">
        <f>Interview!$B$60</f>
        <v>Threat Assessment</v>
      </c>
      <c r="V76" s="213">
        <v>0</v>
      </c>
      <c r="W76" s="213">
        <f ca="1">C76</f>
        <v>0</v>
      </c>
      <c r="X76" s="213">
        <v>0</v>
      </c>
      <c r="Y76" s="213">
        <v>0</v>
      </c>
      <c r="Z76" s="213">
        <v>0</v>
      </c>
    </row>
    <row r="77" spans="1:26" ht="25" customHeight="1" x14ac:dyDescent="0.2">
      <c r="A77" s="216" t="str">
        <f>Interview!$B$59</f>
        <v>Design</v>
      </c>
      <c r="B77" s="222" t="str">
        <f>Interview!$B$74</f>
        <v>Security Requirements</v>
      </c>
      <c r="C77" s="213">
        <f ca="1">Roadmap!U55</f>
        <v>0</v>
      </c>
      <c r="D77" s="213">
        <f ca="1">Roadmap!T55</f>
        <v>0</v>
      </c>
      <c r="E77" s="213">
        <f ca="1">Roadmap!T56</f>
        <v>0</v>
      </c>
      <c r="F77" s="213">
        <f ca="1">Roadmap!T57</f>
        <v>0</v>
      </c>
      <c r="G77" s="214">
        <f t="shared" ca="1" si="9"/>
        <v>0</v>
      </c>
      <c r="H77" s="215"/>
      <c r="I77" s="220" t="str">
        <f>A85</f>
        <v>Operations</v>
      </c>
      <c r="J77" s="213">
        <f ca="1">AVERAGE(C85:C87)</f>
        <v>0</v>
      </c>
      <c r="K77" s="205"/>
      <c r="L77" s="455"/>
      <c r="M77" s="205"/>
      <c r="N77" s="205"/>
      <c r="T77" s="216" t="str">
        <f>Interview!$B$59</f>
        <v>Design</v>
      </c>
      <c r="U77" s="222" t="str">
        <f>Interview!$B$74</f>
        <v>Security Requirements</v>
      </c>
      <c r="V77" s="213">
        <v>0</v>
      </c>
      <c r="W77" s="213">
        <f ca="1">C77</f>
        <v>0</v>
      </c>
      <c r="X77" s="213">
        <v>0</v>
      </c>
      <c r="Y77" s="213">
        <v>0</v>
      </c>
      <c r="Z77" s="213">
        <v>0</v>
      </c>
    </row>
    <row r="78" spans="1:26" ht="25" customHeight="1" x14ac:dyDescent="0.2">
      <c r="A78" s="216" t="str">
        <f>Interview!$B$59</f>
        <v>Design</v>
      </c>
      <c r="B78" s="222" t="str">
        <f>Interview!$B$88</f>
        <v>Secure Architecture</v>
      </c>
      <c r="C78" s="213">
        <f ca="1">Roadmap!U64</f>
        <v>0</v>
      </c>
      <c r="D78" s="213">
        <f ca="1">Roadmap!T64</f>
        <v>0</v>
      </c>
      <c r="E78" s="213">
        <f ca="1">Roadmap!T65</f>
        <v>0</v>
      </c>
      <c r="F78" s="213">
        <f ca="1">Roadmap!T66</f>
        <v>0</v>
      </c>
      <c r="G78" s="214">
        <f t="shared" ca="1" si="9"/>
        <v>0</v>
      </c>
      <c r="H78" s="215"/>
      <c r="I78" s="217" t="s">
        <v>243</v>
      </c>
      <c r="J78" s="213">
        <f ca="1">AVERAGE(J73:J77)</f>
        <v>0</v>
      </c>
      <c r="K78" s="205"/>
      <c r="L78" s="455"/>
      <c r="M78" s="205"/>
      <c r="N78" s="205"/>
      <c r="T78" s="216" t="str">
        <f>Interview!$B$59</f>
        <v>Design</v>
      </c>
      <c r="U78" s="222" t="str">
        <f>Interview!$B$88</f>
        <v>Secure Architecture</v>
      </c>
      <c r="V78" s="213">
        <v>0</v>
      </c>
      <c r="W78" s="213">
        <f ca="1">C78</f>
        <v>0</v>
      </c>
      <c r="X78" s="213">
        <v>0</v>
      </c>
      <c r="Y78" s="213">
        <v>0</v>
      </c>
      <c r="Z78" s="213">
        <v>0</v>
      </c>
    </row>
    <row r="79" spans="1:26" ht="25" customHeight="1" x14ac:dyDescent="0.2">
      <c r="A79" s="218" t="str">
        <f>Interview!$B$102</f>
        <v>Implementation</v>
      </c>
      <c r="B79" s="223" t="str">
        <f>Interview!$B$103</f>
        <v>Secure Build</v>
      </c>
      <c r="C79" s="213">
        <f ca="1">Roadmap!U74</f>
        <v>0</v>
      </c>
      <c r="D79" s="213">
        <f ca="1">Roadmap!T74</f>
        <v>0</v>
      </c>
      <c r="E79" s="213">
        <f ca="1">Roadmap!T75</f>
        <v>0</v>
      </c>
      <c r="F79" s="213">
        <f ca="1">Roadmap!T76</f>
        <v>0</v>
      </c>
      <c r="G79" s="214">
        <f ca="1">(((((IF((C79="0+"),0.5,0)+IF((C79=1),1,0))+IF((C79="1+"),1.5,0))+IF((C79=2),2,0))+IF((C79="2+"),2.5,0))+IF((C79=3),3,0))+IF((C79="3+"),3.5,0)</f>
        <v>0</v>
      </c>
      <c r="H79" s="215"/>
      <c r="I79" s="205"/>
      <c r="J79" s="205"/>
      <c r="K79" s="205"/>
      <c r="L79" s="455"/>
      <c r="M79" s="205"/>
      <c r="N79" s="205"/>
      <c r="T79" s="218" t="str">
        <f>Interview!$B$102</f>
        <v>Implementation</v>
      </c>
      <c r="U79" s="223" t="str">
        <f>Interview!$B$103</f>
        <v>Secure Build</v>
      </c>
      <c r="V79" s="213">
        <v>0</v>
      </c>
      <c r="W79" s="213">
        <v>0</v>
      </c>
      <c r="X79" s="213">
        <f ca="1">C79</f>
        <v>0</v>
      </c>
      <c r="Y79" s="213">
        <v>0</v>
      </c>
      <c r="Z79" s="213">
        <v>0</v>
      </c>
    </row>
    <row r="80" spans="1:26" ht="25" customHeight="1" x14ac:dyDescent="0.2">
      <c r="A80" s="218" t="str">
        <f>Interview!$B$102</f>
        <v>Implementation</v>
      </c>
      <c r="B80" s="223" t="str">
        <f>Interview!$B$117</f>
        <v>Secure Deployment</v>
      </c>
      <c r="C80" s="213">
        <f ca="1">Roadmap!U83</f>
        <v>0</v>
      </c>
      <c r="D80" s="213">
        <f ca="1">Roadmap!T83</f>
        <v>0</v>
      </c>
      <c r="E80" s="213">
        <f ca="1">Roadmap!T84</f>
        <v>0</v>
      </c>
      <c r="F80" s="213">
        <f ca="1">Roadmap!T85</f>
        <v>0</v>
      </c>
      <c r="G80" s="214">
        <f ca="1">(((((IF((C80="0+"),0.5,0)+IF((C80=1),1,0))+IF((C80="1+"),1.5,0))+IF((C80=2),2,0))+IF((C80="2+"),2.5,0))+IF((C80=3),3,0))+IF((C80="3+"),3.5,0)</f>
        <v>0</v>
      </c>
      <c r="H80" s="215"/>
      <c r="I80" s="205"/>
      <c r="J80" s="205"/>
      <c r="K80" s="205"/>
      <c r="L80" s="205"/>
      <c r="M80" s="205"/>
      <c r="N80" s="205"/>
      <c r="T80" s="218" t="str">
        <f>Interview!$B$102</f>
        <v>Implementation</v>
      </c>
      <c r="U80" s="223" t="str">
        <f>Interview!$B$117</f>
        <v>Secure Deployment</v>
      </c>
      <c r="V80" s="213">
        <v>0</v>
      </c>
      <c r="W80" s="213">
        <v>0</v>
      </c>
      <c r="X80" s="213">
        <f ca="1">C80</f>
        <v>0</v>
      </c>
      <c r="Y80" s="213">
        <v>0</v>
      </c>
      <c r="Z80" s="213">
        <v>0</v>
      </c>
    </row>
    <row r="81" spans="1:26" ht="25" customHeight="1" x14ac:dyDescent="0.2">
      <c r="A81" s="218" t="str">
        <f>Interview!$B$102</f>
        <v>Implementation</v>
      </c>
      <c r="B81" s="223" t="str">
        <f>Interview!$B$131</f>
        <v>Defect Management</v>
      </c>
      <c r="C81" s="213">
        <f ca="1">Roadmap!U92</f>
        <v>0</v>
      </c>
      <c r="D81" s="213">
        <f ca="1">Roadmap!T92</f>
        <v>0</v>
      </c>
      <c r="E81" s="213">
        <f ca="1">Roadmap!T93</f>
        <v>0</v>
      </c>
      <c r="F81" s="213">
        <f ca="1">Roadmap!T94</f>
        <v>0</v>
      </c>
      <c r="G81" s="214">
        <f ca="1">(((((IF((C81="0+"),0.5,0)+IF((C81=1),1,0))+IF((C81="1+"),1.5,0))+IF((C81=2),2,0))+IF((C81="2+"),2.5,0))+IF((C81=3),3,0))+IF((C81="3+"),3.5,0)</f>
        <v>0</v>
      </c>
      <c r="H81" s="215"/>
      <c r="I81" s="205"/>
      <c r="J81" s="205"/>
      <c r="K81" s="205"/>
      <c r="L81" s="205"/>
      <c r="M81" s="205"/>
      <c r="N81" s="205"/>
      <c r="T81" s="218" t="str">
        <f>Interview!$B$102</f>
        <v>Implementation</v>
      </c>
      <c r="U81" s="223" t="str">
        <f>Interview!$B$131</f>
        <v>Defect Management</v>
      </c>
      <c r="V81" s="213">
        <v>0</v>
      </c>
      <c r="W81" s="213">
        <v>0</v>
      </c>
      <c r="X81" s="213">
        <f ca="1">C81</f>
        <v>0</v>
      </c>
      <c r="Y81" s="213">
        <v>0</v>
      </c>
      <c r="Z81" s="213">
        <v>0</v>
      </c>
    </row>
    <row r="82" spans="1:26" ht="25" customHeight="1" x14ac:dyDescent="0.2">
      <c r="A82" s="219" t="str">
        <f>Interview!$B$145</f>
        <v>Verification</v>
      </c>
      <c r="B82" s="224" t="str">
        <f>Interview!$B$146</f>
        <v>Architecture Assessment</v>
      </c>
      <c r="C82" s="213">
        <f ca="1">Roadmap!U102</f>
        <v>0</v>
      </c>
      <c r="D82" s="213">
        <f ca="1">Roadmap!T102</f>
        <v>0</v>
      </c>
      <c r="E82" s="213">
        <f ca="1">Roadmap!T103</f>
        <v>0</v>
      </c>
      <c r="F82" s="213">
        <f ca="1">Roadmap!T104</f>
        <v>0</v>
      </c>
      <c r="G82" s="214">
        <f t="shared" ref="G82:G87" ca="1" si="10">(((((IF((C82="0+"),0.5,0)+IF((C82=1),1,0))+IF((C82="1+"),1.5,0))+IF((C82=2),2,0))+IF((C82="2+"),2.5,0))+IF((C82=3),3,0))+IF((C82="3+"),3.5,0)</f>
        <v>0</v>
      </c>
      <c r="H82" s="215"/>
      <c r="I82" s="205"/>
      <c r="J82" s="205"/>
      <c r="K82" s="205"/>
      <c r="L82" s="205"/>
      <c r="M82" s="205"/>
      <c r="N82" s="205"/>
      <c r="T82" s="219" t="str">
        <f>Interview!$B$145</f>
        <v>Verification</v>
      </c>
      <c r="U82" s="224" t="str">
        <f>Interview!$B$146</f>
        <v>Architecture Assessment</v>
      </c>
      <c r="V82" s="213">
        <v>0</v>
      </c>
      <c r="W82" s="213">
        <v>0</v>
      </c>
      <c r="X82" s="213">
        <v>0</v>
      </c>
      <c r="Y82" s="213">
        <f ca="1">C82</f>
        <v>0</v>
      </c>
      <c r="Z82" s="213">
        <v>0</v>
      </c>
    </row>
    <row r="83" spans="1:26" ht="25" customHeight="1" x14ac:dyDescent="0.2">
      <c r="A83" s="219" t="str">
        <f>Interview!$B$145</f>
        <v>Verification</v>
      </c>
      <c r="B83" s="224" t="str">
        <f>Interview!$B$160</f>
        <v>Requirements Testing</v>
      </c>
      <c r="C83" s="213">
        <f ca="1">Roadmap!U111</f>
        <v>0</v>
      </c>
      <c r="D83" s="213">
        <f ca="1">Roadmap!T111</f>
        <v>0</v>
      </c>
      <c r="E83" s="213">
        <f ca="1">Roadmap!T112</f>
        <v>0</v>
      </c>
      <c r="F83" s="213">
        <f ca="1">Roadmap!T113</f>
        <v>0</v>
      </c>
      <c r="G83" s="214">
        <f t="shared" ca="1" si="10"/>
        <v>0</v>
      </c>
      <c r="H83" s="215"/>
      <c r="I83" s="205"/>
      <c r="J83" s="205"/>
      <c r="K83" s="205"/>
      <c r="L83" s="205"/>
      <c r="M83" s="205"/>
      <c r="N83" s="205"/>
      <c r="T83" s="219" t="str">
        <f>Interview!$B$145</f>
        <v>Verification</v>
      </c>
      <c r="U83" s="224" t="str">
        <f>Interview!$B$160</f>
        <v>Requirements Testing</v>
      </c>
      <c r="V83" s="213">
        <v>0</v>
      </c>
      <c r="W83" s="213">
        <v>0</v>
      </c>
      <c r="X83" s="213">
        <v>0</v>
      </c>
      <c r="Y83" s="213">
        <f ca="1">C83</f>
        <v>0</v>
      </c>
      <c r="Z83" s="213">
        <v>0</v>
      </c>
    </row>
    <row r="84" spans="1:26" ht="25" customHeight="1" x14ac:dyDescent="0.2">
      <c r="A84" s="219" t="str">
        <f>Interview!$B$145</f>
        <v>Verification</v>
      </c>
      <c r="B84" s="224" t="str">
        <f>Interview!$B$174</f>
        <v>Security Testing</v>
      </c>
      <c r="C84" s="213">
        <f ca="1">Roadmap!U120</f>
        <v>0</v>
      </c>
      <c r="D84" s="213">
        <f ca="1">Roadmap!T120</f>
        <v>0</v>
      </c>
      <c r="E84" s="213">
        <f ca="1">Roadmap!T121</f>
        <v>0</v>
      </c>
      <c r="F84" s="213">
        <f ca="1">Roadmap!T122</f>
        <v>0</v>
      </c>
      <c r="G84" s="214">
        <f t="shared" ca="1" si="10"/>
        <v>0</v>
      </c>
      <c r="H84" s="215"/>
      <c r="I84" s="205"/>
      <c r="J84" s="205"/>
      <c r="K84" s="205"/>
      <c r="L84" s="205"/>
      <c r="M84" s="205"/>
      <c r="N84" s="205"/>
      <c r="T84" s="219" t="str">
        <f>Interview!$B$145</f>
        <v>Verification</v>
      </c>
      <c r="U84" s="224" t="str">
        <f>Interview!$B$174</f>
        <v>Security Testing</v>
      </c>
      <c r="V84" s="213">
        <v>0</v>
      </c>
      <c r="W84" s="213">
        <v>0</v>
      </c>
      <c r="X84" s="213">
        <v>0</v>
      </c>
      <c r="Y84" s="213">
        <f ca="1">C84</f>
        <v>0</v>
      </c>
      <c r="Z84" s="213">
        <v>0</v>
      </c>
    </row>
    <row r="85" spans="1:26" ht="25" customHeight="1" x14ac:dyDescent="0.2">
      <c r="A85" s="220" t="str">
        <f>Interview!$B$188</f>
        <v>Operations</v>
      </c>
      <c r="B85" s="225" t="str">
        <f>Interview!$B$189</f>
        <v>Incident Management</v>
      </c>
      <c r="C85" s="213">
        <f ca="1">Roadmap!U130</f>
        <v>0</v>
      </c>
      <c r="D85" s="213">
        <f ca="1">Roadmap!T130</f>
        <v>0</v>
      </c>
      <c r="E85" s="213">
        <f ca="1">Roadmap!T131</f>
        <v>0</v>
      </c>
      <c r="F85" s="213">
        <f ca="1">Roadmap!T132</f>
        <v>0</v>
      </c>
      <c r="G85" s="214">
        <f t="shared" ca="1" si="10"/>
        <v>0</v>
      </c>
      <c r="H85" s="215"/>
      <c r="I85" s="205"/>
      <c r="J85" s="205"/>
      <c r="K85" s="205"/>
      <c r="L85" s="205"/>
      <c r="M85" s="205"/>
      <c r="N85" s="205"/>
      <c r="T85" s="220" t="str">
        <f>Interview!$B$188</f>
        <v>Operations</v>
      </c>
      <c r="U85" s="225" t="str">
        <f>Interview!$B$189</f>
        <v>Incident Management</v>
      </c>
      <c r="V85" s="213">
        <v>0</v>
      </c>
      <c r="W85" s="213">
        <v>0</v>
      </c>
      <c r="X85" s="213">
        <v>0</v>
      </c>
      <c r="Y85" s="213">
        <v>0</v>
      </c>
      <c r="Z85" s="213">
        <f ca="1">C85</f>
        <v>0</v>
      </c>
    </row>
    <row r="86" spans="1:26" ht="25" customHeight="1" x14ac:dyDescent="0.2">
      <c r="A86" s="220" t="str">
        <f>Interview!$B$188</f>
        <v>Operations</v>
      </c>
      <c r="B86" s="225" t="str">
        <f>Interview!$B$203</f>
        <v>Environment Management</v>
      </c>
      <c r="C86" s="213">
        <f ca="1">Roadmap!U139</f>
        <v>0</v>
      </c>
      <c r="D86" s="213">
        <f ca="1">Roadmap!T139</f>
        <v>0</v>
      </c>
      <c r="E86" s="213">
        <f ca="1">Roadmap!T140</f>
        <v>0</v>
      </c>
      <c r="F86" s="213">
        <f ca="1">Roadmap!T141</f>
        <v>0</v>
      </c>
      <c r="G86" s="214">
        <f t="shared" ca="1" si="10"/>
        <v>0</v>
      </c>
      <c r="H86" s="215"/>
      <c r="I86" s="205"/>
      <c r="J86" s="205"/>
      <c r="K86" s="205"/>
      <c r="L86" s="205"/>
      <c r="M86" s="205"/>
      <c r="N86" s="205"/>
      <c r="T86" s="220" t="str">
        <f>Interview!$B$188</f>
        <v>Operations</v>
      </c>
      <c r="U86" s="225" t="str">
        <f>Interview!$B$203</f>
        <v>Environment Management</v>
      </c>
      <c r="V86" s="213">
        <v>0</v>
      </c>
      <c r="W86" s="213">
        <v>0</v>
      </c>
      <c r="X86" s="213">
        <v>0</v>
      </c>
      <c r="Y86" s="213">
        <v>0</v>
      </c>
      <c r="Z86" s="213">
        <f ca="1">C86</f>
        <v>0</v>
      </c>
    </row>
    <row r="87" spans="1:26" ht="25" customHeight="1" x14ac:dyDescent="0.2">
      <c r="A87" s="220" t="str">
        <f>Interview!$B$188</f>
        <v>Operations</v>
      </c>
      <c r="B87" s="225" t="str">
        <f>Interview!$B$217</f>
        <v>Operational Management</v>
      </c>
      <c r="C87" s="213">
        <f ca="1">Roadmap!U148</f>
        <v>0</v>
      </c>
      <c r="D87" s="213">
        <f ca="1">Roadmap!T148</f>
        <v>0</v>
      </c>
      <c r="E87" s="213">
        <f ca="1">Roadmap!T149</f>
        <v>0</v>
      </c>
      <c r="F87" s="213">
        <f ca="1">Roadmap!T150</f>
        <v>0</v>
      </c>
      <c r="G87" s="214">
        <f t="shared" ca="1" si="10"/>
        <v>0</v>
      </c>
      <c r="H87" s="215"/>
      <c r="I87" s="205"/>
      <c r="J87" s="205"/>
      <c r="K87" s="205"/>
      <c r="L87" s="205"/>
      <c r="M87" s="205"/>
      <c r="N87" s="205"/>
      <c r="T87" s="220" t="str">
        <f>Interview!$B$188</f>
        <v>Operations</v>
      </c>
      <c r="U87" s="225" t="str">
        <f>Interview!$B$217</f>
        <v>Operational Management</v>
      </c>
      <c r="V87" s="213">
        <v>0</v>
      </c>
      <c r="W87" s="213">
        <v>0</v>
      </c>
      <c r="X87" s="213">
        <v>0</v>
      </c>
      <c r="Y87" s="213">
        <v>0</v>
      </c>
      <c r="Z87" s="213">
        <f ca="1">C87</f>
        <v>0</v>
      </c>
    </row>
    <row r="88" spans="1:26" ht="12.75" customHeight="1" x14ac:dyDescent="0.2">
      <c r="A88" s="205"/>
      <c r="B88" s="205"/>
      <c r="C88" s="205"/>
      <c r="D88" s="205"/>
      <c r="E88" s="205"/>
      <c r="F88" s="205"/>
      <c r="G88" s="205"/>
      <c r="H88" s="205"/>
      <c r="I88" s="205"/>
      <c r="J88" s="205"/>
      <c r="K88" s="205"/>
      <c r="L88" s="205"/>
      <c r="M88" s="205"/>
      <c r="N88" s="205"/>
    </row>
    <row r="89" spans="1:26" ht="12.75" customHeight="1" x14ac:dyDescent="0.2">
      <c r="A89" s="205"/>
      <c r="B89" s="205"/>
      <c r="C89" s="205"/>
      <c r="D89" s="205"/>
      <c r="E89" s="205"/>
      <c r="F89" s="205"/>
      <c r="G89" s="205"/>
      <c r="H89" s="205"/>
      <c r="I89" s="205"/>
      <c r="J89" s="205"/>
      <c r="K89" s="205"/>
      <c r="L89" s="205"/>
      <c r="M89" s="205"/>
      <c r="N89" s="205"/>
    </row>
    <row r="90" spans="1:26" ht="12.75" customHeight="1" thickBot="1" x14ac:dyDescent="0.25">
      <c r="K90" s="205"/>
    </row>
    <row r="91" spans="1:26" ht="25" customHeight="1" thickBot="1" x14ac:dyDescent="0.25">
      <c r="A91" s="560" t="s">
        <v>247</v>
      </c>
      <c r="B91" s="561"/>
      <c r="C91" s="561"/>
      <c r="D91" s="561"/>
      <c r="E91" s="561"/>
      <c r="F91" s="561"/>
      <c r="G91" s="561"/>
      <c r="H91" s="561"/>
      <c r="I91" s="561"/>
      <c r="J91" s="562"/>
      <c r="K91" s="205"/>
      <c r="L91" s="560" t="s">
        <v>247</v>
      </c>
      <c r="M91" s="561"/>
      <c r="N91" s="561"/>
      <c r="O91" s="561"/>
      <c r="P91" s="561"/>
      <c r="Q91" s="561"/>
      <c r="R91" s="562"/>
      <c r="T91" s="563" t="s">
        <v>247</v>
      </c>
      <c r="U91" s="561"/>
      <c r="V91" s="561"/>
      <c r="W91" s="561"/>
      <c r="X91" s="561"/>
      <c r="Y91" s="561"/>
      <c r="Z91" s="562"/>
    </row>
    <row r="92" spans="1:26" ht="12" customHeight="1" x14ac:dyDescent="0.2">
      <c r="A92" s="206"/>
      <c r="B92" s="206"/>
      <c r="C92" s="206"/>
      <c r="D92" s="570" t="s">
        <v>238</v>
      </c>
      <c r="E92" s="571"/>
      <c r="F92" s="572"/>
      <c r="G92" s="205"/>
      <c r="H92" s="205"/>
      <c r="I92" s="205"/>
      <c r="J92" s="205"/>
      <c r="K92" s="205"/>
      <c r="L92" s="205"/>
      <c r="M92" s="205"/>
      <c r="N92" s="205"/>
    </row>
    <row r="93" spans="1:26" ht="25" customHeight="1" x14ac:dyDescent="0.2">
      <c r="A93" s="209" t="s">
        <v>239</v>
      </c>
      <c r="B93" s="209" t="s">
        <v>240</v>
      </c>
      <c r="C93" s="209" t="s">
        <v>241</v>
      </c>
      <c r="D93" s="210">
        <v>1</v>
      </c>
      <c r="E93" s="210">
        <v>2</v>
      </c>
      <c r="F93" s="210">
        <v>3</v>
      </c>
      <c r="G93" s="211" t="s">
        <v>242</v>
      </c>
      <c r="H93" s="95"/>
      <c r="I93" s="209" t="s">
        <v>239</v>
      </c>
      <c r="J93" s="209" t="s">
        <v>241</v>
      </c>
      <c r="K93" s="205"/>
      <c r="L93" s="205"/>
      <c r="M93" s="205"/>
      <c r="N93" s="205"/>
      <c r="V93" s="87" t="str">
        <f>T94</f>
        <v>Governance</v>
      </c>
      <c r="W93" s="87" t="str">
        <f>T97</f>
        <v>Design</v>
      </c>
      <c r="X93" s="87" t="str">
        <f>T100</f>
        <v>Implementation</v>
      </c>
      <c r="Y93" s="87" t="str">
        <f>T103</f>
        <v>Verification</v>
      </c>
      <c r="Z93" s="87" t="str">
        <f>T106</f>
        <v>Operations</v>
      </c>
    </row>
    <row r="94" spans="1:26" ht="25" customHeight="1" x14ac:dyDescent="0.2">
      <c r="A94" s="212" t="str">
        <f>Interview!$B$16</f>
        <v>Governance</v>
      </c>
      <c r="B94" s="221" t="str">
        <f>Interview!$D$17</f>
        <v>Strategy &amp; Metrics</v>
      </c>
      <c r="C94" s="213">
        <f ca="1">Roadmap!Y18</f>
        <v>0</v>
      </c>
      <c r="D94" s="213">
        <f ca="1">Roadmap!X18</f>
        <v>0</v>
      </c>
      <c r="E94" s="213">
        <f ca="1">Roadmap!X19</f>
        <v>0</v>
      </c>
      <c r="F94" s="213">
        <f ca="1">Roadmap!X20</f>
        <v>0</v>
      </c>
      <c r="G94" s="214">
        <f t="shared" ref="G94:G99" ca="1" si="11">(((((IF((C94="0+"),0.5,0)+IF((C94=1),1,0))+IF((C94="1+"),1.5,0))+IF((C94=2),2,0))+IF((C94="2+"),2.5,0))+IF((C94=3),3,0))+IF((C94="3+"),3.5,0)</f>
        <v>0</v>
      </c>
      <c r="H94" s="215"/>
      <c r="I94" s="212" t="str">
        <f>A94</f>
        <v>Governance</v>
      </c>
      <c r="J94" s="213">
        <f ca="1">AVERAGE(C94:C96)</f>
        <v>0</v>
      </c>
      <c r="K94" s="205"/>
      <c r="L94" s="205"/>
      <c r="M94" s="205"/>
      <c r="N94" s="205"/>
      <c r="T94" s="212" t="str">
        <f>Interview!$B$16</f>
        <v>Governance</v>
      </c>
      <c r="U94" s="221" t="str">
        <f>Interview!$D$17</f>
        <v>Strategy &amp; Metrics</v>
      </c>
      <c r="V94" s="213">
        <f ca="1">C94</f>
        <v>0</v>
      </c>
      <c r="W94" s="213">
        <v>0</v>
      </c>
      <c r="X94" s="213">
        <v>0</v>
      </c>
      <c r="Y94" s="213">
        <v>0</v>
      </c>
      <c r="Z94" s="213">
        <v>0</v>
      </c>
    </row>
    <row r="95" spans="1:26" ht="25" customHeight="1" x14ac:dyDescent="0.2">
      <c r="A95" s="212" t="str">
        <f>Interview!$B$16</f>
        <v>Governance</v>
      </c>
      <c r="B95" s="221" t="str">
        <f>Interview!$B$31</f>
        <v>Policy &amp; Compliance</v>
      </c>
      <c r="C95" s="213">
        <f ca="1">Roadmap!Y27</f>
        <v>0</v>
      </c>
      <c r="D95" s="213">
        <f ca="1">Roadmap!X27</f>
        <v>0</v>
      </c>
      <c r="E95" s="213">
        <f ca="1">Roadmap!X28</f>
        <v>0</v>
      </c>
      <c r="F95" s="213">
        <f ca="1">Roadmap!X29</f>
        <v>0</v>
      </c>
      <c r="G95" s="214">
        <f t="shared" ca="1" si="11"/>
        <v>0</v>
      </c>
      <c r="H95" s="215"/>
      <c r="I95" s="216" t="str">
        <f>A97</f>
        <v>Design</v>
      </c>
      <c r="J95" s="213">
        <f ca="1">AVERAGE(C97:C99)</f>
        <v>0</v>
      </c>
      <c r="K95" s="205"/>
      <c r="L95" s="205"/>
      <c r="M95" s="205"/>
      <c r="N95" s="205"/>
      <c r="T95" s="212" t="str">
        <f>Interview!$B$16</f>
        <v>Governance</v>
      </c>
      <c r="U95" s="221" t="str">
        <f>Interview!$B$31</f>
        <v>Policy &amp; Compliance</v>
      </c>
      <c r="V95" s="213">
        <f ca="1">C95</f>
        <v>0</v>
      </c>
      <c r="W95" s="213">
        <v>0</v>
      </c>
      <c r="X95" s="213">
        <v>0</v>
      </c>
      <c r="Y95" s="213">
        <v>0</v>
      </c>
      <c r="Z95" s="213">
        <v>0</v>
      </c>
    </row>
    <row r="96" spans="1:26" ht="25" customHeight="1" x14ac:dyDescent="0.2">
      <c r="A96" s="212" t="str">
        <f>Interview!$B$16</f>
        <v>Governance</v>
      </c>
      <c r="B96" s="221" t="str">
        <f>Interview!$B$45</f>
        <v>Education &amp; Guidance</v>
      </c>
      <c r="C96" s="213">
        <f ca="1">Roadmap!Y36</f>
        <v>0</v>
      </c>
      <c r="D96" s="213">
        <f ca="1">Roadmap!X36</f>
        <v>0</v>
      </c>
      <c r="E96" s="213">
        <f ca="1">Roadmap!X37</f>
        <v>0</v>
      </c>
      <c r="F96" s="213">
        <f ca="1">Roadmap!X38</f>
        <v>0</v>
      </c>
      <c r="G96" s="214">
        <f t="shared" ca="1" si="11"/>
        <v>0</v>
      </c>
      <c r="H96" s="215"/>
      <c r="I96" s="218" t="str">
        <f>A100</f>
        <v>Implementation</v>
      </c>
      <c r="J96" s="213">
        <f ca="1">AVERAGE(C100:C102)</f>
        <v>0</v>
      </c>
      <c r="K96" s="205"/>
      <c r="L96" s="205"/>
      <c r="M96" s="205"/>
      <c r="N96" s="205"/>
      <c r="T96" s="212" t="str">
        <f>Interview!$B$16</f>
        <v>Governance</v>
      </c>
      <c r="U96" s="221" t="str">
        <f>Interview!$B$45</f>
        <v>Education &amp; Guidance</v>
      </c>
      <c r="V96" s="213">
        <f ca="1">C96</f>
        <v>0</v>
      </c>
      <c r="W96" s="213">
        <v>0</v>
      </c>
      <c r="X96" s="213">
        <v>0</v>
      </c>
      <c r="Y96" s="213">
        <v>0</v>
      </c>
      <c r="Z96" s="213">
        <v>0</v>
      </c>
    </row>
    <row r="97" spans="1:26" ht="25" customHeight="1" x14ac:dyDescent="0.2">
      <c r="A97" s="216" t="str">
        <f>Interview!$B$59</f>
        <v>Design</v>
      </c>
      <c r="B97" s="222" t="str">
        <f>Interview!$B$60</f>
        <v>Threat Assessment</v>
      </c>
      <c r="C97" s="213">
        <f ca="1">Roadmap!Y46</f>
        <v>0</v>
      </c>
      <c r="D97" s="213">
        <f ca="1">Roadmap!X46</f>
        <v>0</v>
      </c>
      <c r="E97" s="213">
        <f ca="1">Roadmap!X47</f>
        <v>0</v>
      </c>
      <c r="F97" s="213">
        <f ca="1">Roadmap!X48</f>
        <v>0</v>
      </c>
      <c r="G97" s="214">
        <f t="shared" ca="1" si="11"/>
        <v>0</v>
      </c>
      <c r="H97" s="215"/>
      <c r="I97" s="219" t="str">
        <f>A103</f>
        <v>Verification</v>
      </c>
      <c r="J97" s="213">
        <f ca="1">AVERAGE(C103:C105)</f>
        <v>0</v>
      </c>
      <c r="K97" s="205"/>
      <c r="L97" s="205"/>
      <c r="M97" s="205"/>
      <c r="N97" s="205"/>
      <c r="T97" s="216" t="str">
        <f>Interview!$B$59</f>
        <v>Design</v>
      </c>
      <c r="U97" s="222" t="str">
        <f>Interview!$B$60</f>
        <v>Threat Assessment</v>
      </c>
      <c r="V97" s="213">
        <v>0</v>
      </c>
      <c r="W97" s="213">
        <f ca="1">C97</f>
        <v>0</v>
      </c>
      <c r="X97" s="213">
        <v>0</v>
      </c>
      <c r="Y97" s="213">
        <v>0</v>
      </c>
      <c r="Z97" s="213">
        <v>0</v>
      </c>
    </row>
    <row r="98" spans="1:26" ht="25" customHeight="1" x14ac:dyDescent="0.2">
      <c r="A98" s="216" t="str">
        <f>Interview!$B$59</f>
        <v>Design</v>
      </c>
      <c r="B98" s="222" t="str">
        <f>Interview!$B$74</f>
        <v>Security Requirements</v>
      </c>
      <c r="C98" s="213">
        <f ca="1">Roadmap!Y55</f>
        <v>0</v>
      </c>
      <c r="D98" s="213">
        <f ca="1">Roadmap!X55</f>
        <v>0</v>
      </c>
      <c r="E98" s="213">
        <f ca="1">Roadmap!X56</f>
        <v>0</v>
      </c>
      <c r="F98" s="213">
        <f ca="1">Roadmap!X57</f>
        <v>0</v>
      </c>
      <c r="G98" s="214">
        <f t="shared" ca="1" si="11"/>
        <v>0</v>
      </c>
      <c r="H98" s="215"/>
      <c r="I98" s="220" t="str">
        <f>A106</f>
        <v>Operations</v>
      </c>
      <c r="J98" s="213">
        <f ca="1">AVERAGE(C106:C108)</f>
        <v>0</v>
      </c>
      <c r="K98" s="205"/>
      <c r="L98" s="205"/>
      <c r="M98" s="205"/>
      <c r="N98" s="205"/>
      <c r="T98" s="216" t="str">
        <f>Interview!$B$59</f>
        <v>Design</v>
      </c>
      <c r="U98" s="222" t="str">
        <f>Interview!$B$74</f>
        <v>Security Requirements</v>
      </c>
      <c r="V98" s="213">
        <v>0</v>
      </c>
      <c r="W98" s="213">
        <f ca="1">C98</f>
        <v>0</v>
      </c>
      <c r="X98" s="213">
        <v>0</v>
      </c>
      <c r="Y98" s="213">
        <v>0</v>
      </c>
      <c r="Z98" s="213">
        <v>0</v>
      </c>
    </row>
    <row r="99" spans="1:26" ht="25" customHeight="1" x14ac:dyDescent="0.2">
      <c r="A99" s="216" t="str">
        <f>Interview!$B$59</f>
        <v>Design</v>
      </c>
      <c r="B99" s="222" t="str">
        <f>Interview!$B$88</f>
        <v>Secure Architecture</v>
      </c>
      <c r="C99" s="213">
        <f ca="1">Roadmap!Y64</f>
        <v>0</v>
      </c>
      <c r="D99" s="213">
        <f ca="1">Roadmap!X64</f>
        <v>0</v>
      </c>
      <c r="E99" s="213">
        <f ca="1">Roadmap!X65</f>
        <v>0</v>
      </c>
      <c r="F99" s="213">
        <f ca="1">Roadmap!X66</f>
        <v>0</v>
      </c>
      <c r="G99" s="214">
        <f t="shared" ca="1" si="11"/>
        <v>0</v>
      </c>
      <c r="H99" s="215"/>
      <c r="I99" s="217" t="s">
        <v>243</v>
      </c>
      <c r="J99" s="213">
        <f ca="1">AVERAGE(J94:J98)</f>
        <v>0</v>
      </c>
      <c r="K99" s="205"/>
      <c r="L99" s="205"/>
      <c r="M99" s="205"/>
      <c r="N99" s="205"/>
      <c r="T99" s="216" t="str">
        <f>Interview!$B$59</f>
        <v>Design</v>
      </c>
      <c r="U99" s="222" t="str">
        <f>Interview!$B$88</f>
        <v>Secure Architecture</v>
      </c>
      <c r="V99" s="213">
        <v>0</v>
      </c>
      <c r="W99" s="213">
        <f ca="1">C99</f>
        <v>0</v>
      </c>
      <c r="X99" s="213">
        <v>0</v>
      </c>
      <c r="Y99" s="213">
        <v>0</v>
      </c>
      <c r="Z99" s="213">
        <v>0</v>
      </c>
    </row>
    <row r="100" spans="1:26" ht="25" customHeight="1" x14ac:dyDescent="0.2">
      <c r="A100" s="218" t="str">
        <f>Interview!$B$102</f>
        <v>Implementation</v>
      </c>
      <c r="B100" s="223" t="str">
        <f>Interview!$B$103</f>
        <v>Secure Build</v>
      </c>
      <c r="C100" s="213">
        <f ca="1">Roadmap!Y74</f>
        <v>0</v>
      </c>
      <c r="D100" s="213">
        <f ca="1">Roadmap!X74</f>
        <v>0</v>
      </c>
      <c r="E100" s="213">
        <f ca="1">Roadmap!X75</f>
        <v>0</v>
      </c>
      <c r="F100" s="213">
        <f ca="1">Roadmap!X76</f>
        <v>0</v>
      </c>
      <c r="G100" s="214">
        <f ca="1">(((((IF((C100="0+"),0.5,0)+IF((C100=1),1,0))+IF((C100="1+"),1.5,0))+IF((C100=2),2,0))+IF((C100="2+"),2.5,0))+IF((C100=3),3,0))+IF((C100="3+"),3.5,0)</f>
        <v>0</v>
      </c>
      <c r="H100" s="215"/>
      <c r="I100" s="205"/>
      <c r="J100" s="205"/>
      <c r="K100" s="205"/>
      <c r="L100" s="205"/>
      <c r="M100" s="205"/>
      <c r="N100" s="205"/>
      <c r="T100" s="218" t="str">
        <f>Interview!$B$102</f>
        <v>Implementation</v>
      </c>
      <c r="U100" s="223" t="str">
        <f>Interview!$B$103</f>
        <v>Secure Build</v>
      </c>
      <c r="V100" s="213">
        <v>0</v>
      </c>
      <c r="W100" s="213">
        <v>0</v>
      </c>
      <c r="X100" s="213">
        <f ca="1">C100</f>
        <v>0</v>
      </c>
      <c r="Y100" s="213">
        <v>0</v>
      </c>
      <c r="Z100" s="213">
        <v>0</v>
      </c>
    </row>
    <row r="101" spans="1:26" ht="25" customHeight="1" x14ac:dyDescent="0.2">
      <c r="A101" s="218" t="str">
        <f>Interview!$B$102</f>
        <v>Implementation</v>
      </c>
      <c r="B101" s="223" t="str">
        <f>Interview!$B$117</f>
        <v>Secure Deployment</v>
      </c>
      <c r="C101" s="213">
        <f ca="1">Roadmap!Y83</f>
        <v>0</v>
      </c>
      <c r="D101" s="213">
        <f ca="1">Roadmap!X83</f>
        <v>0</v>
      </c>
      <c r="E101" s="213">
        <f ca="1">Roadmap!X84</f>
        <v>0</v>
      </c>
      <c r="F101" s="213">
        <f ca="1">Roadmap!X85</f>
        <v>0</v>
      </c>
      <c r="G101" s="214">
        <f ca="1">(((((IF((C101="0+"),0.5,0)+IF((C101=1),1,0))+IF((C101="1+"),1.5,0))+IF((C101=2),2,0))+IF((C101="2+"),2.5,0))+IF((C101=3),3,0))+IF((C101="3+"),3.5,0)</f>
        <v>0</v>
      </c>
      <c r="H101" s="215"/>
      <c r="I101" s="205"/>
      <c r="J101" s="205"/>
      <c r="K101" s="205"/>
      <c r="L101" s="205"/>
      <c r="M101" s="205"/>
      <c r="N101" s="205"/>
      <c r="T101" s="218" t="str">
        <f>Interview!$B$102</f>
        <v>Implementation</v>
      </c>
      <c r="U101" s="223" t="str">
        <f>Interview!$B$117</f>
        <v>Secure Deployment</v>
      </c>
      <c r="V101" s="213">
        <v>0</v>
      </c>
      <c r="W101" s="213">
        <v>0</v>
      </c>
      <c r="X101" s="213">
        <f ca="1">C101</f>
        <v>0</v>
      </c>
      <c r="Y101" s="213">
        <v>0</v>
      </c>
      <c r="Z101" s="213">
        <v>0</v>
      </c>
    </row>
    <row r="102" spans="1:26" ht="25" customHeight="1" x14ac:dyDescent="0.2">
      <c r="A102" s="218" t="str">
        <f>Interview!$B$102</f>
        <v>Implementation</v>
      </c>
      <c r="B102" s="223" t="str">
        <f>Interview!$B$131</f>
        <v>Defect Management</v>
      </c>
      <c r="C102" s="213">
        <f ca="1">Roadmap!Y92</f>
        <v>0</v>
      </c>
      <c r="D102" s="213">
        <f ca="1">Roadmap!X92</f>
        <v>0</v>
      </c>
      <c r="E102" s="213">
        <f ca="1">Roadmap!X93</f>
        <v>0</v>
      </c>
      <c r="F102" s="213">
        <f ca="1">Roadmap!X94</f>
        <v>0</v>
      </c>
      <c r="G102" s="214">
        <f ca="1">(((((IF((C102="0+"),0.5,0)+IF((C102=1),1,0))+IF((C102="1+"),1.5,0))+IF((C102=2),2,0))+IF((C102="2+"),2.5,0))+IF((C102=3),3,0))+IF((C102="3+"),3.5,0)</f>
        <v>0</v>
      </c>
      <c r="H102" s="215"/>
      <c r="I102" s="205"/>
      <c r="J102" s="205"/>
      <c r="K102" s="205"/>
      <c r="L102" s="205"/>
      <c r="M102" s="205"/>
      <c r="N102" s="205"/>
      <c r="T102" s="218" t="str">
        <f>Interview!$B$102</f>
        <v>Implementation</v>
      </c>
      <c r="U102" s="223" t="str">
        <f>Interview!$B$131</f>
        <v>Defect Management</v>
      </c>
      <c r="V102" s="213">
        <v>0</v>
      </c>
      <c r="W102" s="213">
        <v>0</v>
      </c>
      <c r="X102" s="213">
        <f ca="1">C102</f>
        <v>0</v>
      </c>
      <c r="Y102" s="213">
        <v>0</v>
      </c>
      <c r="Z102" s="213">
        <v>0</v>
      </c>
    </row>
    <row r="103" spans="1:26" ht="25" customHeight="1" x14ac:dyDescent="0.2">
      <c r="A103" s="219" t="str">
        <f>Interview!$B$145</f>
        <v>Verification</v>
      </c>
      <c r="B103" s="224" t="str">
        <f>Interview!$B$146</f>
        <v>Architecture Assessment</v>
      </c>
      <c r="C103" s="213">
        <f ca="1">Roadmap!Y102</f>
        <v>0</v>
      </c>
      <c r="D103" s="213">
        <f ca="1">Roadmap!X102</f>
        <v>0</v>
      </c>
      <c r="E103" s="213">
        <f ca="1">Roadmap!X103</f>
        <v>0</v>
      </c>
      <c r="F103" s="213">
        <f ca="1">Roadmap!X104</f>
        <v>0</v>
      </c>
      <c r="G103" s="214">
        <f t="shared" ref="G103:G108" ca="1" si="12">(((((IF((C103="0+"),0.5,0)+IF((C103=1),1,0))+IF((C103="1+"),1.5,0))+IF((C103=2),2,0))+IF((C103="2+"),2.5,0))+IF((C103=3),3,0))+IF((C103="3+"),3.5,0)</f>
        <v>0</v>
      </c>
      <c r="H103" s="215"/>
      <c r="I103" s="205"/>
      <c r="J103" s="205"/>
      <c r="K103" s="205"/>
      <c r="L103" s="205"/>
      <c r="M103" s="205"/>
      <c r="N103" s="205"/>
      <c r="T103" s="219" t="str">
        <f>Interview!$B$145</f>
        <v>Verification</v>
      </c>
      <c r="U103" s="224" t="str">
        <f>Interview!$B$146</f>
        <v>Architecture Assessment</v>
      </c>
      <c r="V103" s="213">
        <v>0</v>
      </c>
      <c r="W103" s="213">
        <v>0</v>
      </c>
      <c r="X103" s="213">
        <v>0</v>
      </c>
      <c r="Y103" s="213">
        <f ca="1">C103</f>
        <v>0</v>
      </c>
      <c r="Z103" s="213">
        <v>0</v>
      </c>
    </row>
    <row r="104" spans="1:26" ht="25" customHeight="1" x14ac:dyDescent="0.2">
      <c r="A104" s="219" t="str">
        <f>Interview!$B$145</f>
        <v>Verification</v>
      </c>
      <c r="B104" s="224" t="str">
        <f>Interview!$B$160</f>
        <v>Requirements Testing</v>
      </c>
      <c r="C104" s="213">
        <f ca="1">Roadmap!Y111</f>
        <v>0</v>
      </c>
      <c r="D104" s="213">
        <f ca="1">Roadmap!X111</f>
        <v>0</v>
      </c>
      <c r="E104" s="213">
        <f ca="1">Roadmap!X112</f>
        <v>0</v>
      </c>
      <c r="F104" s="213">
        <f ca="1">Roadmap!X113</f>
        <v>0</v>
      </c>
      <c r="G104" s="214">
        <f t="shared" ca="1" si="12"/>
        <v>0</v>
      </c>
      <c r="H104" s="215"/>
      <c r="I104" s="205"/>
      <c r="J104" s="205"/>
      <c r="K104" s="205"/>
      <c r="L104" s="205"/>
      <c r="M104" s="205"/>
      <c r="N104" s="205"/>
      <c r="T104" s="219" t="str">
        <f>Interview!$B$145</f>
        <v>Verification</v>
      </c>
      <c r="U104" s="224" t="str">
        <f>Interview!$B$160</f>
        <v>Requirements Testing</v>
      </c>
      <c r="V104" s="213">
        <v>0</v>
      </c>
      <c r="W104" s="213">
        <v>0</v>
      </c>
      <c r="X104" s="213">
        <v>0</v>
      </c>
      <c r="Y104" s="213">
        <f ca="1">C104</f>
        <v>0</v>
      </c>
      <c r="Z104" s="213">
        <v>0</v>
      </c>
    </row>
    <row r="105" spans="1:26" ht="25" customHeight="1" x14ac:dyDescent="0.2">
      <c r="A105" s="219" t="str">
        <f>Interview!$B$145</f>
        <v>Verification</v>
      </c>
      <c r="B105" s="224" t="str">
        <f>Interview!$B$174</f>
        <v>Security Testing</v>
      </c>
      <c r="C105" s="213">
        <f ca="1">Roadmap!Y120</f>
        <v>0</v>
      </c>
      <c r="D105" s="213">
        <f ca="1">Roadmap!X120</f>
        <v>0</v>
      </c>
      <c r="E105" s="213">
        <f ca="1">Roadmap!X121</f>
        <v>0</v>
      </c>
      <c r="F105" s="213">
        <f ca="1">Roadmap!X122</f>
        <v>0</v>
      </c>
      <c r="G105" s="214">
        <f t="shared" ca="1" si="12"/>
        <v>0</v>
      </c>
      <c r="H105" s="215"/>
      <c r="I105" s="205"/>
      <c r="J105" s="205"/>
      <c r="K105" s="205"/>
      <c r="L105" s="205"/>
      <c r="M105" s="205"/>
      <c r="N105" s="205"/>
      <c r="T105" s="219" t="str">
        <f>Interview!$B$145</f>
        <v>Verification</v>
      </c>
      <c r="U105" s="224" t="str">
        <f>Interview!$B$174</f>
        <v>Security Testing</v>
      </c>
      <c r="V105" s="213">
        <v>0</v>
      </c>
      <c r="W105" s="213">
        <v>0</v>
      </c>
      <c r="X105" s="213">
        <v>0</v>
      </c>
      <c r="Y105" s="213">
        <f ca="1">C105</f>
        <v>0</v>
      </c>
      <c r="Z105" s="213">
        <v>0</v>
      </c>
    </row>
    <row r="106" spans="1:26" ht="25" customHeight="1" x14ac:dyDescent="0.2">
      <c r="A106" s="220" t="str">
        <f>Interview!$B$188</f>
        <v>Operations</v>
      </c>
      <c r="B106" s="225" t="str">
        <f>Interview!$B$189</f>
        <v>Incident Management</v>
      </c>
      <c r="C106" s="213">
        <f ca="1">Roadmap!Y130</f>
        <v>0</v>
      </c>
      <c r="D106" s="213">
        <f ca="1">Roadmap!X130</f>
        <v>0</v>
      </c>
      <c r="E106" s="213">
        <f ca="1">Roadmap!X131</f>
        <v>0</v>
      </c>
      <c r="F106" s="213">
        <f ca="1">Roadmap!X132</f>
        <v>0</v>
      </c>
      <c r="G106" s="214">
        <f t="shared" ca="1" si="12"/>
        <v>0</v>
      </c>
      <c r="H106" s="215"/>
      <c r="I106" s="205"/>
      <c r="J106" s="205"/>
      <c r="K106" s="205"/>
      <c r="L106" s="205"/>
      <c r="M106" s="205"/>
      <c r="N106" s="205"/>
      <c r="T106" s="220" t="str">
        <f>Interview!$B$188</f>
        <v>Operations</v>
      </c>
      <c r="U106" s="225" t="str">
        <f>Interview!$B$189</f>
        <v>Incident Management</v>
      </c>
      <c r="V106" s="213">
        <v>0</v>
      </c>
      <c r="W106" s="213">
        <v>0</v>
      </c>
      <c r="X106" s="213">
        <v>0</v>
      </c>
      <c r="Y106" s="213">
        <v>0</v>
      </c>
      <c r="Z106" s="213">
        <f ca="1">C106</f>
        <v>0</v>
      </c>
    </row>
    <row r="107" spans="1:26" ht="25" customHeight="1" x14ac:dyDescent="0.2">
      <c r="A107" s="220" t="str">
        <f>Interview!$B$188</f>
        <v>Operations</v>
      </c>
      <c r="B107" s="225" t="str">
        <f>Interview!$B$203</f>
        <v>Environment Management</v>
      </c>
      <c r="C107" s="213">
        <f ca="1">Roadmap!Y139</f>
        <v>0</v>
      </c>
      <c r="D107" s="213">
        <f ca="1">Roadmap!X139</f>
        <v>0</v>
      </c>
      <c r="E107" s="213">
        <f ca="1">Roadmap!X140</f>
        <v>0</v>
      </c>
      <c r="F107" s="213">
        <f ca="1">Roadmap!X141</f>
        <v>0</v>
      </c>
      <c r="G107" s="214">
        <f t="shared" ca="1" si="12"/>
        <v>0</v>
      </c>
      <c r="H107" s="215"/>
      <c r="I107" s="205"/>
      <c r="J107" s="205"/>
      <c r="K107" s="205"/>
      <c r="L107" s="205"/>
      <c r="M107" s="205"/>
      <c r="N107" s="205"/>
      <c r="T107" s="220" t="str">
        <f>Interview!$B$188</f>
        <v>Operations</v>
      </c>
      <c r="U107" s="225" t="str">
        <f>Interview!$B$203</f>
        <v>Environment Management</v>
      </c>
      <c r="V107" s="213">
        <v>0</v>
      </c>
      <c r="W107" s="213">
        <v>0</v>
      </c>
      <c r="X107" s="213">
        <v>0</v>
      </c>
      <c r="Y107" s="213">
        <v>0</v>
      </c>
      <c r="Z107" s="213">
        <f ca="1">C107</f>
        <v>0</v>
      </c>
    </row>
    <row r="108" spans="1:26" ht="25" customHeight="1" x14ac:dyDescent="0.2">
      <c r="A108" s="220" t="str">
        <f>Interview!$B$188</f>
        <v>Operations</v>
      </c>
      <c r="B108" s="225" t="str">
        <f>Interview!$B$217</f>
        <v>Operational Management</v>
      </c>
      <c r="C108" s="213">
        <f ca="1">Roadmap!Y148</f>
        <v>0</v>
      </c>
      <c r="D108" s="213">
        <f ca="1">Roadmap!X148</f>
        <v>0</v>
      </c>
      <c r="E108" s="213">
        <f ca="1">Roadmap!X149</f>
        <v>0</v>
      </c>
      <c r="F108" s="213">
        <f ca="1">Roadmap!X150</f>
        <v>0</v>
      </c>
      <c r="G108" s="214">
        <f t="shared" ca="1" si="12"/>
        <v>0</v>
      </c>
      <c r="H108" s="215"/>
      <c r="I108" s="205"/>
      <c r="J108" s="205"/>
      <c r="K108" s="205"/>
      <c r="L108" s="205"/>
      <c r="M108" s="205"/>
      <c r="N108" s="205"/>
      <c r="T108" s="220" t="str">
        <f>Interview!$B$188</f>
        <v>Operations</v>
      </c>
      <c r="U108" s="225" t="str">
        <f>Interview!$B$217</f>
        <v>Operational Management</v>
      </c>
      <c r="V108" s="213">
        <v>0</v>
      </c>
      <c r="W108" s="213">
        <v>0</v>
      </c>
      <c r="X108" s="213">
        <v>0</v>
      </c>
      <c r="Y108" s="213">
        <v>0</v>
      </c>
      <c r="Z108" s="213">
        <f ca="1">C108</f>
        <v>0</v>
      </c>
    </row>
    <row r="109" spans="1:26" ht="12.75" customHeight="1" x14ac:dyDescent="0.2">
      <c r="A109" s="205"/>
      <c r="B109" s="205"/>
      <c r="C109" s="205"/>
      <c r="D109" s="205"/>
      <c r="E109" s="205"/>
      <c r="F109" s="205"/>
      <c r="G109" s="205"/>
      <c r="H109" s="205"/>
      <c r="I109" s="205"/>
      <c r="J109" s="205"/>
      <c r="K109" s="205"/>
      <c r="L109" s="205"/>
      <c r="M109" s="205"/>
      <c r="N109" s="205"/>
    </row>
    <row r="110" spans="1:26" ht="12.75" customHeight="1" x14ac:dyDescent="0.2">
      <c r="A110" s="205"/>
      <c r="B110" s="205"/>
      <c r="C110" s="205"/>
      <c r="D110" s="205"/>
      <c r="E110" s="205"/>
      <c r="F110" s="205"/>
      <c r="G110" s="205"/>
      <c r="H110" s="205"/>
      <c r="I110" s="205"/>
      <c r="J110" s="205"/>
      <c r="K110" s="205"/>
      <c r="L110" s="205"/>
      <c r="M110" s="205"/>
      <c r="N110" s="205"/>
    </row>
    <row r="111" spans="1:26" ht="12.75" customHeight="1" x14ac:dyDescent="0.2">
      <c r="A111" s="205"/>
      <c r="B111" s="205"/>
      <c r="C111" s="205"/>
      <c r="D111" s="205"/>
      <c r="E111" s="205"/>
      <c r="F111" s="205"/>
      <c r="G111" s="205"/>
      <c r="H111" s="205"/>
      <c r="I111" s="205"/>
      <c r="J111" s="205"/>
      <c r="K111" s="205"/>
      <c r="L111" s="205"/>
      <c r="M111" s="205"/>
      <c r="N111" s="205"/>
    </row>
    <row r="112" spans="1:26" ht="12.75" customHeight="1" x14ac:dyDescent="0.2">
      <c r="A112" s="205"/>
      <c r="B112" s="205"/>
      <c r="C112" s="205"/>
      <c r="D112" s="205"/>
      <c r="E112" s="205"/>
      <c r="F112" s="205"/>
      <c r="G112" s="205"/>
      <c r="H112" s="205"/>
      <c r="I112" s="205"/>
      <c r="J112" s="205"/>
      <c r="K112" s="205"/>
      <c r="L112" s="205"/>
      <c r="M112" s="205"/>
      <c r="N112" s="205"/>
    </row>
    <row r="113" spans="1:14" ht="12.75" customHeight="1" x14ac:dyDescent="0.2">
      <c r="A113" s="205"/>
      <c r="B113" s="205"/>
      <c r="C113" s="205"/>
      <c r="D113" s="205"/>
      <c r="E113" s="205"/>
      <c r="F113" s="205"/>
      <c r="G113" s="205"/>
      <c r="H113" s="205"/>
      <c r="I113" s="205"/>
      <c r="J113" s="205"/>
      <c r="K113" s="205"/>
      <c r="L113" s="205"/>
      <c r="M113" s="205"/>
      <c r="N113" s="205"/>
    </row>
    <row r="114" spans="1:14" ht="12.75" customHeight="1" x14ac:dyDescent="0.2">
      <c r="A114" s="205"/>
      <c r="B114" s="205"/>
      <c r="C114" s="205"/>
      <c r="D114" s="205"/>
      <c r="E114" s="205"/>
      <c r="F114" s="205"/>
      <c r="G114" s="205"/>
      <c r="H114" s="205"/>
      <c r="I114" s="205"/>
      <c r="J114" s="205"/>
      <c r="K114" s="205"/>
      <c r="L114" s="205"/>
      <c r="M114" s="205"/>
      <c r="N114" s="205"/>
    </row>
    <row r="115" spans="1:14" ht="12.75" customHeight="1" x14ac:dyDescent="0.2">
      <c r="A115" s="205"/>
      <c r="B115" s="205"/>
      <c r="C115" s="205"/>
      <c r="D115" s="205"/>
      <c r="E115" s="205"/>
      <c r="F115" s="205"/>
      <c r="G115" s="205"/>
      <c r="H115" s="205"/>
      <c r="I115" s="205"/>
      <c r="J115" s="205"/>
      <c r="K115" s="205"/>
      <c r="L115" s="205"/>
      <c r="M115" s="205"/>
      <c r="N115" s="205"/>
    </row>
    <row r="116" spans="1:14" ht="12.75" customHeight="1" x14ac:dyDescent="0.2">
      <c r="A116" s="205"/>
      <c r="B116" s="205"/>
      <c r="C116" s="205"/>
      <c r="D116" s="205"/>
      <c r="E116" s="205"/>
      <c r="F116" s="205"/>
      <c r="G116" s="205"/>
      <c r="H116" s="205"/>
      <c r="I116" s="205"/>
      <c r="J116" s="205"/>
      <c r="K116" s="205"/>
      <c r="L116" s="205"/>
      <c r="M116" s="205"/>
      <c r="N116" s="205"/>
    </row>
    <row r="117" spans="1:14" ht="12.75" customHeight="1" x14ac:dyDescent="0.2">
      <c r="A117" s="205"/>
      <c r="B117" s="205"/>
      <c r="C117" s="205"/>
      <c r="D117" s="205"/>
      <c r="E117" s="205"/>
      <c r="F117" s="205"/>
      <c r="G117" s="205"/>
      <c r="H117" s="205"/>
      <c r="I117" s="205"/>
      <c r="J117" s="205"/>
      <c r="K117" s="205"/>
      <c r="L117" s="205"/>
      <c r="M117" s="205"/>
      <c r="N117" s="205"/>
    </row>
    <row r="118" spans="1:14" ht="12.75" customHeight="1" x14ac:dyDescent="0.2">
      <c r="A118" s="205"/>
      <c r="B118" s="205"/>
      <c r="C118" s="205"/>
      <c r="D118" s="205"/>
      <c r="E118" s="205"/>
      <c r="F118" s="205"/>
      <c r="G118" s="205"/>
      <c r="H118" s="205"/>
      <c r="I118" s="205"/>
      <c r="J118" s="205"/>
      <c r="K118" s="205"/>
      <c r="L118" s="205"/>
      <c r="M118" s="205"/>
      <c r="N118" s="205"/>
    </row>
    <row r="119" spans="1:14" ht="12.75" customHeight="1" x14ac:dyDescent="0.2">
      <c r="A119" s="205"/>
      <c r="B119" s="205"/>
      <c r="C119" s="205"/>
      <c r="D119" s="205"/>
      <c r="E119" s="205"/>
      <c r="F119" s="205"/>
      <c r="G119" s="205"/>
      <c r="H119" s="205"/>
      <c r="I119" s="205"/>
      <c r="J119" s="205"/>
      <c r="K119" s="205"/>
      <c r="L119" s="205"/>
      <c r="M119" s="205"/>
      <c r="N119" s="205"/>
    </row>
    <row r="120" spans="1:14" ht="12.75" customHeight="1" x14ac:dyDescent="0.2">
      <c r="A120" s="205"/>
      <c r="B120" s="205"/>
      <c r="C120" s="205"/>
      <c r="D120" s="205"/>
      <c r="E120" s="205"/>
      <c r="F120" s="205"/>
      <c r="G120" s="205"/>
      <c r="H120" s="205"/>
      <c r="I120" s="205"/>
      <c r="J120" s="205"/>
      <c r="K120" s="205"/>
      <c r="L120" s="205"/>
      <c r="M120" s="205"/>
      <c r="N120" s="205"/>
    </row>
    <row r="121" spans="1:14" ht="12.75" customHeight="1" x14ac:dyDescent="0.2">
      <c r="A121" s="205"/>
      <c r="B121" s="205"/>
      <c r="C121" s="205"/>
      <c r="D121" s="205"/>
      <c r="E121" s="205"/>
      <c r="F121" s="205"/>
      <c r="G121" s="205"/>
      <c r="H121" s="205"/>
      <c r="I121" s="205"/>
      <c r="J121" s="205"/>
      <c r="K121" s="205"/>
      <c r="L121" s="205"/>
      <c r="M121" s="205"/>
      <c r="N121" s="205"/>
    </row>
    <row r="122" spans="1:14" ht="12.75" customHeight="1" x14ac:dyDescent="0.2">
      <c r="A122" s="205"/>
      <c r="B122" s="205"/>
      <c r="C122" s="205"/>
      <c r="D122" s="205"/>
      <c r="E122" s="205"/>
      <c r="F122" s="205"/>
      <c r="G122" s="205"/>
      <c r="H122" s="205"/>
      <c r="I122" s="205"/>
      <c r="J122" s="205"/>
      <c r="K122" s="205"/>
      <c r="L122" s="205"/>
      <c r="M122" s="205"/>
      <c r="N122" s="205"/>
    </row>
    <row r="123" spans="1:14" ht="12.75" customHeight="1" x14ac:dyDescent="0.2">
      <c r="A123" s="205"/>
      <c r="B123" s="205"/>
      <c r="C123" s="205"/>
      <c r="D123" s="205"/>
      <c r="E123" s="205"/>
      <c r="F123" s="205"/>
      <c r="G123" s="205"/>
      <c r="H123" s="205"/>
      <c r="I123" s="205"/>
      <c r="J123" s="205"/>
      <c r="K123" s="205"/>
      <c r="L123" s="205"/>
      <c r="M123" s="205"/>
      <c r="N123" s="205"/>
    </row>
    <row r="124" spans="1:14" ht="12.75" customHeight="1" x14ac:dyDescent="0.2">
      <c r="A124" s="205"/>
      <c r="B124" s="205"/>
      <c r="C124" s="205"/>
      <c r="D124" s="205"/>
      <c r="E124" s="205"/>
      <c r="F124" s="205"/>
      <c r="G124" s="205"/>
      <c r="H124" s="205"/>
      <c r="I124" s="205"/>
      <c r="J124" s="205"/>
      <c r="K124" s="205"/>
      <c r="L124" s="205"/>
      <c r="M124" s="205"/>
      <c r="N124" s="205"/>
    </row>
    <row r="125" spans="1:14" ht="12.75" customHeight="1" x14ac:dyDescent="0.2">
      <c r="A125" s="205"/>
      <c r="B125" s="205"/>
      <c r="C125" s="205"/>
      <c r="D125" s="205"/>
      <c r="E125" s="205"/>
      <c r="F125" s="205"/>
      <c r="G125" s="205"/>
      <c r="H125" s="205"/>
      <c r="I125" s="205"/>
      <c r="J125" s="205"/>
      <c r="K125" s="205"/>
      <c r="L125" s="205"/>
      <c r="M125" s="205"/>
      <c r="N125" s="205"/>
    </row>
    <row r="126" spans="1:14" ht="12.75" customHeight="1" x14ac:dyDescent="0.2">
      <c r="A126" s="205"/>
      <c r="B126" s="205"/>
      <c r="C126" s="205"/>
      <c r="D126" s="205"/>
      <c r="E126" s="205"/>
      <c r="F126" s="205"/>
      <c r="G126" s="205"/>
      <c r="H126" s="205"/>
      <c r="I126" s="205"/>
      <c r="J126" s="205"/>
      <c r="K126" s="205"/>
      <c r="L126" s="205"/>
      <c r="M126" s="205"/>
      <c r="N126" s="205"/>
    </row>
    <row r="127" spans="1:14" ht="12.75" customHeight="1" x14ac:dyDescent="0.2">
      <c r="A127" s="205"/>
      <c r="B127" s="205"/>
      <c r="C127" s="205"/>
      <c r="D127" s="205"/>
      <c r="E127" s="205"/>
      <c r="F127" s="205"/>
      <c r="G127" s="205"/>
      <c r="H127" s="205"/>
      <c r="I127" s="205"/>
      <c r="J127" s="205"/>
      <c r="K127" s="205"/>
      <c r="L127" s="205"/>
      <c r="M127" s="205"/>
      <c r="N127" s="205"/>
    </row>
    <row r="128" spans="1:14" ht="12.75" customHeight="1" x14ac:dyDescent="0.2">
      <c r="A128" s="205"/>
      <c r="B128" s="205"/>
      <c r="C128" s="205"/>
      <c r="D128" s="205"/>
      <c r="E128" s="205"/>
      <c r="F128" s="205"/>
      <c r="G128" s="205"/>
      <c r="H128" s="205"/>
      <c r="I128" s="205"/>
      <c r="J128" s="205"/>
      <c r="K128" s="205"/>
      <c r="L128" s="205"/>
      <c r="M128" s="205"/>
      <c r="N128" s="205"/>
    </row>
    <row r="129" spans="1:14" ht="12.75" customHeight="1" x14ac:dyDescent="0.2">
      <c r="A129" s="205"/>
      <c r="B129" s="205"/>
      <c r="C129" s="205"/>
      <c r="D129" s="205"/>
      <c r="E129" s="205"/>
      <c r="F129" s="205"/>
      <c r="G129" s="205"/>
      <c r="H129" s="205"/>
      <c r="I129" s="205"/>
      <c r="J129" s="205"/>
      <c r="K129" s="205"/>
      <c r="L129" s="205"/>
      <c r="M129" s="205"/>
      <c r="N129" s="205"/>
    </row>
    <row r="130" spans="1:14" ht="12.75" customHeight="1" x14ac:dyDescent="0.2">
      <c r="A130" s="205"/>
      <c r="B130" s="205"/>
      <c r="C130" s="205"/>
      <c r="D130" s="205"/>
      <c r="E130" s="205"/>
      <c r="F130" s="205"/>
      <c r="G130" s="205"/>
      <c r="H130" s="205"/>
      <c r="I130" s="205"/>
      <c r="J130" s="205"/>
      <c r="K130" s="205"/>
      <c r="L130" s="205"/>
      <c r="M130" s="205"/>
      <c r="N130" s="205"/>
    </row>
    <row r="131" spans="1:14" ht="12.75" customHeight="1" x14ac:dyDescent="0.2">
      <c r="A131" s="205"/>
      <c r="B131" s="205"/>
      <c r="C131" s="205"/>
      <c r="D131" s="205"/>
      <c r="E131" s="205"/>
      <c r="F131" s="205"/>
      <c r="G131" s="205"/>
      <c r="H131" s="205"/>
      <c r="I131" s="205"/>
      <c r="J131" s="205"/>
      <c r="K131" s="205"/>
      <c r="L131" s="205"/>
      <c r="M131" s="205"/>
      <c r="N131" s="205"/>
    </row>
    <row r="132" spans="1:14" ht="12.75" customHeight="1" x14ac:dyDescent="0.2">
      <c r="A132" s="205"/>
      <c r="B132" s="205"/>
      <c r="C132" s="205"/>
      <c r="D132" s="205"/>
      <c r="E132" s="205"/>
      <c r="F132" s="205"/>
      <c r="G132" s="205"/>
      <c r="H132" s="205"/>
      <c r="I132" s="205"/>
      <c r="J132" s="205"/>
      <c r="K132" s="205"/>
      <c r="L132" s="205"/>
      <c r="M132" s="205"/>
      <c r="N132" s="205"/>
    </row>
    <row r="133" spans="1:14" ht="12.75" customHeight="1" x14ac:dyDescent="0.2">
      <c r="A133" s="205"/>
      <c r="B133" s="205"/>
      <c r="C133" s="205"/>
      <c r="D133" s="205"/>
      <c r="E133" s="205"/>
      <c r="F133" s="205"/>
      <c r="G133" s="205"/>
      <c r="H133" s="205"/>
      <c r="I133" s="205"/>
      <c r="J133" s="205"/>
      <c r="K133" s="205"/>
      <c r="L133" s="205"/>
      <c r="M133" s="205"/>
      <c r="N133" s="205"/>
    </row>
    <row r="134" spans="1:14" ht="12.75" customHeight="1" x14ac:dyDescent="0.2">
      <c r="A134" s="205"/>
      <c r="B134" s="205"/>
      <c r="C134" s="205"/>
      <c r="D134" s="205"/>
      <c r="E134" s="205"/>
      <c r="F134" s="205"/>
      <c r="G134" s="205"/>
      <c r="H134" s="205"/>
      <c r="I134" s="205"/>
      <c r="J134" s="205"/>
      <c r="K134" s="205"/>
      <c r="L134" s="205"/>
      <c r="M134" s="205"/>
      <c r="N134" s="205"/>
    </row>
    <row r="135" spans="1:14" ht="12.75" customHeight="1" x14ac:dyDescent="0.2">
      <c r="A135" s="205"/>
      <c r="B135" s="205"/>
      <c r="C135" s="205"/>
      <c r="D135" s="205"/>
      <c r="E135" s="205"/>
      <c r="F135" s="205"/>
      <c r="G135" s="205"/>
      <c r="H135" s="205"/>
      <c r="I135" s="205"/>
      <c r="J135" s="205"/>
      <c r="K135" s="205"/>
      <c r="L135" s="205"/>
      <c r="M135" s="205"/>
      <c r="N135" s="205"/>
    </row>
    <row r="136" spans="1:14" ht="12.75" customHeight="1" x14ac:dyDescent="0.2">
      <c r="A136" s="205"/>
      <c r="B136" s="205"/>
      <c r="C136" s="205"/>
      <c r="D136" s="205"/>
      <c r="E136" s="205"/>
      <c r="F136" s="205"/>
      <c r="G136" s="205"/>
      <c r="H136" s="205"/>
      <c r="I136" s="205"/>
      <c r="J136" s="205"/>
      <c r="K136" s="205"/>
      <c r="L136" s="205"/>
      <c r="M136" s="205"/>
      <c r="N136" s="205"/>
    </row>
    <row r="137" spans="1:14" ht="12.75" customHeight="1" x14ac:dyDescent="0.2">
      <c r="A137" s="205"/>
      <c r="B137" s="205"/>
      <c r="C137" s="205"/>
      <c r="D137" s="205"/>
      <c r="E137" s="205"/>
      <c r="F137" s="205"/>
      <c r="G137" s="205"/>
      <c r="H137" s="205"/>
      <c r="I137" s="205"/>
      <c r="J137" s="205"/>
      <c r="K137" s="205"/>
      <c r="L137" s="205"/>
      <c r="M137" s="205"/>
      <c r="N137" s="205"/>
    </row>
    <row r="138" spans="1:14" ht="12.75" customHeight="1" x14ac:dyDescent="0.2">
      <c r="A138" s="205"/>
      <c r="B138" s="205"/>
      <c r="C138" s="205"/>
      <c r="D138" s="205"/>
      <c r="E138" s="205"/>
      <c r="F138" s="205"/>
      <c r="G138" s="205"/>
      <c r="H138" s="205"/>
      <c r="I138" s="205"/>
      <c r="J138" s="205"/>
      <c r="K138" s="205"/>
      <c r="L138" s="205"/>
      <c r="M138" s="205"/>
      <c r="N138" s="205"/>
    </row>
    <row r="139" spans="1:14" ht="12.75" customHeight="1" x14ac:dyDescent="0.2">
      <c r="A139" s="205"/>
      <c r="B139" s="205"/>
      <c r="C139" s="205"/>
      <c r="D139" s="205"/>
      <c r="E139" s="205"/>
      <c r="F139" s="205"/>
      <c r="G139" s="205"/>
      <c r="H139" s="205"/>
      <c r="I139" s="205"/>
      <c r="J139" s="205"/>
      <c r="K139" s="205"/>
      <c r="L139" s="205"/>
      <c r="M139" s="205"/>
      <c r="N139" s="205"/>
    </row>
    <row r="140" spans="1:14" ht="12.75" customHeight="1" x14ac:dyDescent="0.2">
      <c r="A140" s="205"/>
      <c r="B140" s="205"/>
      <c r="C140" s="205"/>
      <c r="D140" s="205"/>
      <c r="E140" s="205"/>
      <c r="F140" s="205"/>
      <c r="G140" s="205"/>
      <c r="H140" s="205"/>
      <c r="I140" s="205"/>
      <c r="J140" s="205"/>
      <c r="K140" s="205"/>
      <c r="L140" s="205"/>
      <c r="M140" s="205"/>
      <c r="N140" s="205"/>
    </row>
    <row r="141" spans="1:14" ht="12.75" customHeight="1" x14ac:dyDescent="0.2">
      <c r="A141" s="205"/>
      <c r="B141" s="205"/>
      <c r="C141" s="205"/>
      <c r="D141" s="205"/>
      <c r="E141" s="205"/>
      <c r="F141" s="205"/>
      <c r="G141" s="205"/>
      <c r="H141" s="205"/>
      <c r="I141" s="205"/>
      <c r="J141" s="205"/>
      <c r="K141" s="205"/>
      <c r="L141" s="205"/>
      <c r="M141" s="205"/>
      <c r="N141" s="205"/>
    </row>
    <row r="142" spans="1:14" ht="12.75" customHeight="1" x14ac:dyDescent="0.2">
      <c r="A142" s="205"/>
      <c r="B142" s="205"/>
      <c r="C142" s="205"/>
      <c r="D142" s="205"/>
      <c r="E142" s="205"/>
      <c r="F142" s="205"/>
      <c r="G142" s="205"/>
      <c r="H142" s="205"/>
      <c r="I142" s="205"/>
      <c r="J142" s="205"/>
      <c r="K142" s="205"/>
      <c r="L142" s="205"/>
      <c r="M142" s="205"/>
      <c r="N142" s="205"/>
    </row>
    <row r="143" spans="1:14" ht="12.75" customHeight="1" x14ac:dyDescent="0.2">
      <c r="A143" s="205"/>
      <c r="B143" s="205"/>
      <c r="C143" s="205"/>
      <c r="D143" s="205"/>
      <c r="E143" s="205"/>
      <c r="F143" s="205"/>
      <c r="G143" s="205"/>
      <c r="H143" s="205"/>
      <c r="I143" s="205"/>
      <c r="J143" s="205"/>
      <c r="K143" s="205"/>
      <c r="L143" s="205"/>
      <c r="M143" s="205"/>
      <c r="N143" s="205"/>
    </row>
    <row r="144" spans="1:14" ht="12.75" customHeight="1" x14ac:dyDescent="0.2">
      <c r="A144" s="205"/>
      <c r="B144" s="205"/>
      <c r="C144" s="205"/>
      <c r="D144" s="205"/>
      <c r="E144" s="205"/>
      <c r="F144" s="205"/>
      <c r="G144" s="205"/>
      <c r="H144" s="205"/>
      <c r="I144" s="205"/>
      <c r="J144" s="205"/>
      <c r="K144" s="205"/>
      <c r="L144" s="205"/>
      <c r="M144" s="205"/>
      <c r="N144" s="205"/>
    </row>
  </sheetData>
  <mergeCells count="32">
    <mergeCell ref="D71:F71"/>
    <mergeCell ref="A91:J91"/>
    <mergeCell ref="L91:R91"/>
    <mergeCell ref="T91:Z91"/>
    <mergeCell ref="D92:F92"/>
    <mergeCell ref="T51:Z51"/>
    <mergeCell ref="D52:F52"/>
    <mergeCell ref="L11:R11"/>
    <mergeCell ref="A11:J11"/>
    <mergeCell ref="A51:J51"/>
    <mergeCell ref="L51:R51"/>
    <mergeCell ref="D12:F12"/>
    <mergeCell ref="A31:J31"/>
    <mergeCell ref="L31:R31"/>
    <mergeCell ref="T31:Z31"/>
    <mergeCell ref="D32:F32"/>
    <mergeCell ref="A70:J70"/>
    <mergeCell ref="L70:R70"/>
    <mergeCell ref="T70:Z70"/>
    <mergeCell ref="A1:J1"/>
    <mergeCell ref="A9:B9"/>
    <mergeCell ref="A7:B7"/>
    <mergeCell ref="C7:F7"/>
    <mergeCell ref="A8:B8"/>
    <mergeCell ref="C8:F8"/>
    <mergeCell ref="A5:B5"/>
    <mergeCell ref="C5:F5"/>
    <mergeCell ref="A6:B6"/>
    <mergeCell ref="C6:F6"/>
    <mergeCell ref="A3:K3"/>
    <mergeCell ref="C9:I9"/>
    <mergeCell ref="T11:Z11"/>
  </mergeCells>
  <conditionalFormatting sqref="D14:F16">
    <cfRule type="dataBar" priority="284">
      <dataBar>
        <cfvo type="num" val="0"/>
        <cfvo type="num" val="1"/>
        <color theme="5" tint="0.39997558519241921"/>
      </dataBar>
    </cfRule>
  </conditionalFormatting>
  <conditionalFormatting sqref="D17:F19">
    <cfRule type="dataBar" priority="151">
      <dataBar>
        <cfvo type="num" val="0"/>
        <cfvo type="num" val="1"/>
        <color theme="6" tint="0.39997558519241921"/>
      </dataBar>
    </cfRule>
  </conditionalFormatting>
  <conditionalFormatting sqref="D20:F22">
    <cfRule type="dataBar" priority="150">
      <dataBar>
        <cfvo type="num" val="0"/>
        <cfvo type="num" val="1"/>
        <color theme="7" tint="0.39997558519241921"/>
      </dataBar>
    </cfRule>
  </conditionalFormatting>
  <conditionalFormatting sqref="D23:F23">
    <cfRule type="dataBar" priority="13">
      <dataBar>
        <cfvo type="num" val="0"/>
        <cfvo type="num" val="1"/>
        <color theme="8" tint="0.39997558519241921"/>
      </dataBar>
    </cfRule>
  </conditionalFormatting>
  <conditionalFormatting sqref="D23:F25">
    <cfRule type="dataBar" priority="12">
      <dataBar>
        <cfvo type="num" val="0"/>
        <cfvo type="num" val="1"/>
        <color rgb="FFB18192"/>
      </dataBar>
    </cfRule>
  </conditionalFormatting>
  <conditionalFormatting sqref="D25:F25">
    <cfRule type="dataBar" priority="11">
      <dataBar>
        <cfvo type="num" val="0"/>
        <cfvo type="num" val="1"/>
        <color theme="8" tint="0.39997558519241921"/>
      </dataBar>
    </cfRule>
  </conditionalFormatting>
  <conditionalFormatting sqref="D26:F28">
    <cfRule type="dataBar" priority="33">
      <dataBar>
        <cfvo type="num" val="0"/>
        <cfvo type="num" val="3"/>
        <color rgb="FF929A9A"/>
      </dataBar>
    </cfRule>
  </conditionalFormatting>
  <conditionalFormatting sqref="D34:F35">
    <cfRule type="dataBar" priority="147">
      <dataBar>
        <cfvo type="num" val="0"/>
        <cfvo type="num" val="1"/>
        <color theme="5" tint="0.39997558519241921"/>
      </dataBar>
    </cfRule>
  </conditionalFormatting>
  <conditionalFormatting sqref="D36:F36">
    <cfRule type="dataBar" priority="144">
      <dataBar>
        <cfvo type="num" val="0"/>
        <cfvo type="num" val="1"/>
        <color theme="5" tint="0.39997558519241921"/>
      </dataBar>
    </cfRule>
  </conditionalFormatting>
  <conditionalFormatting sqref="D37:F39">
    <cfRule type="dataBar" priority="121">
      <dataBar>
        <cfvo type="num" val="0"/>
        <cfvo type="num" val="1"/>
        <color theme="6" tint="0.39997558519241921"/>
      </dataBar>
    </cfRule>
  </conditionalFormatting>
  <conditionalFormatting sqref="D40:F42">
    <cfRule type="dataBar" priority="122">
      <dataBar>
        <cfvo type="num" val="0"/>
        <cfvo type="num" val="1"/>
        <color theme="7" tint="0.39997558519241921"/>
      </dataBar>
    </cfRule>
  </conditionalFormatting>
  <conditionalFormatting sqref="D43:F43">
    <cfRule type="dataBar" priority="16">
      <dataBar>
        <cfvo type="num" val="0"/>
        <cfvo type="num" val="1"/>
        <color theme="8" tint="0.39997558519241921"/>
      </dataBar>
    </cfRule>
  </conditionalFormatting>
  <conditionalFormatting sqref="D43:F45">
    <cfRule type="dataBar" priority="15">
      <dataBar>
        <cfvo type="num" val="0"/>
        <cfvo type="num" val="1"/>
        <color rgb="FFB18192"/>
      </dataBar>
    </cfRule>
  </conditionalFormatting>
  <conditionalFormatting sqref="D45:F45">
    <cfRule type="dataBar" priority="14">
      <dataBar>
        <cfvo type="num" val="0"/>
        <cfvo type="num" val="1"/>
        <color theme="8" tint="0.39997558519241921"/>
      </dataBar>
    </cfRule>
  </conditionalFormatting>
  <conditionalFormatting sqref="D46:F48">
    <cfRule type="dataBar" priority="32">
      <dataBar>
        <cfvo type="num" val="0"/>
        <cfvo type="num" val="3"/>
        <color rgb="FF929A9A"/>
      </dataBar>
    </cfRule>
  </conditionalFormatting>
  <conditionalFormatting sqref="D54:F55">
    <cfRule type="dataBar" priority="87">
      <dataBar>
        <cfvo type="num" val="0"/>
        <cfvo type="num" val="1"/>
        <color theme="5" tint="0.39997558519241921"/>
      </dataBar>
    </cfRule>
  </conditionalFormatting>
  <conditionalFormatting sqref="D56:F56">
    <cfRule type="dataBar" priority="81">
      <dataBar>
        <cfvo type="num" val="0"/>
        <cfvo type="num" val="1"/>
        <color theme="5" tint="0.39997558519241921"/>
      </dataBar>
    </cfRule>
  </conditionalFormatting>
  <conditionalFormatting sqref="D57:F59">
    <cfRule type="dataBar" priority="82">
      <dataBar>
        <cfvo type="num" val="0"/>
        <cfvo type="num" val="1"/>
        <color theme="6" tint="0.39997558519241921"/>
      </dataBar>
    </cfRule>
  </conditionalFormatting>
  <conditionalFormatting sqref="D60:F62">
    <cfRule type="dataBar" priority="83">
      <dataBar>
        <cfvo type="num" val="0"/>
        <cfvo type="num" val="1"/>
        <color theme="7" tint="0.39997558519241921"/>
      </dataBar>
    </cfRule>
  </conditionalFormatting>
  <conditionalFormatting sqref="D63:F63">
    <cfRule type="dataBar" priority="19">
      <dataBar>
        <cfvo type="num" val="0"/>
        <cfvo type="num" val="1"/>
        <color theme="8" tint="0.39997558519241921"/>
      </dataBar>
    </cfRule>
  </conditionalFormatting>
  <conditionalFormatting sqref="D63:F65">
    <cfRule type="dataBar" priority="18">
      <dataBar>
        <cfvo type="num" val="0"/>
        <cfvo type="num" val="1"/>
        <color rgb="FFB18192"/>
      </dataBar>
    </cfRule>
  </conditionalFormatting>
  <conditionalFormatting sqref="D65:F65">
    <cfRule type="dataBar" priority="17">
      <dataBar>
        <cfvo type="num" val="0"/>
        <cfvo type="num" val="1"/>
        <color theme="8" tint="0.39997558519241921"/>
      </dataBar>
    </cfRule>
  </conditionalFormatting>
  <conditionalFormatting sqref="D66:F68">
    <cfRule type="dataBar" priority="28">
      <dataBar>
        <cfvo type="num" val="0"/>
        <cfvo type="num" val="3"/>
        <color rgb="FF929A9A"/>
      </dataBar>
    </cfRule>
  </conditionalFormatting>
  <conditionalFormatting sqref="D73:F74">
    <cfRule type="dataBar" priority="114">
      <dataBar>
        <cfvo type="num" val="0"/>
        <cfvo type="num" val="1"/>
        <color theme="5" tint="0.39997558519241921"/>
      </dataBar>
    </cfRule>
  </conditionalFormatting>
  <conditionalFormatting sqref="D75:F75">
    <cfRule type="dataBar" priority="80">
      <dataBar>
        <cfvo type="num" val="0"/>
        <cfvo type="num" val="1"/>
        <color theme="5" tint="0.39997558519241921"/>
      </dataBar>
    </cfRule>
  </conditionalFormatting>
  <conditionalFormatting sqref="D76:F76">
    <cfRule type="dataBar" priority="78">
      <dataBar>
        <cfvo type="num" val="0"/>
        <cfvo type="num" val="1"/>
        <color theme="6" tint="0.39997558519241921"/>
      </dataBar>
    </cfRule>
  </conditionalFormatting>
  <conditionalFormatting sqref="D77:F77">
    <cfRule type="dataBar" priority="77">
      <dataBar>
        <cfvo type="num" val="0"/>
        <cfvo type="num" val="1"/>
        <color theme="6" tint="0.39997558519241921"/>
      </dataBar>
    </cfRule>
  </conditionalFormatting>
  <conditionalFormatting sqref="D78:F78">
    <cfRule type="dataBar" priority="76">
      <dataBar>
        <cfvo type="num" val="0"/>
        <cfvo type="num" val="1"/>
        <color theme="6" tint="0.39997558519241921"/>
      </dataBar>
    </cfRule>
  </conditionalFormatting>
  <conditionalFormatting sqref="D79:F79">
    <cfRule type="dataBar" priority="74">
      <dataBar>
        <cfvo type="num" val="0"/>
        <cfvo type="num" val="1"/>
        <color theme="7" tint="0.39997558519241921"/>
      </dataBar>
    </cfRule>
  </conditionalFormatting>
  <conditionalFormatting sqref="D80:F80">
    <cfRule type="dataBar" priority="73">
      <dataBar>
        <cfvo type="num" val="0"/>
        <cfvo type="num" val="1"/>
        <color theme="7" tint="0.39997558519241921"/>
      </dataBar>
    </cfRule>
  </conditionalFormatting>
  <conditionalFormatting sqref="D81:F81">
    <cfRule type="dataBar" priority="72">
      <dataBar>
        <cfvo type="num" val="0"/>
        <cfvo type="num" val="1"/>
        <color theme="7" tint="0.39997558519241921"/>
      </dataBar>
    </cfRule>
  </conditionalFormatting>
  <conditionalFormatting sqref="D82:F82">
    <cfRule type="dataBar" priority="22">
      <dataBar>
        <cfvo type="num" val="0"/>
        <cfvo type="num" val="1"/>
        <color theme="8" tint="0.39997558519241921"/>
      </dataBar>
    </cfRule>
  </conditionalFormatting>
  <conditionalFormatting sqref="D82:F84">
    <cfRule type="dataBar" priority="21">
      <dataBar>
        <cfvo type="num" val="0"/>
        <cfvo type="num" val="1"/>
        <color rgb="FFB18192"/>
      </dataBar>
    </cfRule>
  </conditionalFormatting>
  <conditionalFormatting sqref="D84:F84">
    <cfRule type="dataBar" priority="20">
      <dataBar>
        <cfvo type="num" val="0"/>
        <cfvo type="num" val="1"/>
        <color theme="8" tint="0.39997558519241921"/>
      </dataBar>
    </cfRule>
  </conditionalFormatting>
  <conditionalFormatting sqref="D85:F87">
    <cfRule type="dataBar" priority="27">
      <dataBar>
        <cfvo type="num" val="0"/>
        <cfvo type="num" val="3"/>
        <color rgb="FF929A9A"/>
      </dataBar>
    </cfRule>
  </conditionalFormatting>
  <conditionalFormatting sqref="D94:F95">
    <cfRule type="dataBar" priority="108">
      <dataBar>
        <cfvo type="num" val="0"/>
        <cfvo type="num" val="1"/>
        <color theme="5" tint="0.39997558519241921"/>
      </dataBar>
    </cfRule>
  </conditionalFormatting>
  <conditionalFormatting sqref="D96:F96">
    <cfRule type="dataBar" priority="55">
      <dataBar>
        <cfvo type="num" val="0"/>
        <cfvo type="num" val="1"/>
        <color theme="5" tint="0.39997558519241921"/>
      </dataBar>
    </cfRule>
  </conditionalFormatting>
  <conditionalFormatting sqref="D97:F97">
    <cfRule type="dataBar" priority="53">
      <dataBar>
        <cfvo type="num" val="0"/>
        <cfvo type="num" val="1"/>
        <color theme="6" tint="0.39997558519241921"/>
      </dataBar>
    </cfRule>
  </conditionalFormatting>
  <conditionalFormatting sqref="D98:F98">
    <cfRule type="dataBar" priority="52">
      <dataBar>
        <cfvo type="num" val="0"/>
        <cfvo type="num" val="1"/>
        <color theme="6" tint="0.39997558519241921"/>
      </dataBar>
    </cfRule>
  </conditionalFormatting>
  <conditionalFormatting sqref="D99:F99">
    <cfRule type="dataBar" priority="51">
      <dataBar>
        <cfvo type="num" val="0"/>
        <cfvo type="num" val="1"/>
        <color theme="6" tint="0.39997558519241921"/>
      </dataBar>
    </cfRule>
  </conditionalFormatting>
  <conditionalFormatting sqref="D100:F100">
    <cfRule type="dataBar" priority="49">
      <dataBar>
        <cfvo type="num" val="0"/>
        <cfvo type="num" val="1"/>
        <color theme="7" tint="0.39997558519241921"/>
      </dataBar>
    </cfRule>
  </conditionalFormatting>
  <conditionalFormatting sqref="D101:F101">
    <cfRule type="dataBar" priority="48">
      <dataBar>
        <cfvo type="num" val="0"/>
        <cfvo type="num" val="1"/>
        <color theme="7" tint="0.39997558519241921"/>
      </dataBar>
    </cfRule>
  </conditionalFormatting>
  <conditionalFormatting sqref="D102:F102">
    <cfRule type="dataBar" priority="47">
      <dataBar>
        <cfvo type="num" val="0"/>
        <cfvo type="num" val="1"/>
        <color theme="7" tint="0.39997558519241921"/>
      </dataBar>
    </cfRule>
  </conditionalFormatting>
  <conditionalFormatting sqref="D103:F103">
    <cfRule type="dataBar" priority="45">
      <dataBar>
        <cfvo type="num" val="0"/>
        <cfvo type="num" val="1"/>
        <color theme="8" tint="0.39997558519241921"/>
      </dataBar>
    </cfRule>
  </conditionalFormatting>
  <conditionalFormatting sqref="D103:F105">
    <cfRule type="dataBar" priority="44">
      <dataBar>
        <cfvo type="num" val="0"/>
        <cfvo type="num" val="1"/>
        <color rgb="FFB18192"/>
      </dataBar>
    </cfRule>
  </conditionalFormatting>
  <conditionalFormatting sqref="D105:F105">
    <cfRule type="dataBar" priority="43">
      <dataBar>
        <cfvo type="num" val="0"/>
        <cfvo type="num" val="1"/>
        <color theme="8" tint="0.39997558519241921"/>
      </dataBar>
    </cfRule>
  </conditionalFormatting>
  <conditionalFormatting sqref="D106:F108">
    <cfRule type="dataBar" priority="23">
      <dataBar>
        <cfvo type="num" val="0"/>
        <cfvo type="num" val="3"/>
        <color rgb="FF929A9A"/>
      </dataBar>
    </cfRule>
  </conditionalFormatting>
  <conditionalFormatting sqref="J14">
    <cfRule type="dataBar" priority="211">
      <dataBar>
        <cfvo type="num" val="0"/>
        <cfvo type="num" val="3"/>
        <color theme="5" tint="0.39997558519241921"/>
      </dataBar>
    </cfRule>
  </conditionalFormatting>
  <conditionalFormatting sqref="J15">
    <cfRule type="dataBar" priority="210">
      <dataBar>
        <cfvo type="num" val="0"/>
        <cfvo type="num" val="3"/>
        <color theme="6" tint="0.39997558519241921"/>
      </dataBar>
    </cfRule>
  </conditionalFormatting>
  <conditionalFormatting sqref="J16">
    <cfRule type="dataBar" priority="152">
      <dataBar>
        <cfvo type="num" val="0"/>
        <cfvo type="num" val="3"/>
        <color theme="7" tint="0.39997558519241921"/>
      </dataBar>
    </cfRule>
  </conditionalFormatting>
  <conditionalFormatting sqref="J17">
    <cfRule type="dataBar" priority="9">
      <dataBar>
        <cfvo type="num" val="0"/>
        <cfvo type="num" val="1"/>
        <color rgb="FFB18192"/>
      </dataBar>
    </cfRule>
    <cfRule type="dataBar" priority="10">
      <dataBar>
        <cfvo type="num" val="0"/>
        <cfvo type="num" val="1"/>
        <color theme="8" tint="0.39997558519241921"/>
      </dataBar>
    </cfRule>
  </conditionalFormatting>
  <conditionalFormatting sqref="J18">
    <cfRule type="dataBar" priority="38">
      <dataBar>
        <cfvo type="num" val="0"/>
        <cfvo type="num" val="3"/>
        <color rgb="FF929A9A"/>
      </dataBar>
    </cfRule>
  </conditionalFormatting>
  <conditionalFormatting sqref="J19">
    <cfRule type="dataBar" priority="208">
      <dataBar>
        <cfvo type="num" val="0"/>
        <cfvo type="num" val="3"/>
        <color theme="1" tint="0.499984740745262"/>
      </dataBar>
    </cfRule>
  </conditionalFormatting>
  <conditionalFormatting sqref="J34">
    <cfRule type="dataBar" priority="143">
      <dataBar>
        <cfvo type="num" val="0"/>
        <cfvo type="num" val="3"/>
        <color theme="5" tint="0.39997558519241921"/>
      </dataBar>
    </cfRule>
  </conditionalFormatting>
  <conditionalFormatting sqref="J35">
    <cfRule type="dataBar" priority="142">
      <dataBar>
        <cfvo type="num" val="0"/>
        <cfvo type="num" val="3"/>
        <color theme="6" tint="0.39997558519241921"/>
      </dataBar>
    </cfRule>
  </conditionalFormatting>
  <conditionalFormatting sqref="J36">
    <cfRule type="dataBar" priority="139">
      <dataBar>
        <cfvo type="num" val="0"/>
        <cfvo type="num" val="3"/>
        <color theme="7" tint="0.39997558519241921"/>
      </dataBar>
    </cfRule>
  </conditionalFormatting>
  <conditionalFormatting sqref="J37">
    <cfRule type="dataBar" priority="8">
      <dataBar>
        <cfvo type="num" val="0"/>
        <cfvo type="num" val="1"/>
        <color theme="8" tint="0.39997558519241921"/>
      </dataBar>
    </cfRule>
    <cfRule type="dataBar" priority="7">
      <dataBar>
        <cfvo type="num" val="0"/>
        <cfvo type="num" val="1"/>
        <color rgb="FFB18192"/>
      </dataBar>
    </cfRule>
  </conditionalFormatting>
  <conditionalFormatting sqref="J39">
    <cfRule type="dataBar" priority="30">
      <dataBar>
        <cfvo type="num" val="0"/>
        <cfvo type="num" val="3"/>
        <color theme="1" tint="0.499984740745262"/>
      </dataBar>
    </cfRule>
  </conditionalFormatting>
  <conditionalFormatting sqref="J54">
    <cfRule type="dataBar" priority="102">
      <dataBar>
        <cfvo type="num" val="0"/>
        <cfvo type="num" val="3"/>
        <color theme="5" tint="0.39997558519241921"/>
      </dataBar>
    </cfRule>
  </conditionalFormatting>
  <conditionalFormatting sqref="J55">
    <cfRule type="dataBar" priority="101">
      <dataBar>
        <cfvo type="num" val="0"/>
        <cfvo type="num" val="3"/>
        <color theme="6" tint="0.39997558519241921"/>
      </dataBar>
    </cfRule>
  </conditionalFormatting>
  <conditionalFormatting sqref="J56">
    <cfRule type="dataBar" priority="98">
      <dataBar>
        <cfvo type="num" val="0"/>
        <cfvo type="num" val="3"/>
        <color theme="7" tint="0.39997558519241921"/>
      </dataBar>
    </cfRule>
  </conditionalFormatting>
  <conditionalFormatting sqref="J57">
    <cfRule type="dataBar" priority="6">
      <dataBar>
        <cfvo type="num" val="0"/>
        <cfvo type="num" val="1"/>
        <color theme="8" tint="0.39997558519241921"/>
      </dataBar>
    </cfRule>
    <cfRule type="dataBar" priority="5">
      <dataBar>
        <cfvo type="num" val="0"/>
        <cfvo type="num" val="1"/>
        <color rgb="FFB18192"/>
      </dataBar>
    </cfRule>
  </conditionalFormatting>
  <conditionalFormatting sqref="J58">
    <cfRule type="dataBar" priority="29">
      <dataBar>
        <cfvo type="num" val="0"/>
        <cfvo type="num" val="3"/>
        <color rgb="FF929A9A"/>
      </dataBar>
    </cfRule>
  </conditionalFormatting>
  <conditionalFormatting sqref="J59">
    <cfRule type="dataBar" priority="36">
      <dataBar>
        <cfvo type="num" val="0"/>
        <cfvo type="num" val="3"/>
        <color theme="1" tint="0.499984740745262"/>
      </dataBar>
    </cfRule>
  </conditionalFormatting>
  <conditionalFormatting sqref="J73">
    <cfRule type="dataBar" priority="97">
      <dataBar>
        <cfvo type="num" val="0"/>
        <cfvo type="num" val="3"/>
        <color theme="5" tint="0.39997558519241921"/>
      </dataBar>
    </cfRule>
  </conditionalFormatting>
  <conditionalFormatting sqref="J74">
    <cfRule type="dataBar" priority="96">
      <dataBar>
        <cfvo type="num" val="0"/>
        <cfvo type="num" val="3"/>
        <color theme="6" tint="0.39997558519241921"/>
      </dataBar>
    </cfRule>
  </conditionalFormatting>
  <conditionalFormatting sqref="J75">
    <cfRule type="dataBar" priority="93">
      <dataBar>
        <cfvo type="num" val="0"/>
        <cfvo type="num" val="3"/>
        <color theme="7" tint="0.39997558519241921"/>
      </dataBar>
    </cfRule>
  </conditionalFormatting>
  <conditionalFormatting sqref="J76">
    <cfRule type="dataBar" priority="4">
      <dataBar>
        <cfvo type="num" val="0"/>
        <cfvo type="num" val="1"/>
        <color theme="8" tint="0.39997558519241921"/>
      </dataBar>
    </cfRule>
    <cfRule type="dataBar" priority="3">
      <dataBar>
        <cfvo type="num" val="0"/>
        <cfvo type="num" val="1"/>
        <color rgb="FFB18192"/>
      </dataBar>
    </cfRule>
  </conditionalFormatting>
  <conditionalFormatting sqref="J78">
    <cfRule type="dataBar" priority="25">
      <dataBar>
        <cfvo type="num" val="0"/>
        <cfvo type="num" val="3"/>
        <color theme="1" tint="0.499984740745262"/>
      </dataBar>
    </cfRule>
  </conditionalFormatting>
  <conditionalFormatting sqref="J94">
    <cfRule type="dataBar" priority="92">
      <dataBar>
        <cfvo type="num" val="0"/>
        <cfvo type="num" val="3"/>
        <color theme="5" tint="0.39997558519241921"/>
      </dataBar>
    </cfRule>
  </conditionalFormatting>
  <conditionalFormatting sqref="J95">
    <cfRule type="dataBar" priority="91">
      <dataBar>
        <cfvo type="num" val="0"/>
        <cfvo type="num" val="3"/>
        <color theme="6" tint="0.39997558519241921"/>
      </dataBar>
    </cfRule>
  </conditionalFormatting>
  <conditionalFormatting sqref="J96">
    <cfRule type="dataBar" priority="88">
      <dataBar>
        <cfvo type="num" val="0"/>
        <cfvo type="num" val="3"/>
        <color theme="7" tint="0.39997558519241921"/>
      </dataBar>
    </cfRule>
  </conditionalFormatting>
  <conditionalFormatting sqref="J97">
    <cfRule type="dataBar" priority="2">
      <dataBar>
        <cfvo type="num" val="0"/>
        <cfvo type="num" val="1"/>
        <color theme="8" tint="0.39997558519241921"/>
      </dataBar>
    </cfRule>
    <cfRule type="dataBar" priority="1">
      <dataBar>
        <cfvo type="num" val="0"/>
        <cfvo type="num" val="1"/>
        <color rgb="FFB18192"/>
      </dataBar>
    </cfRule>
  </conditionalFormatting>
  <conditionalFormatting sqref="J98">
    <cfRule type="dataBar" priority="24">
      <dataBar>
        <cfvo type="num" val="0"/>
        <cfvo type="num" val="3"/>
        <color rgb="FF929A9A"/>
      </dataBar>
    </cfRule>
  </conditionalFormatting>
  <conditionalFormatting sqref="J99">
    <cfRule type="dataBar" priority="34">
      <dataBar>
        <cfvo type="num" val="0"/>
        <cfvo type="num" val="3"/>
        <color theme="1" tint="0.499984740745262"/>
      </dataBar>
    </cfRule>
  </conditionalFormatting>
  <conditionalFormatting sqref="L38:L40 J38">
    <cfRule type="dataBar" priority="31">
      <dataBar>
        <cfvo type="num" val="0"/>
        <cfvo type="num" val="3"/>
        <color rgb="FF929A9A"/>
      </dataBar>
    </cfRule>
  </conditionalFormatting>
  <conditionalFormatting sqref="L77:L79 J77">
    <cfRule type="dataBar" priority="26">
      <dataBar>
        <cfvo type="num" val="0"/>
        <cfvo type="num" val="3"/>
        <color rgb="FF929A9A"/>
      </dataBar>
    </cfRule>
  </conditionalFormatting>
  <pageMargins left="0.75" right="0.75" top="1" bottom="1" header="0.5" footer="0.5"/>
  <pageSetup paperSize="9" scale="10" firstPageNumber="0" fitToWidth="0" fitToHeight="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54"/>
  <sheetViews>
    <sheetView topLeftCell="U42" zoomScaleNormal="100" workbookViewId="0">
      <selection activeCell="Z71" sqref="Z71"/>
    </sheetView>
  </sheetViews>
  <sheetFormatPr baseColWidth="10" defaultColWidth="8.83203125" defaultRowHeight="13" x14ac:dyDescent="0.15"/>
  <cols>
    <col min="1" max="1" width="11" style="87" hidden="1" customWidth="1"/>
    <col min="2" max="2" width="15.5" style="87" customWidth="1"/>
    <col min="3" max="3" width="7.5" style="87" customWidth="1"/>
    <col min="4" max="4" width="71.6640625" style="90" bestFit="1" customWidth="1"/>
    <col min="5" max="5" width="5.1640625" style="91" hidden="1" customWidth="1"/>
    <col min="6" max="6" width="40.5" style="92" customWidth="1"/>
    <col min="7" max="7" width="8.5" style="87" hidden="1" customWidth="1"/>
    <col min="8" max="8" width="8.5" style="93" hidden="1" customWidth="1"/>
    <col min="9" max="9" width="15" style="203" customWidth="1"/>
    <col min="10" max="10" width="40.5" style="89" customWidth="1"/>
    <col min="11" max="11" width="7" style="89" hidden="1" customWidth="1"/>
    <col min="12" max="12" width="9.1640625" style="89" hidden="1" customWidth="1"/>
    <col min="13" max="13" width="16.5" style="89" customWidth="1"/>
    <col min="14" max="14" width="40.5" style="89" customWidth="1"/>
    <col min="15" max="15" width="28.5" style="89" hidden="1" customWidth="1"/>
    <col min="16" max="16" width="15" style="89" hidden="1" customWidth="1"/>
    <col min="17" max="17" width="15" style="89" customWidth="1"/>
    <col min="18" max="18" width="40.5" style="89" customWidth="1"/>
    <col min="19" max="20" width="15" style="89" hidden="1" customWidth="1"/>
    <col min="21" max="21" width="15" style="89" customWidth="1"/>
    <col min="22" max="22" width="40.5" style="89" customWidth="1"/>
    <col min="23" max="24" width="15" style="89" hidden="1" customWidth="1"/>
    <col min="25" max="25" width="15" style="89" customWidth="1"/>
    <col min="26" max="26" width="17.5" style="89" customWidth="1"/>
    <col min="27" max="27" width="8.83203125" style="89" customWidth="1"/>
    <col min="28" max="16384" width="8.83203125" style="89"/>
  </cols>
  <sheetData>
    <row r="1" spans="1:26" ht="18" customHeight="1" x14ac:dyDescent="0.15">
      <c r="B1" s="254" t="str">
        <f>CONCATENATE("SAMM Assessment Interview: ",D11," For ",D10)</f>
        <v xml:space="preserve">SAMM Assessment Interview:  For </v>
      </c>
      <c r="C1" s="88"/>
      <c r="D1" s="255"/>
      <c r="E1" s="255"/>
      <c r="F1" s="255"/>
      <c r="G1" s="255"/>
      <c r="H1" s="255"/>
      <c r="I1" s="94"/>
      <c r="J1" s="95"/>
      <c r="K1" s="95"/>
      <c r="L1" s="95"/>
      <c r="M1" s="95"/>
      <c r="N1" s="95"/>
      <c r="O1" s="95"/>
      <c r="P1" s="95"/>
      <c r="Q1" s="95"/>
      <c r="R1" s="95"/>
      <c r="S1" s="95"/>
      <c r="T1" s="95"/>
      <c r="U1" s="95"/>
      <c r="V1" s="95"/>
      <c r="W1" s="95"/>
      <c r="X1" s="95"/>
      <c r="Y1" s="95"/>
    </row>
    <row r="2" spans="1:26" ht="15" customHeight="1" thickBot="1" x14ac:dyDescent="0.2">
      <c r="B2" s="256"/>
      <c r="C2" s="96"/>
      <c r="D2" s="95"/>
      <c r="E2" s="96"/>
      <c r="F2" s="88"/>
      <c r="G2" s="96"/>
      <c r="H2" s="97"/>
      <c r="I2" s="94"/>
      <c r="J2" s="95"/>
      <c r="K2" s="95"/>
      <c r="L2" s="95"/>
      <c r="M2" s="95"/>
      <c r="N2" s="95"/>
      <c r="O2" s="95"/>
      <c r="P2" s="95"/>
      <c r="Q2" s="95"/>
      <c r="R2" s="95"/>
      <c r="S2" s="95"/>
      <c r="T2" s="95"/>
      <c r="U2" s="95"/>
      <c r="V2" s="95"/>
      <c r="W2" s="95"/>
      <c r="X2" s="95"/>
      <c r="Y2" s="95"/>
    </row>
    <row r="3" spans="1:26" x14ac:dyDescent="0.15">
      <c r="B3" s="257" t="s">
        <v>0</v>
      </c>
      <c r="C3" s="228"/>
      <c r="D3" s="258"/>
      <c r="E3" s="258"/>
      <c r="F3" s="259"/>
      <c r="G3" s="255"/>
      <c r="H3" s="255"/>
      <c r="I3" s="94"/>
      <c r="J3" s="95"/>
      <c r="K3" s="95"/>
      <c r="L3" s="95"/>
      <c r="M3" s="95"/>
      <c r="N3" s="95"/>
      <c r="O3" s="95"/>
      <c r="P3" s="95"/>
      <c r="Q3" s="95"/>
      <c r="R3" s="95"/>
      <c r="S3" s="95"/>
      <c r="T3" s="95"/>
      <c r="U3" s="95"/>
      <c r="V3" s="95"/>
      <c r="W3" s="95"/>
      <c r="X3" s="95"/>
      <c r="Y3" s="95"/>
    </row>
    <row r="4" spans="1:26" x14ac:dyDescent="0.15">
      <c r="B4" s="260" t="s">
        <v>1</v>
      </c>
      <c r="C4" s="229"/>
      <c r="D4" s="261"/>
      <c r="E4" s="261"/>
      <c r="F4" s="262"/>
      <c r="G4" s="95"/>
      <c r="H4" s="95"/>
      <c r="I4" s="94"/>
      <c r="J4" s="95"/>
      <c r="K4" s="95"/>
      <c r="L4" s="95"/>
      <c r="M4" s="95"/>
      <c r="N4" s="95"/>
      <c r="O4" s="95"/>
      <c r="P4" s="95"/>
      <c r="Q4" s="95"/>
      <c r="R4" s="95"/>
      <c r="S4" s="95"/>
      <c r="T4" s="95"/>
      <c r="U4" s="95"/>
      <c r="V4" s="95"/>
      <c r="W4" s="95"/>
      <c r="X4" s="95"/>
      <c r="Y4" s="95"/>
    </row>
    <row r="5" spans="1:26" x14ac:dyDescent="0.15">
      <c r="B5" s="263" t="s">
        <v>2</v>
      </c>
      <c r="C5" s="230"/>
      <c r="D5" s="264"/>
      <c r="E5" s="264"/>
      <c r="F5" s="265"/>
      <c r="G5" s="95"/>
      <c r="H5" s="95"/>
      <c r="I5" s="94"/>
      <c r="J5" s="95"/>
      <c r="K5" s="95"/>
      <c r="L5" s="95"/>
      <c r="M5" s="95"/>
      <c r="N5" s="95"/>
      <c r="O5" s="95"/>
      <c r="P5" s="95"/>
      <c r="Q5" s="95"/>
      <c r="R5" s="95"/>
      <c r="S5" s="95"/>
      <c r="T5" s="95"/>
      <c r="U5" s="95"/>
      <c r="V5" s="95"/>
      <c r="W5" s="95"/>
      <c r="X5" s="95"/>
      <c r="Y5" s="95"/>
    </row>
    <row r="6" spans="1:26" x14ac:dyDescent="0.15">
      <c r="B6" s="263" t="s">
        <v>3</v>
      </c>
      <c r="C6" s="230"/>
      <c r="D6" s="264"/>
      <c r="E6" s="264"/>
      <c r="F6" s="265"/>
      <c r="G6" s="95"/>
      <c r="H6" s="95"/>
      <c r="I6" s="94"/>
      <c r="J6" s="95"/>
      <c r="K6" s="95"/>
      <c r="L6" s="95"/>
      <c r="M6" s="95"/>
      <c r="N6" s="95"/>
      <c r="O6" s="95"/>
      <c r="P6" s="95"/>
      <c r="Q6" s="95"/>
      <c r="R6" s="95"/>
      <c r="S6" s="95"/>
      <c r="T6" s="95"/>
      <c r="U6" s="95"/>
      <c r="V6" s="95"/>
      <c r="W6" s="95"/>
      <c r="X6" s="95"/>
      <c r="Y6" s="95"/>
    </row>
    <row r="7" spans="1:26" x14ac:dyDescent="0.15">
      <c r="B7" s="263" t="s">
        <v>4</v>
      </c>
      <c r="C7" s="230"/>
      <c r="D7" s="264"/>
      <c r="E7" s="264"/>
      <c r="F7" s="265"/>
      <c r="G7" s="95"/>
      <c r="H7" s="95"/>
      <c r="I7" s="94"/>
      <c r="J7" s="95"/>
      <c r="K7" s="95"/>
      <c r="L7" s="95"/>
      <c r="M7" s="95"/>
      <c r="N7" s="95"/>
      <c r="O7" s="95"/>
      <c r="P7" s="95"/>
      <c r="Q7" s="95"/>
      <c r="R7" s="95"/>
      <c r="S7" s="95"/>
      <c r="T7" s="95"/>
      <c r="U7" s="95"/>
      <c r="V7" s="95"/>
      <c r="W7" s="95"/>
      <c r="X7" s="95"/>
      <c r="Y7" s="95"/>
    </row>
    <row r="8" spans="1:26" ht="15" customHeight="1" thickBot="1" x14ac:dyDescent="0.2">
      <c r="B8" s="266" t="s">
        <v>5</v>
      </c>
      <c r="C8" s="231"/>
      <c r="D8" s="267"/>
      <c r="E8" s="267"/>
      <c r="F8" s="268"/>
      <c r="G8" s="95"/>
      <c r="H8" s="95"/>
      <c r="I8" s="94"/>
      <c r="J8" s="95"/>
      <c r="K8" s="95"/>
      <c r="L8" s="95"/>
      <c r="M8" s="95"/>
      <c r="N8" s="95"/>
      <c r="O8" s="95"/>
      <c r="P8" s="95"/>
      <c r="Q8" s="95"/>
      <c r="R8" s="95"/>
      <c r="S8" s="95"/>
      <c r="T8" s="95"/>
      <c r="U8" s="95"/>
      <c r="V8" s="95"/>
      <c r="W8" s="95"/>
      <c r="X8" s="95"/>
      <c r="Y8" s="95"/>
    </row>
    <row r="9" spans="1:26" ht="15" customHeight="1" thickBot="1" x14ac:dyDescent="0.2">
      <c r="B9" s="256"/>
      <c r="C9" s="96"/>
      <c r="D9" s="95"/>
      <c r="E9" s="96"/>
      <c r="F9" s="88"/>
      <c r="G9" s="96"/>
      <c r="H9" s="97"/>
      <c r="I9" s="94"/>
      <c r="J9" s="95"/>
      <c r="K9" s="95"/>
      <c r="L9" s="95"/>
      <c r="M9" s="95"/>
      <c r="N9" s="95"/>
      <c r="O9" s="95"/>
      <c r="P9" s="95"/>
      <c r="Q9" s="95"/>
      <c r="R9" s="95"/>
      <c r="S9" s="95"/>
      <c r="T9" s="95"/>
      <c r="U9" s="95"/>
      <c r="V9" s="95"/>
      <c r="W9" s="95"/>
      <c r="X9" s="95"/>
      <c r="Y9" s="95"/>
    </row>
    <row r="10" spans="1:26" ht="15" customHeight="1" x14ac:dyDescent="0.15">
      <c r="B10" s="597" t="s">
        <v>6</v>
      </c>
      <c r="C10" s="598"/>
      <c r="D10" s="269" t="str">
        <f>IF(ISBLANK(Interview!D10),"",Interview!D10)</f>
        <v/>
      </c>
      <c r="E10" s="96"/>
      <c r="F10" s="88"/>
      <c r="G10" s="96"/>
      <c r="H10" s="97"/>
      <c r="I10" s="94"/>
      <c r="J10" s="95"/>
      <c r="K10" s="95"/>
      <c r="L10" s="95"/>
      <c r="M10" s="95"/>
      <c r="N10" s="95"/>
      <c r="O10" s="95"/>
      <c r="P10" s="95"/>
      <c r="Q10" s="95"/>
      <c r="R10" s="95"/>
      <c r="S10" s="95"/>
      <c r="T10" s="95"/>
      <c r="U10" s="95"/>
      <c r="V10" s="95"/>
      <c r="W10" s="95"/>
      <c r="X10" s="95"/>
      <c r="Y10" s="95"/>
    </row>
    <row r="11" spans="1:26" ht="15" customHeight="1" x14ac:dyDescent="0.15">
      <c r="B11" s="599" t="s">
        <v>7</v>
      </c>
      <c r="C11" s="600"/>
      <c r="D11" s="270" t="str">
        <f>IF(ISBLANK(Interview!D11),"",Interview!D11)</f>
        <v/>
      </c>
      <c r="E11" s="96"/>
      <c r="F11" s="88"/>
      <c r="G11" s="96"/>
      <c r="H11" s="97"/>
      <c r="I11" s="94"/>
      <c r="J11" s="95"/>
      <c r="K11" s="95"/>
      <c r="L11" s="95"/>
      <c r="M11" s="95"/>
      <c r="N11" s="95"/>
      <c r="O11" s="95"/>
      <c r="P11" s="95"/>
      <c r="Q11" s="95"/>
      <c r="R11" s="95"/>
      <c r="S11" s="95"/>
      <c r="T11" s="95"/>
      <c r="U11" s="95"/>
      <c r="V11" s="95"/>
      <c r="W11" s="95"/>
      <c r="X11" s="95"/>
      <c r="Y11" s="95"/>
    </row>
    <row r="12" spans="1:26" ht="15" customHeight="1" x14ac:dyDescent="0.15">
      <c r="B12" s="599" t="s">
        <v>8</v>
      </c>
      <c r="C12" s="600"/>
      <c r="D12" s="271" t="str">
        <f>IF(ISBLANK(Interview!D12),"",Interview!D12)</f>
        <v/>
      </c>
      <c r="E12" s="102"/>
      <c r="F12" s="88"/>
      <c r="G12" s="96"/>
      <c r="H12" s="97"/>
      <c r="I12" s="94"/>
      <c r="J12" s="95"/>
      <c r="K12" s="95"/>
      <c r="L12" s="95"/>
      <c r="M12" s="95"/>
      <c r="N12" s="95"/>
      <c r="O12" s="95"/>
      <c r="P12" s="95"/>
      <c r="Q12" s="95"/>
      <c r="R12" s="95"/>
      <c r="S12" s="95"/>
      <c r="T12" s="95"/>
      <c r="U12" s="95"/>
      <c r="V12" s="95"/>
      <c r="W12" s="95"/>
      <c r="X12" s="95"/>
      <c r="Y12" s="95"/>
    </row>
    <row r="13" spans="1:26" ht="15" customHeight="1" x14ac:dyDescent="0.15">
      <c r="B13" s="599" t="s">
        <v>9</v>
      </c>
      <c r="C13" s="600"/>
      <c r="D13" s="270" t="str">
        <f>IF(ISBLANK(Interview!D13),"",Interview!D13)</f>
        <v/>
      </c>
      <c r="E13" s="96"/>
      <c r="F13" s="88"/>
      <c r="G13" s="96"/>
      <c r="H13" s="97"/>
      <c r="I13" s="94"/>
      <c r="J13" s="95"/>
      <c r="K13" s="95"/>
      <c r="L13" s="95"/>
      <c r="M13" s="95"/>
      <c r="N13" s="95"/>
      <c r="O13" s="95"/>
      <c r="P13" s="95"/>
      <c r="Q13" s="95"/>
      <c r="R13" s="95"/>
      <c r="S13" s="95"/>
      <c r="T13" s="95"/>
      <c r="U13" s="95"/>
      <c r="V13" s="95"/>
      <c r="W13" s="95"/>
      <c r="X13" s="95"/>
      <c r="Y13" s="95"/>
    </row>
    <row r="14" spans="1:26" ht="24" customHeight="1" thickBot="1" x14ac:dyDescent="0.2">
      <c r="A14" s="103" t="str">
        <f>IF(A15=A16,"OK","Problem")</f>
        <v>OK</v>
      </c>
      <c r="B14" s="601" t="s">
        <v>10</v>
      </c>
      <c r="C14" s="602"/>
      <c r="D14" s="272" t="str">
        <f>IF(ISBLANK(Interview!D14),"",Interview!D14)</f>
        <v/>
      </c>
      <c r="E14" s="96"/>
      <c r="F14" s="88"/>
      <c r="G14" s="96"/>
      <c r="H14" s="97"/>
      <c r="I14" s="94"/>
      <c r="J14" s="95"/>
      <c r="K14" s="95"/>
      <c r="L14" s="95"/>
      <c r="M14" s="95"/>
      <c r="N14" s="95"/>
      <c r="O14" s="95"/>
      <c r="P14" s="95"/>
      <c r="Q14" s="95"/>
      <c r="R14" s="95"/>
      <c r="S14" s="95"/>
      <c r="T14" s="95"/>
      <c r="U14" s="95"/>
      <c r="V14" s="95"/>
      <c r="W14" s="95"/>
      <c r="X14" s="95"/>
      <c r="Y14" s="95"/>
    </row>
    <row r="15" spans="1:26" x14ac:dyDescent="0.15">
      <c r="A15" s="89">
        <f>COUNTA('imp-questions'!A2:A300)</f>
        <v>90</v>
      </c>
      <c r="B15" s="96"/>
      <c r="C15" s="96"/>
      <c r="D15" s="95"/>
      <c r="E15" s="96"/>
      <c r="F15" s="88"/>
      <c r="G15" s="96"/>
      <c r="H15" s="97"/>
      <c r="I15" s="94"/>
      <c r="J15" s="95"/>
      <c r="K15" s="95"/>
      <c r="L15" s="95"/>
      <c r="M15" s="95"/>
      <c r="N15" s="95"/>
      <c r="O15" s="95"/>
      <c r="P15" s="95"/>
      <c r="Q15" s="95"/>
      <c r="R15" s="95"/>
      <c r="S15" s="95"/>
      <c r="T15" s="95"/>
      <c r="U15" s="95"/>
      <c r="V15" s="95"/>
      <c r="W15" s="95"/>
      <c r="X15" s="95"/>
      <c r="Y15" s="95"/>
    </row>
    <row r="16" spans="1:26" ht="21.75" customHeight="1" x14ac:dyDescent="0.15">
      <c r="A16" s="89">
        <f>COUNTA(A18:A175)</f>
        <v>90</v>
      </c>
      <c r="B16" s="580" t="s">
        <v>11</v>
      </c>
      <c r="C16" s="574"/>
      <c r="D16" s="574"/>
      <c r="E16" s="273"/>
      <c r="F16" s="573" t="s">
        <v>248</v>
      </c>
      <c r="G16" s="574"/>
      <c r="H16" s="574"/>
      <c r="I16" s="575"/>
      <c r="J16" s="573" t="s">
        <v>249</v>
      </c>
      <c r="K16" s="574"/>
      <c r="L16" s="574"/>
      <c r="M16" s="575"/>
      <c r="N16" s="573" t="s">
        <v>250</v>
      </c>
      <c r="O16" s="574"/>
      <c r="P16" s="574"/>
      <c r="Q16" s="575"/>
      <c r="R16" s="573" t="s">
        <v>251</v>
      </c>
      <c r="S16" s="574"/>
      <c r="T16" s="574"/>
      <c r="U16" s="575"/>
      <c r="V16" s="623" t="s">
        <v>252</v>
      </c>
      <c r="W16" s="483"/>
      <c r="X16" s="483"/>
      <c r="Y16" s="483"/>
      <c r="Z16" s="483"/>
    </row>
    <row r="17" spans="1:26" ht="16.25" customHeight="1" x14ac:dyDescent="0.15">
      <c r="B17" s="232" t="s">
        <v>12</v>
      </c>
      <c r="C17" s="233" t="s">
        <v>13</v>
      </c>
      <c r="D17" s="232" t="s">
        <v>14</v>
      </c>
      <c r="E17" s="274"/>
      <c r="F17" s="275" t="s">
        <v>15</v>
      </c>
      <c r="G17" s="276"/>
      <c r="H17" s="277"/>
      <c r="I17" s="278" t="s">
        <v>17</v>
      </c>
      <c r="J17" s="279" t="s">
        <v>15</v>
      </c>
      <c r="K17" s="276"/>
      <c r="L17" s="277"/>
      <c r="M17" s="278" t="s">
        <v>17</v>
      </c>
      <c r="N17" s="279" t="s">
        <v>15</v>
      </c>
      <c r="O17" s="280"/>
      <c r="P17" s="281"/>
      <c r="Q17" s="278" t="s">
        <v>17</v>
      </c>
      <c r="R17" s="279" t="s">
        <v>15</v>
      </c>
      <c r="S17" s="280"/>
      <c r="T17" s="281"/>
      <c r="U17" s="278" t="s">
        <v>17</v>
      </c>
      <c r="V17" s="279" t="s">
        <v>15</v>
      </c>
      <c r="W17" s="280"/>
      <c r="X17" s="281"/>
      <c r="Y17" s="278" t="s">
        <v>17</v>
      </c>
      <c r="Z17" s="278" t="s">
        <v>253</v>
      </c>
    </row>
    <row r="18" spans="1:26" ht="28.25" customHeight="1" x14ac:dyDescent="0.15">
      <c r="A18" s="87" t="str">
        <f>Interview!A18</f>
        <v>G-SM-A-1-1</v>
      </c>
      <c r="B18" s="592" t="str">
        <f>INDEX('imp-questions'!D:D, MATCH(A18, 'imp-questions'!A:A, 0))</f>
        <v>Create and Promote</v>
      </c>
      <c r="C18" s="234">
        <f>INDEX('imp-questions'!E:E, MATCH(A18, 'imp-questions'!A:A, 0))</f>
        <v>1</v>
      </c>
      <c r="D18" s="282" t="str">
        <f>INDEX('imp-questions'!F:F, MATCH(A18, 'imp-questions'!A:A, 0))</f>
        <v>Do you understand the enterprise-wide risk appetite for your applications?</v>
      </c>
      <c r="E18" s="283" t="str">
        <f>CHAR(65+INDEX('imp-questions'!H:H, MATCH(A18, 'imp-questions'!A:A, 0)))</f>
        <v>N</v>
      </c>
      <c r="F18" s="284" t="str">
        <f>IF(ISBLANK(Interview!F18),"",Interview!F18)</f>
        <v/>
      </c>
      <c r="G18" s="285">
        <f ca="1">IFERROR(INDEX(INDIRECT("Ans" &amp; E18 &amp; "TBL"), MATCH(F18, INDEX(INDIRECT("Ans" &amp; E18 &amp; "TBL"), 0, 1), 0), 2), 0)</f>
        <v>0</v>
      </c>
      <c r="H18" s="286">
        <f ca="1">IFERROR(AVERAGE(G18,G22),0)</f>
        <v>0</v>
      </c>
      <c r="I18" s="603">
        <f ca="1">SUM(H18,H19,H20)</f>
        <v>0</v>
      </c>
      <c r="J18" s="287" t="str">
        <f>F18</f>
        <v/>
      </c>
      <c r="K18" s="285">
        <f ca="1">IFERROR(INDEX(INDIRECT("Ans" &amp; E18 &amp; "TBL"), MATCH(J18, INDEX(INDIRECT("Ans" &amp; E18 &amp; "TBL"), 0, 1), 0), 2), 0)</f>
        <v>0</v>
      </c>
      <c r="L18" s="286">
        <f ca="1">IFERROR(AVERAGE(K18,K22),0)</f>
        <v>0</v>
      </c>
      <c r="M18" s="603">
        <f ca="1">SUM(L18,L19,L20)</f>
        <v>0</v>
      </c>
      <c r="N18" s="287" t="str">
        <f>J18</f>
        <v/>
      </c>
      <c r="O18" s="288">
        <f ca="1">IFERROR(INDEX(INDIRECT("Ans" &amp; E18 &amp; "TBL"), MATCH(N18, INDEX(INDIRECT("Ans" &amp; E18 &amp; "TBL"), 0, 1), 0), 2), 0)</f>
        <v>0</v>
      </c>
      <c r="P18" s="289">
        <f ca="1">IFERROR(AVERAGE(O18,O22),0)</f>
        <v>0</v>
      </c>
      <c r="Q18" s="603">
        <f ca="1">SUM(P18,P19,P20)</f>
        <v>0</v>
      </c>
      <c r="R18" s="287" t="str">
        <f>N18</f>
        <v/>
      </c>
      <c r="S18" s="290">
        <f ca="1">IFERROR(INDEX(INDIRECT("Ans" &amp; E18 &amp; "TBL"), MATCH(R18, INDEX(INDIRECT("Ans" &amp; E18 &amp; "TBL"), 0, 1), 0), 2), 0)</f>
        <v>0</v>
      </c>
      <c r="T18" s="289">
        <f ca="1">IFERROR(AVERAGE(S18,S22),0)</f>
        <v>0</v>
      </c>
      <c r="U18" s="603">
        <f ca="1">SUM(T18,T19,T20)</f>
        <v>0</v>
      </c>
      <c r="V18" s="287" t="str">
        <f>R18</f>
        <v/>
      </c>
      <c r="W18" s="290">
        <f ca="1">IFERROR(INDEX(INDIRECT("Ans" &amp; E18 &amp; "TBL"), MATCH(V18, INDEX(INDIRECT("Ans" &amp; E18 &amp; "TBL"), 0, 1), 0), 2), 0)</f>
        <v>0</v>
      </c>
      <c r="X18" s="289">
        <f ca="1">IFERROR(AVERAGE(W18,W22),0)</f>
        <v>0</v>
      </c>
      <c r="Y18" s="603">
        <f ca="1">SUM(X18,X19,X20)</f>
        <v>0</v>
      </c>
      <c r="Z18" s="603">
        <f ca="1">IFERROR(Y18-I18,Y18-LEFT(I18,1))</f>
        <v>0</v>
      </c>
    </row>
    <row r="19" spans="1:26" ht="28.25" customHeight="1" x14ac:dyDescent="0.15">
      <c r="A19" s="87" t="str">
        <f>Interview!A20</f>
        <v>G-SM-A-2-1</v>
      </c>
      <c r="B19" s="577"/>
      <c r="C19" s="234">
        <f>INDEX('imp-questions'!E:E, MATCH(A19, 'imp-questions'!A:A, 0))</f>
        <v>2</v>
      </c>
      <c r="D19" s="282" t="str">
        <f>INDEX('imp-questions'!F:F, MATCH(A19, 'imp-questions'!A:A, 0))</f>
        <v>Do you have a strategic plan for application security and use it to make decisions?</v>
      </c>
      <c r="E19" s="283" t="str">
        <f>CHAR(65+INDEX('imp-questions'!H:H, MATCH(A19, 'imp-questions'!A:A, 0)))</f>
        <v>O</v>
      </c>
      <c r="F19" s="284" t="str">
        <f>IF(ISBLANK(Interview!F20),"",Interview!F20)</f>
        <v/>
      </c>
      <c r="G19" s="285">
        <f ca="1">IFERROR(INDEX(INDIRECT("Ans" &amp; E19 &amp; "TBL"), MATCH(F19, INDEX(INDIRECT("Ans" &amp; E19 &amp; "TBL"), 0, 1), 0), 2), 0)</f>
        <v>0</v>
      </c>
      <c r="H19" s="291">
        <f ca="1">IFERROR(AVERAGE(G19,G23),0)</f>
        <v>0</v>
      </c>
      <c r="I19" s="604"/>
      <c r="J19" s="287" t="str">
        <f>F19</f>
        <v/>
      </c>
      <c r="K19" s="285">
        <f ca="1">IFERROR(INDEX(INDIRECT("Ans" &amp; E19 &amp; "TBL"), MATCH(J19, INDEX(INDIRECT("Ans" &amp; E19 &amp; "TBL"), 0, 1), 0), 2), 0)</f>
        <v>0</v>
      </c>
      <c r="L19" s="291">
        <f ca="1">IFERROR(AVERAGE(K19,K23),0)</f>
        <v>0</v>
      </c>
      <c r="M19" s="604"/>
      <c r="N19" s="287" t="str">
        <f>J19</f>
        <v/>
      </c>
      <c r="O19" s="292">
        <f ca="1">IFERROR(INDEX(INDIRECT("Ans" &amp; E19 &amp; "TBL"), MATCH(N19, INDEX(INDIRECT("Ans" &amp; E19 &amp; "TBL"), 0, 1), 0), 2), 0)</f>
        <v>0</v>
      </c>
      <c r="P19" s="293">
        <f ca="1">IFERROR(AVERAGE(O19,O23),0)</f>
        <v>0</v>
      </c>
      <c r="Q19" s="604"/>
      <c r="R19" s="287" t="str">
        <f>N19</f>
        <v/>
      </c>
      <c r="S19" s="135">
        <f ca="1">IFERROR(INDEX(INDIRECT("Ans" &amp; E19 &amp; "TBL"), MATCH(R19, INDEX(INDIRECT("Ans" &amp; E19 &amp; "TBL"), 0, 1), 0), 2), 0)</f>
        <v>0</v>
      </c>
      <c r="T19" s="294">
        <f ca="1">IFERROR(AVERAGE(S19,S23),0)</f>
        <v>0</v>
      </c>
      <c r="U19" s="604"/>
      <c r="V19" s="287" t="str">
        <f>R19</f>
        <v/>
      </c>
      <c r="W19" s="295">
        <f ca="1">IFERROR(INDEX(INDIRECT("Ans" &amp; E19 &amp; "TBL"), MATCH(V19, INDEX(INDIRECT("Ans" &amp; E19 &amp; "TBL"), 0, 1), 0), 2), 0)</f>
        <v>0</v>
      </c>
      <c r="X19" s="293">
        <f ca="1">IFERROR(AVERAGE(W19,W23),0)</f>
        <v>0</v>
      </c>
      <c r="Y19" s="604"/>
      <c r="Z19" s="604"/>
    </row>
    <row r="20" spans="1:26" ht="28.25" customHeight="1" x14ac:dyDescent="0.15">
      <c r="A20" s="87" t="str">
        <f>Interview!A22</f>
        <v>G-SM-A-3-1</v>
      </c>
      <c r="B20" s="578"/>
      <c r="C20" s="234">
        <f>INDEX('imp-questions'!E:E, MATCH(A20, 'imp-questions'!A:A, 0))</f>
        <v>3</v>
      </c>
      <c r="D20" s="296" t="str">
        <f>INDEX('imp-questions'!F:F, MATCH(A20, 'imp-questions'!A:A, 0))</f>
        <v>Do you regularly review and update the Strategic Plan for Application Security?</v>
      </c>
      <c r="E20" s="283" t="str">
        <f>CHAR(65+INDEX('imp-questions'!H:H, MATCH(A20, 'imp-questions'!A:A, 0)))</f>
        <v>P</v>
      </c>
      <c r="F20" s="297" t="str">
        <f>IF(ISBLANK(Interview!F22),"",Interview!F22)</f>
        <v/>
      </c>
      <c r="G20" s="285">
        <f ca="1">IFERROR(INDEX(INDIRECT("Ans" &amp; E20 &amp; "TBL"), MATCH(F20, INDEX(INDIRECT("Ans" &amp; E20 &amp; "TBL"), 0, 1), 0), 2), 0)</f>
        <v>0</v>
      </c>
      <c r="H20" s="291">
        <f ca="1">IFERROR(AVERAGE(G20,G24),0)</f>
        <v>0</v>
      </c>
      <c r="I20" s="604"/>
      <c r="J20" s="287" t="str">
        <f>F20</f>
        <v/>
      </c>
      <c r="K20" s="285">
        <f ca="1">IFERROR(INDEX(INDIRECT("Ans" &amp; E20 &amp; "TBL"), MATCH(J20, INDEX(INDIRECT("Ans" &amp; E20 &amp; "TBL"), 0, 1), 0), 2), 0)</f>
        <v>0</v>
      </c>
      <c r="L20" s="291">
        <f ca="1">IFERROR(AVERAGE(K20,K24),0)</f>
        <v>0</v>
      </c>
      <c r="M20" s="604"/>
      <c r="N20" s="287" t="str">
        <f>J20</f>
        <v/>
      </c>
      <c r="O20" s="298">
        <f ca="1">IFERROR(INDEX(INDIRECT("Ans" &amp; E20 &amp; "TBL"), MATCH(N20, INDEX(INDIRECT("Ans" &amp; E20 &amp; "TBL"), 0, 1), 0), 2), 0)</f>
        <v>0</v>
      </c>
      <c r="P20" s="293">
        <f ca="1">IFERROR(AVERAGE(O20,O24),0)</f>
        <v>0</v>
      </c>
      <c r="Q20" s="604"/>
      <c r="R20" s="287" t="str">
        <f>N20</f>
        <v/>
      </c>
      <c r="S20" s="135">
        <f ca="1">IFERROR(INDEX(INDIRECT("Ans" &amp; E20 &amp; "TBL"), MATCH(R20, INDEX(INDIRECT("Ans" &amp; E20 &amp; "TBL"), 0, 1), 0), 2), 0)</f>
        <v>0</v>
      </c>
      <c r="T20" s="294">
        <f ca="1">IFERROR(AVERAGE(S20,S24),0)</f>
        <v>0</v>
      </c>
      <c r="U20" s="604"/>
      <c r="V20" s="287" t="str">
        <f>R20</f>
        <v/>
      </c>
      <c r="W20" s="299">
        <f ca="1">IFERROR(INDEX(INDIRECT("Ans" &amp; E20 &amp; "TBL"), MATCH(V20, INDEX(INDIRECT("Ans" &amp; E20 &amp; "TBL"), 0, 1), 0), 2), 0)</f>
        <v>0</v>
      </c>
      <c r="X20" s="293">
        <f ca="1">IFERROR(AVERAGE(W20,W24),0)</f>
        <v>0</v>
      </c>
      <c r="Y20" s="604"/>
      <c r="Z20" s="604"/>
    </row>
    <row r="21" spans="1:26" ht="13" customHeight="1" x14ac:dyDescent="0.15">
      <c r="B21" s="235"/>
      <c r="C21" s="236"/>
      <c r="D21" s="125"/>
      <c r="E21" s="153"/>
      <c r="F21" s="125"/>
      <c r="G21" s="153"/>
      <c r="H21" s="153"/>
      <c r="I21" s="604"/>
      <c r="J21" s="125"/>
      <c r="K21" s="153"/>
      <c r="L21" s="153"/>
      <c r="M21" s="604"/>
      <c r="N21" s="125"/>
      <c r="O21" s="125"/>
      <c r="P21" s="153"/>
      <c r="Q21" s="604"/>
      <c r="R21" s="125"/>
      <c r="S21" s="153"/>
      <c r="T21" s="153"/>
      <c r="U21" s="604"/>
      <c r="V21" s="125"/>
      <c r="W21" s="153"/>
      <c r="X21" s="153"/>
      <c r="Y21" s="604"/>
      <c r="Z21" s="604"/>
    </row>
    <row r="22" spans="1:26" ht="28.25" customHeight="1" x14ac:dyDescent="0.15">
      <c r="A22" s="87" t="str">
        <f>Interview!A25</f>
        <v>G-SM-B-1-1</v>
      </c>
      <c r="B22" s="592" t="str">
        <f>INDEX('imp-questions'!D:D, MATCH(A22, 'imp-questions'!A:A, 0))</f>
        <v>Measure and Improve</v>
      </c>
      <c r="C22" s="234">
        <f>INDEX('imp-questions'!E:E, MATCH(A22, 'imp-questions'!A:A, 0))</f>
        <v>1</v>
      </c>
      <c r="D22" s="300" t="str">
        <f>INDEX('imp-questions'!F:F, MATCH(A22, 'imp-questions'!A:A, 0))</f>
        <v>Do you use a set of metrics to measure the effectiveness and efficiency of the application security program across applications?</v>
      </c>
      <c r="E22" s="301" t="str">
        <f>CHAR(65+INDEX('imp-questions'!H:H, MATCH(A22, 'imp-questions'!A:A, 0)))</f>
        <v>Q</v>
      </c>
      <c r="F22" s="287" t="str">
        <f>IF(ISBLANK(Interview!F25),"",Interview!F25)</f>
        <v/>
      </c>
      <c r="G22" s="302">
        <f ca="1">IFERROR(INDEX(INDIRECT("Ans" &amp; E22 &amp; "TBL"), MATCH(F22, INDEX(INDIRECT("Ans" &amp; E22 &amp; "TBL"), 0, 1), 0), 2), 0)</f>
        <v>0</v>
      </c>
      <c r="H22" s="303"/>
      <c r="I22" s="604"/>
      <c r="J22" s="287" t="str">
        <f>F22</f>
        <v/>
      </c>
      <c r="K22" s="285">
        <f ca="1">IFERROR(INDEX(INDIRECT("Ans" &amp; E22 &amp; "TBL"), MATCH(J22, INDEX(INDIRECT("Ans" &amp; E22 &amp; "TBL"), 0, 1), 0), 2), 0)</f>
        <v>0</v>
      </c>
      <c r="L22" s="303"/>
      <c r="M22" s="604"/>
      <c r="N22" s="287" t="str">
        <f>J22</f>
        <v/>
      </c>
      <c r="O22" s="305">
        <f ca="1">IFERROR(INDEX(INDIRECT("Ans" &amp; E22 &amp; "TBL"), MATCH(N22, INDEX(INDIRECT("Ans" &amp; E22 &amp; "TBL"), 0, 1), 0), 2), 0)</f>
        <v>0</v>
      </c>
      <c r="P22" s="303"/>
      <c r="Q22" s="604"/>
      <c r="R22" s="287" t="str">
        <f>N22</f>
        <v/>
      </c>
      <c r="S22" s="135">
        <f ca="1">IFERROR(INDEX(INDIRECT("Ans" &amp; E22 &amp; "TBL"), MATCH(R22, INDEX(INDIRECT("Ans" &amp; E22 &amp; "TBL"), 0, 1), 0), 2), 0)</f>
        <v>0</v>
      </c>
      <c r="T22" s="306"/>
      <c r="U22" s="604"/>
      <c r="V22" s="287" t="str">
        <f>R22</f>
        <v/>
      </c>
      <c r="W22" s="290">
        <f ca="1">IFERROR(INDEX(INDIRECT("Ans" &amp; E22 &amp; "TBL"), MATCH(V22, INDEX(INDIRECT("Ans" &amp; E22 &amp; "TBL"), 0, 1), 0), 2), 0)</f>
        <v>0</v>
      </c>
      <c r="X22" s="303"/>
      <c r="Y22" s="604"/>
      <c r="Z22" s="604"/>
    </row>
    <row r="23" spans="1:26" ht="28.25" customHeight="1" x14ac:dyDescent="0.15">
      <c r="A23" s="87" t="str">
        <f>Interview!A27</f>
        <v>G-SM-B-2-1</v>
      </c>
      <c r="B23" s="577"/>
      <c r="C23" s="234">
        <f>INDEX('imp-questions'!E:E, MATCH(A23, 'imp-questions'!A:A, 0))</f>
        <v>2</v>
      </c>
      <c r="D23" s="300" t="str">
        <f>INDEX('imp-questions'!F:F, MATCH(A23, 'imp-questions'!A:A, 0))</f>
        <v>Did you define Key Performance Indicators (KPI) from available application security metrics?</v>
      </c>
      <c r="E23" s="307" t="str">
        <f>CHAR(65+INDEX('imp-questions'!H:H, MATCH(A23, 'imp-questions'!A:A, 0)))</f>
        <v>S</v>
      </c>
      <c r="F23" s="284" t="str">
        <f>IF(ISBLANK(Interview!F27),"",Interview!F27)</f>
        <v/>
      </c>
      <c r="G23" s="302">
        <f ca="1">IFERROR(INDEX(INDIRECT("Ans" &amp; E23 &amp; "TBL"), MATCH(F23, INDEX(INDIRECT("Ans" &amp; E23 &amp; "TBL"), 0, 1), 0), 2), 0)</f>
        <v>0</v>
      </c>
      <c r="H23" s="308"/>
      <c r="I23" s="604"/>
      <c r="J23" s="287" t="str">
        <f>F23</f>
        <v/>
      </c>
      <c r="K23" s="285">
        <f ca="1">IFERROR(INDEX(INDIRECT("Ans" &amp; E23 &amp; "TBL"), MATCH(J23, INDEX(INDIRECT("Ans" &amp; E23 &amp; "TBL"), 0, 1), 0), 2), 0)</f>
        <v>0</v>
      </c>
      <c r="L23" s="308"/>
      <c r="M23" s="604"/>
      <c r="N23" s="287" t="str">
        <f>J23</f>
        <v/>
      </c>
      <c r="O23" s="305">
        <f ca="1">IFERROR(INDEX(INDIRECT("Ans" &amp; E23 &amp; "TBL"), MATCH(N23, INDEX(INDIRECT("Ans" &amp; E23 &amp; "TBL"), 0, 1), 0), 2), 0)</f>
        <v>0</v>
      </c>
      <c r="P23" s="308"/>
      <c r="Q23" s="604"/>
      <c r="R23" s="287" t="str">
        <f>N23</f>
        <v/>
      </c>
      <c r="S23" s="135">
        <f ca="1">IFERROR(INDEX(INDIRECT("Ans" &amp; E23 &amp; "TBL"), MATCH(R23, INDEX(INDIRECT("Ans" &amp; E23 &amp; "TBL"), 0, 1), 0), 2), 0)</f>
        <v>0</v>
      </c>
      <c r="T23" s="309"/>
      <c r="U23" s="604"/>
      <c r="V23" s="287" t="str">
        <f>R23</f>
        <v/>
      </c>
      <c r="W23" s="295">
        <f ca="1">IFERROR(INDEX(INDIRECT("Ans" &amp; E23 &amp; "TBL"), MATCH(V23, INDEX(INDIRECT("Ans" &amp; E23 &amp; "TBL"), 0, 1), 0), 2), 0)</f>
        <v>0</v>
      </c>
      <c r="X23" s="308"/>
      <c r="Y23" s="604"/>
      <c r="Z23" s="604"/>
    </row>
    <row r="24" spans="1:26" ht="28.25" customHeight="1" x14ac:dyDescent="0.15">
      <c r="A24" s="87" t="str">
        <f>Interview!A29</f>
        <v>G-SM-B-3-1</v>
      </c>
      <c r="B24" s="578"/>
      <c r="C24" s="234">
        <f>INDEX('imp-questions'!E:E, MATCH(A24, 'imp-questions'!A:A, 0))</f>
        <v>3</v>
      </c>
      <c r="D24" s="296" t="str">
        <f>INDEX('imp-questions'!F:F, MATCH(A24, 'imp-questions'!A:A, 0))</f>
        <v>Do you update the Application Security strategy and roadmap based on application security metrics and KPIs?</v>
      </c>
      <c r="E24" s="310" t="str">
        <f>CHAR(65+INDEX('imp-questions'!H:H, MATCH(A24, 'imp-questions'!A:A, 0)))</f>
        <v>P</v>
      </c>
      <c r="F24" s="284" t="str">
        <f>IF(ISBLANK(Interview!F29),"",Interview!F29)</f>
        <v/>
      </c>
      <c r="G24" s="302">
        <f ca="1">IFERROR(INDEX(INDIRECT("Ans" &amp; E24 &amp; "TBL"), MATCH(F24, INDEX(INDIRECT("Ans" &amp; E24 &amp; "TBL"), 0, 1), 0), 2), 0)</f>
        <v>0</v>
      </c>
      <c r="H24" s="311"/>
      <c r="I24" s="605"/>
      <c r="J24" s="287" t="str">
        <f>F24</f>
        <v/>
      </c>
      <c r="K24" s="285">
        <f ca="1">IFERROR(INDEX(INDIRECT("Ans" &amp; E24 &amp; "TBL"), MATCH(J24, INDEX(INDIRECT("Ans" &amp; E24 &amp; "TBL"), 0, 1), 0), 2), 0)</f>
        <v>0</v>
      </c>
      <c r="L24" s="311"/>
      <c r="M24" s="605"/>
      <c r="N24" s="287" t="str">
        <f>J24</f>
        <v/>
      </c>
      <c r="O24" s="135">
        <f ca="1">IFERROR(INDEX(INDIRECT("Ans" &amp; E24 &amp; "TBL"), MATCH(N24, INDEX(INDIRECT("Ans" &amp; E24 &amp; "TBL"), 0, 1), 0), 2), 0)</f>
        <v>0</v>
      </c>
      <c r="P24" s="311"/>
      <c r="Q24" s="605"/>
      <c r="R24" s="287" t="str">
        <f>N24</f>
        <v/>
      </c>
      <c r="S24" s="135">
        <f ca="1">IFERROR(INDEX(INDIRECT("Ans" &amp; E24 &amp; "TBL"), MATCH(R24, INDEX(INDIRECT("Ans" &amp; E24 &amp; "TBL"), 0, 1), 0), 2), 0)</f>
        <v>0</v>
      </c>
      <c r="T24" s="312"/>
      <c r="U24" s="605"/>
      <c r="V24" s="287" t="str">
        <f>R24</f>
        <v/>
      </c>
      <c r="W24" s="299">
        <f ca="1">IFERROR(INDEX(INDIRECT("Ans" &amp; E24 &amp; "TBL"), MATCH(V24, INDEX(INDIRECT("Ans" &amp; E24 &amp; "TBL"), 0, 1), 0), 2), 0)</f>
        <v>0</v>
      </c>
      <c r="X24" s="311"/>
      <c r="Y24" s="605"/>
      <c r="Z24" s="605"/>
    </row>
    <row r="25" spans="1:26" ht="13" customHeight="1" x14ac:dyDescent="0.15">
      <c r="B25" s="235"/>
      <c r="C25" s="236"/>
      <c r="D25" s="125"/>
      <c r="E25" s="125"/>
      <c r="F25" s="125"/>
      <c r="G25" s="125"/>
      <c r="H25" s="125"/>
      <c r="I25" s="125"/>
      <c r="J25" s="125"/>
      <c r="K25" s="125"/>
      <c r="L25" s="125"/>
      <c r="M25" s="125"/>
      <c r="N25" s="125"/>
      <c r="O25" s="125"/>
      <c r="P25" s="125"/>
      <c r="Q25" s="125"/>
      <c r="R25" s="125"/>
      <c r="S25" s="313"/>
      <c r="T25" s="125"/>
      <c r="U25" s="125"/>
      <c r="V25" s="125"/>
      <c r="W25" s="125"/>
      <c r="X25" s="125"/>
      <c r="Y25" s="125"/>
      <c r="Z25" s="125"/>
    </row>
    <row r="26" spans="1:26" ht="16.25" customHeight="1" x14ac:dyDescent="0.15">
      <c r="B26" s="232" t="s">
        <v>12</v>
      </c>
      <c r="C26" s="233" t="s">
        <v>13</v>
      </c>
      <c r="D26" s="314" t="s">
        <v>24</v>
      </c>
      <c r="E26" s="315"/>
      <c r="F26" s="316" t="s">
        <v>15</v>
      </c>
      <c r="G26" s="317"/>
      <c r="H26" s="318"/>
      <c r="I26" s="278" t="s">
        <v>17</v>
      </c>
      <c r="J26" s="316" t="s">
        <v>15</v>
      </c>
      <c r="K26" s="316"/>
      <c r="L26" s="318"/>
      <c r="M26" s="278" t="s">
        <v>17</v>
      </c>
      <c r="N26" s="316" t="s">
        <v>15</v>
      </c>
      <c r="O26" s="316"/>
      <c r="P26" s="318"/>
      <c r="Q26" s="278" t="s">
        <v>17</v>
      </c>
      <c r="R26" s="316" t="s">
        <v>15</v>
      </c>
      <c r="S26" s="316"/>
      <c r="T26" s="318"/>
      <c r="U26" s="278" t="s">
        <v>17</v>
      </c>
      <c r="V26" s="316" t="s">
        <v>15</v>
      </c>
      <c r="W26" s="316"/>
      <c r="X26" s="318"/>
      <c r="Y26" s="278" t="s">
        <v>17</v>
      </c>
      <c r="Z26" s="278" t="s">
        <v>253</v>
      </c>
    </row>
    <row r="27" spans="1:26" ht="28.25" customHeight="1" x14ac:dyDescent="0.15">
      <c r="A27" s="87" t="str">
        <f>Interview!A32</f>
        <v>G-PC-A-1-1</v>
      </c>
      <c r="B27" s="592" t="str">
        <f>INDEX('imp-questions'!D:D, MATCH(A27, 'imp-questions'!A:A, 0))</f>
        <v>Policy and Standards</v>
      </c>
      <c r="C27" s="234">
        <f>INDEX('imp-questions'!E:E, MATCH(A27, 'imp-questions'!A:A, 0))</f>
        <v>1</v>
      </c>
      <c r="D27" s="282" t="str">
        <f>INDEX('imp-questions'!F:F, MATCH(A27, 'imp-questions'!A:A, 0))</f>
        <v>Do you have and apply a common set of policies and standards throughout your organization?</v>
      </c>
      <c r="E27" s="113" t="str">
        <f>CHAR(65+INDEX('imp-questions'!H:H, MATCH(A27, 'imp-questions'!A:A, 0)))</f>
        <v>A</v>
      </c>
      <c r="F27" s="284" t="str">
        <f>IF(ISBLANK(Interview!F32),"",Interview!F32)</f>
        <v/>
      </c>
      <c r="G27" s="285">
        <f ca="1">IFERROR(INDEX(INDIRECT("Ans" &amp; E27 &amp; "TBL"), MATCH(F27, INDEX(INDIRECT("Ans" &amp; E27 &amp; "TBL"), 0, 1), 0), 2), 0)</f>
        <v>0</v>
      </c>
      <c r="H27" s="286">
        <f ca="1">IFERROR(AVERAGE(G27,G31),0)</f>
        <v>0</v>
      </c>
      <c r="I27" s="606">
        <f ca="1">SUM(H27,H28,H29)</f>
        <v>0</v>
      </c>
      <c r="J27" s="287" t="str">
        <f>F27</f>
        <v/>
      </c>
      <c r="K27" s="305">
        <f ca="1">IFERROR(INDEX(INDIRECT("Ans" &amp; E27 &amp; "TBL"), MATCH(J27, INDEX(INDIRECT("Ans" &amp; E27 &amp; "TBL"), 0, 1), 0), 2), 0)</f>
        <v>0</v>
      </c>
      <c r="L27" s="289">
        <f ca="1">IFERROR(AVERAGE(K27,K31),0)</f>
        <v>0</v>
      </c>
      <c r="M27" s="606">
        <f ca="1">SUM(L27,L28,L29)</f>
        <v>0</v>
      </c>
      <c r="N27" s="287" t="str">
        <f>J27</f>
        <v/>
      </c>
      <c r="O27" s="305">
        <f ca="1">IFERROR(INDEX(INDIRECT("Ans" &amp; E27 &amp; "TBL"), MATCH(N27, INDEX(INDIRECT("Ans" &amp; E27 &amp; "TBL"), 0, 1), 0), 2), 0)</f>
        <v>0</v>
      </c>
      <c r="P27" s="289">
        <f ca="1">IFERROR(AVERAGE(O27,O31),0)</f>
        <v>0</v>
      </c>
      <c r="Q27" s="606">
        <f ca="1">SUM(P27,P28,P29)</f>
        <v>0</v>
      </c>
      <c r="R27" s="287" t="str">
        <f>N27</f>
        <v/>
      </c>
      <c r="S27" s="135">
        <f ca="1">IFERROR(INDEX(INDIRECT("Ans" &amp; E27 &amp; "TBL"), MATCH(R27, INDEX(INDIRECT("Ans" &amp; E27 &amp; "TBL"), 0, 1), 0), 2), 0)</f>
        <v>0</v>
      </c>
      <c r="T27" s="319">
        <f ca="1">IFERROR(AVERAGE(S27,S31),0)</f>
        <v>0</v>
      </c>
      <c r="U27" s="606">
        <f ca="1">SUM(T27,T28,T29)</f>
        <v>0</v>
      </c>
      <c r="V27" s="287" t="str">
        <f>R27</f>
        <v/>
      </c>
      <c r="W27" s="305">
        <f ca="1">IFERROR(INDEX(INDIRECT("Ans" &amp; E27 &amp; "TBL"), MATCH(V27, INDEX(INDIRECT("Ans" &amp; E27 &amp; "TBL"), 0, 1), 0), 2), 0)</f>
        <v>0</v>
      </c>
      <c r="X27" s="289">
        <f ca="1">IFERROR(AVERAGE(W27,W31),0)</f>
        <v>0</v>
      </c>
      <c r="Y27" s="606">
        <f ca="1">SUM(X27,X28,X29)</f>
        <v>0</v>
      </c>
      <c r="Z27" s="606">
        <f ca="1">IFERROR(Y27-I27,Y27-LEFT(I27,1))</f>
        <v>0</v>
      </c>
    </row>
    <row r="28" spans="1:26" ht="28.25" customHeight="1" x14ac:dyDescent="0.15">
      <c r="A28" s="87" t="str">
        <f>Interview!A34</f>
        <v>G-PC-A-2-1</v>
      </c>
      <c r="B28" s="577"/>
      <c r="C28" s="234">
        <f>INDEX('imp-questions'!E:E, MATCH(A28, 'imp-questions'!A:A, 0))</f>
        <v>2</v>
      </c>
      <c r="D28" s="300" t="str">
        <f>INDEX('imp-questions'!F:F, MATCH(A28, 'imp-questions'!A:A, 0))</f>
        <v>Do you publish the organization's policies as test scripts or run-books for easy interpretation by development teams?</v>
      </c>
      <c r="E28" s="113" t="str">
        <f>CHAR(65+INDEX('imp-questions'!H:H, MATCH(A28, 'imp-questions'!A:A, 0)))</f>
        <v>C</v>
      </c>
      <c r="F28" s="284" t="str">
        <f>IF(ISBLANK(Interview!F34),"",Interview!F34)</f>
        <v/>
      </c>
      <c r="G28" s="285">
        <f ca="1">IFERROR(INDEX(INDIRECT("Ans" &amp; E28 &amp; "TBL"), MATCH(F28, INDEX(INDIRECT("Ans" &amp; E28 &amp; "TBL"), 0, 1), 0), 2), 0)</f>
        <v>0</v>
      </c>
      <c r="H28" s="291">
        <f ca="1">IFERROR(AVERAGE(G28,G32),0)</f>
        <v>0</v>
      </c>
      <c r="I28" s="587"/>
      <c r="J28" s="287" t="str">
        <f>F28</f>
        <v/>
      </c>
      <c r="K28" s="305">
        <f ca="1">IFERROR(INDEX(INDIRECT("Ans" &amp; E28 &amp; "TBL"), MATCH(J28, INDEX(INDIRECT("Ans" &amp; E28 &amp; "TBL"), 0, 1), 0), 2), 0)</f>
        <v>0</v>
      </c>
      <c r="L28" s="293">
        <f ca="1">IFERROR(AVERAGE(K28,K32),0)</f>
        <v>0</v>
      </c>
      <c r="M28" s="587"/>
      <c r="N28" s="287" t="str">
        <f>J28</f>
        <v/>
      </c>
      <c r="O28" s="305">
        <f ca="1">IFERROR(INDEX(INDIRECT("Ans" &amp; E28 &amp; "TBL"), MATCH(N28, INDEX(INDIRECT("Ans" &amp; E28 &amp; "TBL"), 0, 1), 0), 2), 0)</f>
        <v>0</v>
      </c>
      <c r="P28" s="293">
        <f ca="1">IFERROR(AVERAGE(O28,O32),0)</f>
        <v>0</v>
      </c>
      <c r="Q28" s="587"/>
      <c r="R28" s="287" t="str">
        <f>N28</f>
        <v/>
      </c>
      <c r="S28" s="135">
        <f ca="1">IFERROR(INDEX(INDIRECT("Ans" &amp; E28 &amp; "TBL"), MATCH(R28, INDEX(INDIRECT("Ans" &amp; E28 &amp; "TBL"), 0, 1), 0), 2), 0)</f>
        <v>0</v>
      </c>
      <c r="T28" s="294">
        <f ca="1">IFERROR(AVERAGE(S28,S32),0)</f>
        <v>0</v>
      </c>
      <c r="U28" s="587"/>
      <c r="V28" s="287" t="str">
        <f>R28</f>
        <v/>
      </c>
      <c r="W28" s="305">
        <f ca="1">IFERROR(INDEX(INDIRECT("Ans" &amp; E28 &amp; "TBL"), MATCH(V28, INDEX(INDIRECT("Ans" &amp; E28 &amp; "TBL"), 0, 1), 0), 2), 0)</f>
        <v>0</v>
      </c>
      <c r="X28" s="293">
        <f ca="1">IFERROR(AVERAGE(W28,W32),0)</f>
        <v>0</v>
      </c>
      <c r="Y28" s="587"/>
      <c r="Z28" s="587"/>
    </row>
    <row r="29" spans="1:26" ht="28.25" customHeight="1" x14ac:dyDescent="0.15">
      <c r="A29" s="87" t="str">
        <f>Interview!A36</f>
        <v>G-PC-A-3-1</v>
      </c>
      <c r="B29" s="578"/>
      <c r="C29" s="234">
        <f>INDEX('imp-questions'!E:E, MATCH(A29, 'imp-questions'!A:A, 0))</f>
        <v>3</v>
      </c>
      <c r="D29" s="296" t="str">
        <f>INDEX('imp-questions'!F:F, MATCH(A29, 'imp-questions'!A:A, 0))</f>
        <v>Do you regularly report on policy and standard compliance, and use that information to guide compliance improvement efforts?</v>
      </c>
      <c r="E29" s="113" t="str">
        <f>CHAR(65+INDEX('imp-questions'!H:H, MATCH(A29, 'imp-questions'!A:A, 0)))</f>
        <v>T</v>
      </c>
      <c r="F29" s="284" t="str">
        <f>IF(ISBLANK(Interview!F36),"",Interview!F36)</f>
        <v/>
      </c>
      <c r="G29" s="285">
        <f ca="1">IFERROR(INDEX(INDIRECT("Ans" &amp; E29 &amp; "TBL"), MATCH(F29, INDEX(INDIRECT("Ans" &amp; E29 &amp; "TBL"), 0, 1), 0), 2), 0)</f>
        <v>0</v>
      </c>
      <c r="H29" s="291">
        <f ca="1">IFERROR(AVERAGE(G29,G33),0)</f>
        <v>0</v>
      </c>
      <c r="I29" s="587"/>
      <c r="J29" s="287" t="str">
        <f>F29</f>
        <v/>
      </c>
      <c r="K29" s="305">
        <f ca="1">IFERROR(INDEX(INDIRECT("Ans" &amp; E29 &amp; "TBL"), MATCH(J29, INDEX(INDIRECT("Ans" &amp; E29 &amp; "TBL"), 0, 1), 0), 2), 0)</f>
        <v>0</v>
      </c>
      <c r="L29" s="293">
        <f ca="1">IFERROR(AVERAGE(K29,K33),0)</f>
        <v>0</v>
      </c>
      <c r="M29" s="587"/>
      <c r="N29" s="287" t="str">
        <f>J29</f>
        <v/>
      </c>
      <c r="O29" s="305">
        <f ca="1">IFERROR(INDEX(INDIRECT("Ans" &amp; E29 &amp; "TBL"), MATCH(N29, INDEX(INDIRECT("Ans" &amp; E29 &amp; "TBL"), 0, 1), 0), 2), 0)</f>
        <v>0</v>
      </c>
      <c r="P29" s="293">
        <f ca="1">IFERROR(AVERAGE(O29,O33),0)</f>
        <v>0</v>
      </c>
      <c r="Q29" s="587"/>
      <c r="R29" s="287" t="str">
        <f>N29</f>
        <v/>
      </c>
      <c r="S29" s="135">
        <f ca="1">IFERROR(INDEX(INDIRECT("Ans" &amp; E29 &amp; "TBL"), MATCH(R29, INDEX(INDIRECT("Ans" &amp; E29 &amp; "TBL"), 0, 1), 0), 2), 0)</f>
        <v>0</v>
      </c>
      <c r="T29" s="294">
        <f ca="1">IFERROR(AVERAGE(S29,S33),0)</f>
        <v>0</v>
      </c>
      <c r="U29" s="587"/>
      <c r="V29" s="287" t="str">
        <f>R29</f>
        <v/>
      </c>
      <c r="W29" s="305">
        <f ca="1">IFERROR(INDEX(INDIRECT("Ans" &amp; E29 &amp; "TBL"), MATCH(V29, INDEX(INDIRECT("Ans" &amp; E29 &amp; "TBL"), 0, 1), 0), 2), 0)</f>
        <v>0</v>
      </c>
      <c r="X29" s="293">
        <f ca="1">IFERROR(AVERAGE(W29,W33),0)</f>
        <v>0</v>
      </c>
      <c r="Y29" s="587"/>
      <c r="Z29" s="587"/>
    </row>
    <row r="30" spans="1:26" ht="13" customHeight="1" x14ac:dyDescent="0.15">
      <c r="B30" s="237"/>
      <c r="C30" s="238"/>
      <c r="D30" s="124"/>
      <c r="E30" s="124"/>
      <c r="F30" s="124"/>
      <c r="G30" s="124"/>
      <c r="H30" s="320"/>
      <c r="I30" s="587"/>
      <c r="J30" s="124"/>
      <c r="K30" s="124"/>
      <c r="L30" s="320"/>
      <c r="M30" s="587"/>
      <c r="N30" s="124"/>
      <c r="O30" s="124"/>
      <c r="P30" s="124"/>
      <c r="Q30" s="587"/>
      <c r="R30" s="124"/>
      <c r="S30" s="321"/>
      <c r="T30" s="320"/>
      <c r="U30" s="587"/>
      <c r="V30" s="124"/>
      <c r="W30" s="124"/>
      <c r="X30" s="320"/>
      <c r="Y30" s="587"/>
      <c r="Z30" s="587"/>
    </row>
    <row r="31" spans="1:26" ht="28.25" customHeight="1" x14ac:dyDescent="0.15">
      <c r="A31" s="87" t="str">
        <f>Interview!A39</f>
        <v>G-PC-B-1-1</v>
      </c>
      <c r="B31" s="592" t="str">
        <f>INDEX('imp-questions'!D:D, MATCH(A31, 'imp-questions'!A:A, 0))</f>
        <v>Compliance Management</v>
      </c>
      <c r="C31" s="234">
        <f>INDEX('imp-questions'!E:E, MATCH(A31, 'imp-questions'!A:A, 0))</f>
        <v>1</v>
      </c>
      <c r="D31" s="300" t="str">
        <f>INDEX('imp-questions'!F:F, MATCH(A31, 'imp-questions'!A:A, 0))</f>
        <v>Do you have a complete picture of your external compliance obligations?</v>
      </c>
      <c r="E31" s="113" t="str">
        <f>CHAR(65+INDEX('imp-questions'!H:H, MATCH(A31, 'imp-questions'!A:A, 0)))</f>
        <v>A</v>
      </c>
      <c r="F31" s="287" t="str">
        <f>IF(ISBLANK(Interview!F39),"",Interview!F39)</f>
        <v/>
      </c>
      <c r="G31" s="322">
        <f ca="1">IFERROR(INDEX(INDIRECT("Ans" &amp; E31 &amp; "TBL"), MATCH(F31, INDEX(INDIRECT("Ans" &amp; E31 &amp; "TBL"), 0, 1), 0), 2), 0)</f>
        <v>0</v>
      </c>
      <c r="H31" s="323"/>
      <c r="I31" s="587"/>
      <c r="J31" s="287" t="str">
        <f>F31</f>
        <v/>
      </c>
      <c r="K31" s="322">
        <f ca="1">IFERROR(INDEX(INDIRECT("Ans" &amp; E31 &amp; "TBL"), MATCH(J31, INDEX(INDIRECT("Ans" &amp; E31 &amp; "TBL"), 0, 1), 0), 2), 0)</f>
        <v>0</v>
      </c>
      <c r="L31" s="323"/>
      <c r="M31" s="587"/>
      <c r="N31" s="287" t="str">
        <f>J31</f>
        <v/>
      </c>
      <c r="O31" s="324">
        <f ca="1">IFERROR(INDEX(INDIRECT("Ans" &amp; E31 &amp; "TBL"), MATCH(N31, INDEX(INDIRECT("Ans" &amp; E31 &amp; "TBL"), 0, 1), 0), 2), 0)</f>
        <v>0</v>
      </c>
      <c r="P31" s="325"/>
      <c r="Q31" s="587"/>
      <c r="R31" s="287" t="str">
        <f>N31</f>
        <v/>
      </c>
      <c r="S31" s="135">
        <f ca="1">IFERROR(INDEX(INDIRECT("Ans" &amp; E31 &amp; "TBL"), MATCH(R31, INDEX(INDIRECT("Ans" &amp; E31 &amp; "TBL"), 0, 1), 0), 2), 0)</f>
        <v>0</v>
      </c>
      <c r="T31" s="326"/>
      <c r="U31" s="587"/>
      <c r="V31" s="287" t="str">
        <f>R31</f>
        <v/>
      </c>
      <c r="W31" s="305">
        <f ca="1">IFERROR(INDEX(INDIRECT("Ans" &amp; E31 &amp; "TBL"), MATCH(V31, INDEX(INDIRECT("Ans" &amp; E31 &amp; "TBL"), 0, 1), 0), 2), 0)</f>
        <v>0</v>
      </c>
      <c r="X31" s="323"/>
      <c r="Y31" s="587"/>
      <c r="Z31" s="587"/>
    </row>
    <row r="32" spans="1:26" ht="28.25" customHeight="1" x14ac:dyDescent="0.15">
      <c r="A32" s="87" t="str">
        <f>Interview!A41</f>
        <v>G-PC-B-2-1</v>
      </c>
      <c r="B32" s="577"/>
      <c r="C32" s="234">
        <f>INDEX('imp-questions'!E:E, MATCH(A32, 'imp-questions'!A:A, 0))</f>
        <v>2</v>
      </c>
      <c r="D32" s="300" t="str">
        <f>INDEX('imp-questions'!F:F, MATCH(A32, 'imp-questions'!A:A, 0))</f>
        <v>Do you have a standard set of security requirements and verification procedures addressing the organization's external compliance obligations?</v>
      </c>
      <c r="E32" s="113" t="str">
        <f>CHAR(65+INDEX('imp-questions'!H:H, MATCH(A32, 'imp-questions'!A:A, 0)))</f>
        <v>U</v>
      </c>
      <c r="F32" s="284" t="str">
        <f>IF(ISBLANK(Interview!F41),"",Interview!F41)</f>
        <v/>
      </c>
      <c r="G32" s="322">
        <f ca="1">IFERROR(INDEX(INDIRECT("Ans" &amp; E32 &amp; "TBL"), MATCH(F32, INDEX(INDIRECT("Ans" &amp; E32 &amp; "TBL"), 0, 1), 0), 2), 0)</f>
        <v>0</v>
      </c>
      <c r="H32" s="308"/>
      <c r="I32" s="587"/>
      <c r="J32" s="287" t="str">
        <f>F32</f>
        <v/>
      </c>
      <c r="K32" s="322">
        <f ca="1">IFERROR(INDEX(INDIRECT("Ans" &amp; E32 &amp; "TBL"), MATCH(J32, INDEX(INDIRECT("Ans" &amp; E32 &amp; "TBL"), 0, 1), 0), 2), 0)</f>
        <v>0</v>
      </c>
      <c r="L32" s="308"/>
      <c r="M32" s="587"/>
      <c r="N32" s="287" t="str">
        <f>J32</f>
        <v/>
      </c>
      <c r="O32" s="324">
        <f ca="1">IFERROR(INDEX(INDIRECT("Ans" &amp; E32 &amp; "TBL"), MATCH(N32, INDEX(INDIRECT("Ans" &amp; E32 &amp; "TBL"), 0, 1), 0), 2), 0)</f>
        <v>0</v>
      </c>
      <c r="P32" s="325"/>
      <c r="Q32" s="587"/>
      <c r="R32" s="287" t="str">
        <f>N32</f>
        <v/>
      </c>
      <c r="S32" s="135">
        <f ca="1">IFERROR(INDEX(INDIRECT("Ans" &amp; E32 &amp; "TBL"), MATCH(R32, INDEX(INDIRECT("Ans" &amp; E32 &amp; "TBL"), 0, 1), 0), 2), 0)</f>
        <v>0</v>
      </c>
      <c r="T32" s="309"/>
      <c r="U32" s="587"/>
      <c r="V32" s="287" t="str">
        <f>R32</f>
        <v/>
      </c>
      <c r="W32" s="305">
        <f ca="1">IFERROR(INDEX(INDIRECT("Ans" &amp; E32 &amp; "TBL"), MATCH(V32, INDEX(INDIRECT("Ans" &amp; E32 &amp; "TBL"), 0, 1), 0), 2), 0)</f>
        <v>0</v>
      </c>
      <c r="X32" s="308"/>
      <c r="Y32" s="587"/>
      <c r="Z32" s="587"/>
    </row>
    <row r="33" spans="1:26" ht="28.25" customHeight="1" x14ac:dyDescent="0.15">
      <c r="A33" s="87" t="str">
        <f>Interview!A43</f>
        <v>G-PC-B-3-1</v>
      </c>
      <c r="B33" s="578"/>
      <c r="C33" s="234">
        <f>INDEX('imp-questions'!E:E, MATCH(A33, 'imp-questions'!A:A, 0))</f>
        <v>3</v>
      </c>
      <c r="D33" s="296" t="str">
        <f>INDEX('imp-questions'!F:F, MATCH(A33, 'imp-questions'!A:A, 0))</f>
        <v>Do you regularly report on adherence to external compliance obligations and use that information to guide efforts to close compliance gaps?</v>
      </c>
      <c r="E33" s="113" t="str">
        <f>CHAR(65+INDEX('imp-questions'!H:H, MATCH(A33, 'imp-questions'!A:A, 0)))</f>
        <v>T</v>
      </c>
      <c r="F33" s="284" t="str">
        <f>IF(ISBLANK(Interview!F43),"",Interview!F43)</f>
        <v/>
      </c>
      <c r="G33" s="322">
        <f ca="1">IFERROR(INDEX(INDIRECT("Ans" &amp; E33 &amp; "TBL"), MATCH(F33, INDEX(INDIRECT("Ans" &amp; E33 &amp; "TBL"), 0, 1), 0), 2), 0)</f>
        <v>0</v>
      </c>
      <c r="H33" s="311"/>
      <c r="I33" s="588"/>
      <c r="J33" s="287" t="str">
        <f>F33</f>
        <v/>
      </c>
      <c r="K33" s="322">
        <f ca="1">IFERROR(INDEX(INDIRECT("Ans" &amp; E33 &amp; "TBL"), MATCH(J33, INDEX(INDIRECT("Ans" &amp; E33 &amp; "TBL"), 0, 1), 0), 2), 0)</f>
        <v>0</v>
      </c>
      <c r="L33" s="311"/>
      <c r="M33" s="588"/>
      <c r="N33" s="287" t="str">
        <f>J33</f>
        <v/>
      </c>
      <c r="O33" s="324">
        <f ca="1">IFERROR(INDEX(INDIRECT("Ans" &amp; E33 &amp; "TBL"), MATCH(N33, INDEX(INDIRECT("Ans" &amp; E33 &amp; "TBL"), 0, 1), 0), 2), 0)</f>
        <v>0</v>
      </c>
      <c r="P33" s="325"/>
      <c r="Q33" s="588"/>
      <c r="R33" s="287" t="str">
        <f>N33</f>
        <v/>
      </c>
      <c r="S33" s="135">
        <f ca="1">IFERROR(INDEX(INDIRECT("Ans" &amp; E33 &amp; "TBL"), MATCH(R33, INDEX(INDIRECT("Ans" &amp; E33 &amp; "TBL"), 0, 1), 0), 2), 0)</f>
        <v>0</v>
      </c>
      <c r="T33" s="312"/>
      <c r="U33" s="588"/>
      <c r="V33" s="287" t="str">
        <f>R33</f>
        <v/>
      </c>
      <c r="W33" s="305">
        <f ca="1">IFERROR(INDEX(INDIRECT("Ans" &amp; E33 &amp; "TBL"), MATCH(V33, INDEX(INDIRECT("Ans" &amp; E33 &amp; "TBL"), 0, 1), 0), 2), 0)</f>
        <v>0</v>
      </c>
      <c r="X33" s="311"/>
      <c r="Y33" s="588"/>
      <c r="Z33" s="588"/>
    </row>
    <row r="34" spans="1:26" ht="13" customHeight="1" x14ac:dyDescent="0.15">
      <c r="B34" s="237"/>
      <c r="C34" s="238"/>
      <c r="D34" s="124"/>
      <c r="E34" s="124"/>
      <c r="F34" s="124"/>
      <c r="G34" s="124"/>
      <c r="H34" s="321"/>
      <c r="I34" s="125"/>
      <c r="J34" s="124"/>
      <c r="K34" s="124"/>
      <c r="L34" s="321"/>
      <c r="M34" s="125"/>
      <c r="N34" s="124"/>
      <c r="O34" s="124"/>
      <c r="P34" s="124"/>
      <c r="Q34" s="125"/>
      <c r="R34" s="124"/>
      <c r="S34" s="321"/>
      <c r="T34" s="321"/>
      <c r="U34" s="125"/>
      <c r="V34" s="124"/>
      <c r="W34" s="124"/>
      <c r="X34" s="321"/>
      <c r="Y34" s="125"/>
      <c r="Z34" s="125"/>
    </row>
    <row r="35" spans="1:26" ht="16.25" customHeight="1" x14ac:dyDescent="0.15">
      <c r="B35" s="232" t="s">
        <v>12</v>
      </c>
      <c r="C35" s="233" t="s">
        <v>13</v>
      </c>
      <c r="D35" s="314" t="s">
        <v>31</v>
      </c>
      <c r="E35" s="327"/>
      <c r="F35" s="316" t="s">
        <v>15</v>
      </c>
      <c r="G35" s="316"/>
      <c r="H35" s="328"/>
      <c r="I35" s="278" t="s">
        <v>17</v>
      </c>
      <c r="J35" s="316" t="s">
        <v>15</v>
      </c>
      <c r="K35" s="317"/>
      <c r="L35" s="318"/>
      <c r="M35" s="278" t="s">
        <v>17</v>
      </c>
      <c r="N35" s="316" t="s">
        <v>15</v>
      </c>
      <c r="O35" s="316"/>
      <c r="P35" s="318"/>
      <c r="Q35" s="278" t="s">
        <v>17</v>
      </c>
      <c r="R35" s="316" t="s">
        <v>15</v>
      </c>
      <c r="S35" s="317"/>
      <c r="T35" s="318"/>
      <c r="U35" s="278" t="s">
        <v>17</v>
      </c>
      <c r="V35" s="316" t="s">
        <v>15</v>
      </c>
      <c r="W35" s="317"/>
      <c r="X35" s="318"/>
      <c r="Y35" s="278" t="s">
        <v>17</v>
      </c>
      <c r="Z35" s="278" t="s">
        <v>253</v>
      </c>
    </row>
    <row r="36" spans="1:26" ht="28.25" customHeight="1" x14ac:dyDescent="0.15">
      <c r="A36" s="87" t="str">
        <f>Interview!A46</f>
        <v>G-EG-A-1-1</v>
      </c>
      <c r="B36" s="592" t="str">
        <f>INDEX('imp-questions'!D:D, MATCH(A36, 'imp-questions'!A:A, 0))</f>
        <v>Training and Awareness</v>
      </c>
      <c r="C36" s="234">
        <f>INDEX('imp-questions'!E:E, MATCH(A36, 'imp-questions'!A:A, 0))</f>
        <v>1</v>
      </c>
      <c r="D36" s="300" t="str">
        <f>INDEX('imp-questions'!F:F, MATCH(A36, 'imp-questions'!A:A, 0))</f>
        <v>Do you require employees involved with application development to take SDLC training?</v>
      </c>
      <c r="E36" s="329" t="str">
        <f>CHAR(65+INDEX('imp-questions'!H:H, MATCH(A36, 'imp-questions'!A:A, 0)))</f>
        <v>B</v>
      </c>
      <c r="F36" s="330" t="str">
        <f>IF(ISBLANK(Interview!F46),"",Interview!F46)</f>
        <v/>
      </c>
      <c r="G36" s="324">
        <f ca="1">IFERROR(INDEX(INDIRECT("Ans" &amp; E36 &amp; "TBL"), MATCH(F36, INDEX(INDIRECT("Ans" &amp; E36 &amp; "TBL"), 0, 1), 0), 2), 0)</f>
        <v>0</v>
      </c>
      <c r="H36" s="331">
        <f ca="1">IFERROR(AVERAGE(G36,G40),0)</f>
        <v>0</v>
      </c>
      <c r="I36" s="593">
        <f ca="1">SUM(H36,H37,H38)</f>
        <v>0</v>
      </c>
      <c r="J36" s="287" t="str">
        <f>F36</f>
        <v/>
      </c>
      <c r="K36" s="332">
        <f ca="1">IFERROR(INDEX(INDIRECT("Ans" &amp; E36 &amp; "TBL"), MATCH(J36, INDEX(INDIRECT("Ans" &amp; E36 &amp; "TBL"), 0, 1), 0), 2), 0)</f>
        <v>0</v>
      </c>
      <c r="L36" s="333">
        <f ca="1">IFERROR(AVERAGE(K36,K40),0)</f>
        <v>0</v>
      </c>
      <c r="M36" s="593">
        <f ca="1">SUM(L36,L37,L38)</f>
        <v>0</v>
      </c>
      <c r="N36" s="287" t="str">
        <f>J36</f>
        <v/>
      </c>
      <c r="O36" s="305">
        <f ca="1">IFERROR(INDEX(INDIRECT("Ans" &amp; E36 &amp; "TBL"), MATCH(N36, INDEX(INDIRECT("Ans" &amp; E36 &amp; "TBL"), 0, 1), 0), 2), 0)</f>
        <v>0</v>
      </c>
      <c r="P36" s="333">
        <f ca="1">IFERROR(AVERAGE(O36,O40),0)</f>
        <v>0</v>
      </c>
      <c r="Q36" s="593">
        <f ca="1">SUM(P36,P37,P38)</f>
        <v>0</v>
      </c>
      <c r="R36" s="287" t="str">
        <f>N36</f>
        <v/>
      </c>
      <c r="S36" s="135">
        <f ca="1">IFERROR(INDEX(INDIRECT("Ans" &amp; E36 &amp; "TBL"), MATCH(R36, INDEX(INDIRECT("Ans" &amp; E36 &amp; "TBL"), 0, 1), 0), 2), 0)</f>
        <v>0</v>
      </c>
      <c r="T36" s="334">
        <f ca="1">IFERROR(AVERAGE(S36,S40),0)</f>
        <v>0</v>
      </c>
      <c r="U36" s="593">
        <f ca="1">SUM(T36,T37,T38)</f>
        <v>0</v>
      </c>
      <c r="V36" s="287" t="str">
        <f>R36</f>
        <v/>
      </c>
      <c r="W36" s="290">
        <f ca="1">IFERROR(INDEX(INDIRECT("Ans" &amp; E36 &amp; "TBL"), MATCH(V36, INDEX(INDIRECT("Ans" &amp; E36 &amp; "TBL"), 0, 1), 0), 2), 0)</f>
        <v>0</v>
      </c>
      <c r="X36" s="333">
        <f ca="1">IFERROR(AVERAGE(W36,W40),0)</f>
        <v>0</v>
      </c>
      <c r="Y36" s="593">
        <f ca="1">SUM(X36,X37,X38)</f>
        <v>0</v>
      </c>
      <c r="Z36" s="593">
        <f ca="1">IFERROR(Y36-I36,Y36-LEFT(I36,1))</f>
        <v>0</v>
      </c>
    </row>
    <row r="37" spans="1:26" ht="28.25" customHeight="1" x14ac:dyDescent="0.15">
      <c r="A37" s="87" t="str">
        <f>Interview!A48</f>
        <v>G-EG-A-2-1</v>
      </c>
      <c r="B37" s="577"/>
      <c r="C37" s="234">
        <f>INDEX('imp-questions'!E:E, MATCH(A37, 'imp-questions'!A:A, 0))</f>
        <v>2</v>
      </c>
      <c r="D37" s="300" t="str">
        <f>INDEX('imp-questions'!F:F, MATCH(A37, 'imp-questions'!A:A, 0))</f>
        <v>Is training customized for individual roles such as developers, testers, or security champions?</v>
      </c>
      <c r="E37" s="329" t="str">
        <f>CHAR(65+INDEX('imp-questions'!H:H, MATCH(A37, 'imp-questions'!A:A, 0)))</f>
        <v>D</v>
      </c>
      <c r="F37" s="335" t="str">
        <f>IF(ISBLANK(Interview!F48),"",Interview!F48)</f>
        <v/>
      </c>
      <c r="G37" s="324">
        <f ca="1">IFERROR(INDEX(INDIRECT("Ans" &amp; E37 &amp; "TBL"), MATCH(F37, INDEX(INDIRECT("Ans" &amp; E37 &amp; "TBL"), 0, 1), 0), 2), 0)</f>
        <v>0</v>
      </c>
      <c r="H37" s="336">
        <f ca="1">IFERROR(AVERAGE(G37,G41),0)</f>
        <v>0</v>
      </c>
      <c r="I37" s="587"/>
      <c r="J37" s="287" t="str">
        <f>F37</f>
        <v/>
      </c>
      <c r="K37" s="305">
        <f ca="1">IFERROR(INDEX(INDIRECT("Ans" &amp; E37 &amp; "TBL"), MATCH(J37, INDEX(INDIRECT("Ans" &amp; E37 &amp; "TBL"), 0, 1), 0), 2), 0)</f>
        <v>0</v>
      </c>
      <c r="L37" s="337">
        <f ca="1">IFERROR(AVERAGE(K37,K41),0)</f>
        <v>0</v>
      </c>
      <c r="M37" s="587"/>
      <c r="N37" s="287" t="str">
        <f>J37</f>
        <v/>
      </c>
      <c r="O37" s="305">
        <f ca="1">IFERROR(INDEX(INDIRECT("Ans" &amp; E37 &amp; "TBL"), MATCH(N37, INDEX(INDIRECT("Ans" &amp; E37 &amp; "TBL"), 0, 1), 0), 2), 0)</f>
        <v>0</v>
      </c>
      <c r="P37" s="337">
        <f ca="1">IFERROR(AVERAGE(O37,O41),0)</f>
        <v>0</v>
      </c>
      <c r="Q37" s="587"/>
      <c r="R37" s="287" t="str">
        <f>N37</f>
        <v/>
      </c>
      <c r="S37" s="135">
        <f ca="1">IFERROR(INDEX(INDIRECT("Ans" &amp; E37 &amp; "TBL"), MATCH(R37, INDEX(INDIRECT("Ans" &amp; E37 &amp; "TBL"), 0, 1), 0), 2), 0)</f>
        <v>0</v>
      </c>
      <c r="T37" s="338">
        <f ca="1">IFERROR(AVERAGE(S37,S41),0)</f>
        <v>0</v>
      </c>
      <c r="U37" s="587"/>
      <c r="V37" s="287" t="str">
        <f>R37</f>
        <v/>
      </c>
      <c r="W37" s="295">
        <f ca="1">IFERROR(INDEX(INDIRECT("Ans" &amp; E37 &amp; "TBL"), MATCH(V37, INDEX(INDIRECT("Ans" &amp; E37 &amp; "TBL"), 0, 1), 0), 2), 0)</f>
        <v>0</v>
      </c>
      <c r="X37" s="337">
        <f ca="1">IFERROR(AVERAGE(W37,W41),0)</f>
        <v>0</v>
      </c>
      <c r="Y37" s="587"/>
      <c r="Z37" s="587"/>
    </row>
    <row r="38" spans="1:26" ht="28.25" customHeight="1" x14ac:dyDescent="0.15">
      <c r="A38" s="87" t="str">
        <f>Interview!A50</f>
        <v>G-EG-A-3-1</v>
      </c>
      <c r="B38" s="578"/>
      <c r="C38" s="234">
        <f>INDEX('imp-questions'!E:E, MATCH(A38, 'imp-questions'!A:A, 0))</f>
        <v>3</v>
      </c>
      <c r="D38" s="296" t="str">
        <f>INDEX('imp-questions'!F:F, MATCH(A38, 'imp-questions'!A:A, 0))</f>
        <v>Have you implemented a Learning Management System or equivalent to track employee training and certification processes?</v>
      </c>
      <c r="E38" s="329" t="str">
        <f>CHAR(65+INDEX('imp-questions'!H:H, MATCH(A38, 'imp-questions'!A:A, 0)))</f>
        <v>D</v>
      </c>
      <c r="F38" s="335" t="str">
        <f>IF(ISBLANK(Interview!F50),"",Interview!F50)</f>
        <v/>
      </c>
      <c r="G38" s="324">
        <f ca="1">IFERROR(INDEX(INDIRECT("Ans" &amp; E38 &amp; "TBL"), MATCH(F38, INDEX(INDIRECT("Ans" &amp; E38 &amp; "TBL"), 0, 1), 0), 2), 0)</f>
        <v>0</v>
      </c>
      <c r="H38" s="336">
        <f ca="1">IFERROR(AVERAGE(G38,G42),0)</f>
        <v>0</v>
      </c>
      <c r="I38" s="587"/>
      <c r="J38" s="287" t="str">
        <f>F38</f>
        <v/>
      </c>
      <c r="K38" s="339">
        <f ca="1">IFERROR(INDEX(INDIRECT("Ans" &amp; E38 &amp; "TBL"), MATCH(J38, INDEX(INDIRECT("Ans" &amp; E38 &amp; "TBL"), 0, 1), 0), 2), 0)</f>
        <v>0</v>
      </c>
      <c r="L38" s="337">
        <f ca="1">IFERROR(AVERAGE(K38,K42),0)</f>
        <v>0</v>
      </c>
      <c r="M38" s="587"/>
      <c r="N38" s="287" t="str">
        <f>J38</f>
        <v/>
      </c>
      <c r="O38" s="305">
        <f ca="1">IFERROR(INDEX(INDIRECT("Ans" &amp; E38 &amp; "TBL"), MATCH(N38, INDEX(INDIRECT("Ans" &amp; E38 &amp; "TBL"), 0, 1), 0), 2), 0)</f>
        <v>0</v>
      </c>
      <c r="P38" s="337">
        <f ca="1">IFERROR(AVERAGE(O38,O42),0)</f>
        <v>0</v>
      </c>
      <c r="Q38" s="587"/>
      <c r="R38" s="287" t="str">
        <f>N38</f>
        <v/>
      </c>
      <c r="S38" s="135">
        <f ca="1">IFERROR(INDEX(INDIRECT("Ans" &amp; E38 &amp; "TBL"), MATCH(R38, INDEX(INDIRECT("Ans" &amp; E38 &amp; "TBL"), 0, 1), 0), 2), 0)</f>
        <v>0</v>
      </c>
      <c r="T38" s="338">
        <f ca="1">IFERROR(AVERAGE(S38,S42),0)</f>
        <v>0</v>
      </c>
      <c r="U38" s="587"/>
      <c r="V38" s="287" t="str">
        <f>R38</f>
        <v/>
      </c>
      <c r="W38" s="299">
        <f ca="1">IFERROR(INDEX(INDIRECT("Ans" &amp; E38 &amp; "TBL"), MATCH(V38, INDEX(INDIRECT("Ans" &amp; E38 &amp; "TBL"), 0, 1), 0), 2), 0)</f>
        <v>0</v>
      </c>
      <c r="X38" s="337">
        <f ca="1">IFERROR(AVERAGE(W38,W42),0)</f>
        <v>0</v>
      </c>
      <c r="Y38" s="587"/>
      <c r="Z38" s="587"/>
    </row>
    <row r="39" spans="1:26" ht="13" customHeight="1" x14ac:dyDescent="0.15">
      <c r="B39" s="235"/>
      <c r="C39" s="236"/>
      <c r="D39" s="125"/>
      <c r="E39" s="153"/>
      <c r="F39" s="125"/>
      <c r="G39" s="125"/>
      <c r="H39" s="125"/>
      <c r="I39" s="587"/>
      <c r="J39" s="125"/>
      <c r="K39" s="153"/>
      <c r="L39" s="153"/>
      <c r="M39" s="587"/>
      <c r="N39" s="125"/>
      <c r="O39" s="153"/>
      <c r="P39" s="153"/>
      <c r="Q39" s="587"/>
      <c r="R39" s="125"/>
      <c r="S39" s="153"/>
      <c r="T39" s="153"/>
      <c r="U39" s="587"/>
      <c r="V39" s="125"/>
      <c r="W39" s="153"/>
      <c r="X39" s="153"/>
      <c r="Y39" s="587"/>
      <c r="Z39" s="587"/>
    </row>
    <row r="40" spans="1:26" ht="28.25" customHeight="1" x14ac:dyDescent="0.15">
      <c r="A40" s="87" t="str">
        <f>Interview!A53</f>
        <v>G-EG-B-1-1</v>
      </c>
      <c r="B40" s="592" t="str">
        <f>INDEX('imp-questions'!D:D, MATCH(A40, 'imp-questions'!A:A, 0))</f>
        <v>Organization and Culture</v>
      </c>
      <c r="C40" s="234">
        <f>INDEX('imp-questions'!E:E, MATCH(A40, 'imp-questions'!A:A, 0))</f>
        <v>1</v>
      </c>
      <c r="D40" s="300" t="str">
        <f>INDEX('imp-questions'!F:F, MATCH(A40, 'imp-questions'!A:A, 0))</f>
        <v>Have you identified a Security Champion for each development team?</v>
      </c>
      <c r="E40" s="329" t="str">
        <f>CHAR(65+INDEX('imp-questions'!H:H, MATCH(A40, 'imp-questions'!A:A, 0)))</f>
        <v>V</v>
      </c>
      <c r="F40" s="330" t="str">
        <f>IF(ISBLANK(Interview!F53),"",Interview!F53)</f>
        <v/>
      </c>
      <c r="G40" s="324">
        <f ca="1">IFERROR(INDEX(INDIRECT("Ans" &amp; E40 &amp; "TBL"), MATCH(F40, INDEX(INDIRECT("Ans" &amp; E40 &amp; "TBL"), 0, 1), 0), 2), 0)</f>
        <v>0</v>
      </c>
      <c r="H40" s="340"/>
      <c r="I40" s="587"/>
      <c r="J40" s="287" t="str">
        <f>F40</f>
        <v/>
      </c>
      <c r="K40" s="332">
        <f ca="1">IFERROR(INDEX(INDIRECT("Ans" &amp; E40 &amp; "TBL"), MATCH(J40, INDEX(INDIRECT("Ans" &amp; E40 &amp; "TBL"), 0, 1), 0), 2), 0)</f>
        <v>0</v>
      </c>
      <c r="L40" s="323"/>
      <c r="M40" s="587"/>
      <c r="N40" s="287" t="str">
        <f>J40</f>
        <v/>
      </c>
      <c r="O40" s="341">
        <f ca="1">IFERROR(INDEX(INDIRECT("Ans" &amp; E40 &amp; "TBL"), MATCH(N40, INDEX(INDIRECT("Ans" &amp; E40 &amp; "TBL"), 0, 1), 0), 2), 0)</f>
        <v>0</v>
      </c>
      <c r="P40" s="342"/>
      <c r="Q40" s="587"/>
      <c r="R40" s="287" t="str">
        <f>N40</f>
        <v/>
      </c>
      <c r="S40" s="135">
        <f ca="1">IFERROR(INDEX(INDIRECT("Ans" &amp; E40 &amp; "TBL"), MATCH(R40, INDEX(INDIRECT("Ans" &amp; E40 &amp; "TBL"), 0, 1), 0), 2), 0)</f>
        <v>0</v>
      </c>
      <c r="T40" s="326"/>
      <c r="U40" s="587"/>
      <c r="V40" s="287" t="str">
        <f>R40</f>
        <v/>
      </c>
      <c r="W40" s="343">
        <f ca="1">IFERROR(INDEX(INDIRECT("Ans" &amp; E40 &amp; "TBL"), MATCH(V40, INDEX(INDIRECT("Ans" &amp; E40 &amp; "TBL"), 0, 1), 0), 2), 0)</f>
        <v>0</v>
      </c>
      <c r="X40" s="342"/>
      <c r="Y40" s="587"/>
      <c r="Z40" s="587"/>
    </row>
    <row r="41" spans="1:26" ht="28.25" customHeight="1" x14ac:dyDescent="0.15">
      <c r="A41" s="87" t="str">
        <f>Interview!A55</f>
        <v>G-EG-B-2-1</v>
      </c>
      <c r="B41" s="577"/>
      <c r="C41" s="234">
        <f>INDEX('imp-questions'!E:E, MATCH(A41, 'imp-questions'!A:A, 0))</f>
        <v>2</v>
      </c>
      <c r="D41" s="300" t="str">
        <f>INDEX('imp-questions'!F:F, MATCH(A41, 'imp-questions'!A:A, 0))</f>
        <v>Does the organization have a Secure Software Center of Excellence (SSCE)?</v>
      </c>
      <c r="E41" s="329" t="str">
        <f>CHAR(65+INDEX('imp-questions'!H:H, MATCH(A41, 'imp-questions'!A:A, 0)))</f>
        <v>F</v>
      </c>
      <c r="F41" s="335" t="str">
        <f>IF(ISBLANK(Interview!F55),"",Interview!F55)</f>
        <v/>
      </c>
      <c r="G41" s="324">
        <f ca="1">IFERROR(INDEX(INDIRECT("Ans" &amp; E41 &amp; "TBL"), MATCH(F41, INDEX(INDIRECT("Ans" &amp; E41 &amp; "TBL"), 0, 1), 0), 2), 0)</f>
        <v>0</v>
      </c>
      <c r="H41" s="340"/>
      <c r="I41" s="587"/>
      <c r="J41" s="287" t="str">
        <f>F41</f>
        <v/>
      </c>
      <c r="K41" s="305">
        <f ca="1">IFERROR(INDEX(INDIRECT("Ans" &amp; E41 &amp; "TBL"), MATCH(J41, INDEX(INDIRECT("Ans" &amp; E41 &amp; "TBL"), 0, 1), 0), 2), 0)</f>
        <v>0</v>
      </c>
      <c r="L41" s="308"/>
      <c r="M41" s="587"/>
      <c r="N41" s="287" t="str">
        <f>J41</f>
        <v/>
      </c>
      <c r="O41" s="344">
        <f ca="1">IFERROR(INDEX(INDIRECT("Ans" &amp; E41 &amp; "TBL"), MATCH(N41, INDEX(INDIRECT("Ans" &amp; E41 &amp; "TBL"), 0, 1), 0), 2), 0)</f>
        <v>0</v>
      </c>
      <c r="P41" s="345"/>
      <c r="Q41" s="587"/>
      <c r="R41" s="287" t="str">
        <f>N41</f>
        <v/>
      </c>
      <c r="S41" s="135">
        <f ca="1">IFERROR(INDEX(INDIRECT("Ans" &amp; E41 &amp; "TBL"), MATCH(R41, INDEX(INDIRECT("Ans" &amp; E41 &amp; "TBL"), 0, 1), 0), 2), 0)</f>
        <v>0</v>
      </c>
      <c r="T41" s="309"/>
      <c r="U41" s="587"/>
      <c r="V41" s="287" t="str">
        <f>R41</f>
        <v/>
      </c>
      <c r="W41" s="346">
        <f ca="1">IFERROR(INDEX(INDIRECT("Ans" &amp; E41 &amp; "TBL"), MATCH(V41, INDEX(INDIRECT("Ans" &amp; E41 &amp; "TBL"), 0, 1), 0), 2), 0)</f>
        <v>0</v>
      </c>
      <c r="X41" s="345"/>
      <c r="Y41" s="587"/>
      <c r="Z41" s="587"/>
    </row>
    <row r="42" spans="1:26" ht="28.25" customHeight="1" x14ac:dyDescent="0.15">
      <c r="A42" s="87" t="str">
        <f>Interview!A57</f>
        <v>G-EG-B-3-1</v>
      </c>
      <c r="B42" s="578"/>
      <c r="C42" s="234">
        <f>INDEX('imp-questions'!E:E, MATCH(A42, 'imp-questions'!A:A, 0))</f>
        <v>3</v>
      </c>
      <c r="D42" s="296" t="str">
        <f>INDEX('imp-questions'!F:F, MATCH(A42, 'imp-questions'!A:A, 0))</f>
        <v>Is there a centralized portal where developers and application security professionals from different teams and business units are able to communicate and share information?</v>
      </c>
      <c r="E42" s="329" t="str">
        <f>CHAR(65+INDEX('imp-questions'!H:H, MATCH(A42, 'imp-questions'!A:A, 0)))</f>
        <v>F</v>
      </c>
      <c r="F42" s="335" t="str">
        <f>IF(ISBLANK(Interview!F57),"",Interview!F57)</f>
        <v/>
      </c>
      <c r="G42" s="324">
        <f ca="1">IFERROR(INDEX(INDIRECT("Ans" &amp; E42 &amp; "TBL"), MATCH(F42, INDEX(INDIRECT("Ans" &amp; E42 &amp; "TBL"), 0, 1), 0), 2), 0)</f>
        <v>0</v>
      </c>
      <c r="H42" s="340"/>
      <c r="I42" s="492"/>
      <c r="J42" s="287" t="str">
        <f>F42</f>
        <v/>
      </c>
      <c r="K42" s="339">
        <f ca="1">IFERROR(INDEX(INDIRECT("Ans" &amp; E42 &amp; "TBL"), MATCH(J42, INDEX(INDIRECT("Ans" &amp; E42 &amp; "TBL"), 0, 1), 0), 2), 0)</f>
        <v>0</v>
      </c>
      <c r="L42" s="311"/>
      <c r="M42" s="492"/>
      <c r="N42" s="287" t="str">
        <f>J42</f>
        <v/>
      </c>
      <c r="O42" s="347">
        <f ca="1">IFERROR(INDEX(INDIRECT("Ans" &amp; E42 &amp; "TBL"), MATCH(N42, INDEX(INDIRECT("Ans" &amp; E42 &amp; "TBL"), 0, 1), 0), 2), 0)</f>
        <v>0</v>
      </c>
      <c r="P42" s="348"/>
      <c r="Q42" s="492"/>
      <c r="R42" s="287" t="str">
        <f>N42</f>
        <v/>
      </c>
      <c r="S42" s="135">
        <f ca="1">IFERROR(INDEX(INDIRECT("Ans" &amp; E42 &amp; "TBL"), MATCH(R42, INDEX(INDIRECT("Ans" &amp; E42 &amp; "TBL"), 0, 1), 0), 2), 0)</f>
        <v>0</v>
      </c>
      <c r="T42" s="312"/>
      <c r="U42" s="492"/>
      <c r="V42" s="287" t="str">
        <f>R42</f>
        <v/>
      </c>
      <c r="W42" s="349">
        <f ca="1">IFERROR(INDEX(INDIRECT("Ans" &amp; E42 &amp; "TBL"), MATCH(V42, INDEX(INDIRECT("Ans" &amp; E42 &amp; "TBL"), 0, 1), 0), 2), 0)</f>
        <v>0</v>
      </c>
      <c r="X42" s="348"/>
      <c r="Y42" s="492"/>
      <c r="Z42" s="492"/>
    </row>
    <row r="43" spans="1:26" ht="13" customHeight="1" x14ac:dyDescent="0.15">
      <c r="B43" s="235"/>
      <c r="C43" s="236"/>
      <c r="D43" s="125"/>
      <c r="E43" s="125"/>
      <c r="F43" s="125"/>
      <c r="G43" s="125"/>
      <c r="H43" s="125"/>
      <c r="I43" s="125"/>
      <c r="J43" s="125"/>
      <c r="K43" s="125"/>
      <c r="L43" s="125"/>
      <c r="M43" s="125"/>
      <c r="N43" s="125"/>
      <c r="O43" s="125"/>
      <c r="P43" s="125"/>
      <c r="Q43" s="125"/>
      <c r="R43" s="125"/>
      <c r="S43" s="313"/>
      <c r="T43" s="125"/>
      <c r="U43" s="125"/>
      <c r="V43" s="125"/>
      <c r="W43" s="125"/>
      <c r="X43" s="125"/>
      <c r="Y43" s="125"/>
      <c r="Z43" s="125"/>
    </row>
    <row r="44" spans="1:26" ht="21.75" customHeight="1" x14ac:dyDescent="0.15">
      <c r="B44" s="581" t="s">
        <v>38</v>
      </c>
      <c r="C44" s="524"/>
      <c r="D44" s="524"/>
      <c r="E44" s="350"/>
      <c r="F44" s="590" t="s">
        <v>248</v>
      </c>
      <c r="G44" s="524"/>
      <c r="H44" s="524"/>
      <c r="I44" s="524"/>
      <c r="J44" s="584" t="s">
        <v>249</v>
      </c>
      <c r="K44" s="524"/>
      <c r="L44" s="524"/>
      <c r="M44" s="585"/>
      <c r="N44" s="584" t="s">
        <v>250</v>
      </c>
      <c r="O44" s="524"/>
      <c r="P44" s="524"/>
      <c r="Q44" s="585"/>
      <c r="R44" s="584" t="s">
        <v>251</v>
      </c>
      <c r="S44" s="524"/>
      <c r="T44" s="524"/>
      <c r="U44" s="585"/>
      <c r="V44" s="627" t="s">
        <v>252</v>
      </c>
      <c r="W44" s="483"/>
      <c r="X44" s="483"/>
      <c r="Y44" s="483"/>
      <c r="Z44" s="483"/>
    </row>
    <row r="45" spans="1:26" ht="16.25" customHeight="1" x14ac:dyDescent="0.15">
      <c r="B45" s="239" t="s">
        <v>12</v>
      </c>
      <c r="C45" s="240" t="s">
        <v>13</v>
      </c>
      <c r="D45" s="239" t="s">
        <v>39</v>
      </c>
      <c r="E45" s="351"/>
      <c r="F45" s="352" t="s">
        <v>15</v>
      </c>
      <c r="G45" s="352"/>
      <c r="H45" s="353"/>
      <c r="I45" s="354" t="s">
        <v>17</v>
      </c>
      <c r="J45" s="352" t="s">
        <v>15</v>
      </c>
      <c r="K45" s="352"/>
      <c r="L45" s="353"/>
      <c r="M45" s="354" t="s">
        <v>17</v>
      </c>
      <c r="N45" s="352" t="s">
        <v>15</v>
      </c>
      <c r="O45" s="355"/>
      <c r="P45" s="356"/>
      <c r="Q45" s="354" t="s">
        <v>17</v>
      </c>
      <c r="R45" s="352" t="s">
        <v>15</v>
      </c>
      <c r="S45" s="355"/>
      <c r="T45" s="356"/>
      <c r="U45" s="354" t="s">
        <v>17</v>
      </c>
      <c r="V45" s="352" t="s">
        <v>15</v>
      </c>
      <c r="W45" s="355"/>
      <c r="X45" s="356"/>
      <c r="Y45" s="354" t="s">
        <v>17</v>
      </c>
      <c r="Z45" s="354" t="s">
        <v>253</v>
      </c>
    </row>
    <row r="46" spans="1:26" ht="28.25" customHeight="1" x14ac:dyDescent="0.15">
      <c r="A46" s="87" t="str">
        <f>Interview!A61</f>
        <v>D-TA-A-1-1</v>
      </c>
      <c r="B46" s="576" t="str">
        <f>INDEX('imp-questions'!D:D, MATCH(A46, 'imp-questions'!A:A, 0))</f>
        <v>Application Risk Profile</v>
      </c>
      <c r="C46" s="241">
        <f>INDEX('imp-questions'!E:E, MATCH(A46, 'imp-questions'!A:A, 0))</f>
        <v>1</v>
      </c>
      <c r="D46" s="300" t="str">
        <f>INDEX('imp-questions'!F:F, MATCH(A46, 'imp-questions'!A:A, 0))</f>
        <v>Do you classify applications according to business risk based on a simple and predefined set of questions?</v>
      </c>
      <c r="E46" s="329" t="str">
        <f>CHAR(65+INDEX('imp-questions'!H:H, MATCH(A46, 'imp-questions'!A:A, 0)))</f>
        <v>B</v>
      </c>
      <c r="F46" s="357" t="str">
        <f>IF(ISBLANK(Interview!F61),"",Interview!F61)</f>
        <v/>
      </c>
      <c r="G46" s="324">
        <f ca="1">IFERROR(INDEX(INDIRECT("Ans" &amp; E46 &amp; "TBL"), MATCH(F46, INDEX(INDIRECT("Ans" &amp; E46 &amp; "TBL"), 0, 1), 0), 2), 0)</f>
        <v>0</v>
      </c>
      <c r="H46" s="331">
        <f ca="1">IFERROR(AVERAGE(G46,G50),0)</f>
        <v>0</v>
      </c>
      <c r="I46" s="586">
        <f ca="1">SUM(H46:H48)</f>
        <v>0</v>
      </c>
      <c r="J46" s="304" t="str">
        <f>F46</f>
        <v/>
      </c>
      <c r="K46" s="324">
        <f ca="1">IFERROR(INDEX(INDIRECT("Ans" &amp; E46 &amp; "TBL"), MATCH(J46, INDEX(INDIRECT("Ans" &amp; E46 &amp; "TBL"), 0, 1), 0), 2), 0)</f>
        <v>0</v>
      </c>
      <c r="L46" s="331">
        <f ca="1">IFERROR(AVERAGE(K46,K50),0)</f>
        <v>0</v>
      </c>
      <c r="M46" s="586">
        <f ca="1">SUM(L46:L48)</f>
        <v>0</v>
      </c>
      <c r="N46" s="304" t="str">
        <f>J46</f>
        <v/>
      </c>
      <c r="O46" s="341">
        <f ca="1">IFERROR(INDEX(INDIRECT("Ans" &amp; E46 &amp; "TBL"), MATCH(N46, INDEX(INDIRECT("Ans" &amp; E46 &amp; "TBL"), 0, 1), 0), 2), 0)</f>
        <v>0</v>
      </c>
      <c r="P46" s="358">
        <f ca="1">IFERROR(AVERAGE(O46,O50),0)</f>
        <v>0</v>
      </c>
      <c r="Q46" s="586">
        <f ca="1">SUM(P46:P48)</f>
        <v>0</v>
      </c>
      <c r="R46" s="304" t="str">
        <f>N46</f>
        <v/>
      </c>
      <c r="S46" s="135">
        <f ca="1">IFERROR(INDEX(INDIRECT("Ans" &amp; E46 &amp; "TBL"), MATCH(R46, INDEX(INDIRECT("Ans" &amp; E46 &amp; "TBL"), 0, 1), 0), 2), 0)</f>
        <v>0</v>
      </c>
      <c r="T46" s="359">
        <f ca="1">IFERROR(AVERAGE(S46,S50),0)</f>
        <v>0</v>
      </c>
      <c r="U46" s="586">
        <f ca="1">SUM(T46:T48)</f>
        <v>0</v>
      </c>
      <c r="V46" s="304" t="str">
        <f>R46</f>
        <v/>
      </c>
      <c r="W46" s="343">
        <f ca="1">IFERROR(INDEX(INDIRECT("Ans" &amp; E46 &amp; "TBL"), MATCH(V46, INDEX(INDIRECT("Ans" &amp; E46 &amp; "TBL"), 0, 1), 0), 2), 0)</f>
        <v>0</v>
      </c>
      <c r="X46" s="358">
        <f ca="1">IFERROR(AVERAGE(W46,W50),0)</f>
        <v>0</v>
      </c>
      <c r="Y46" s="586">
        <f ca="1">SUM(X46:X48)</f>
        <v>0</v>
      </c>
      <c r="Z46" s="586">
        <f ca="1">IFERROR(Y46-I46,Y46-LEFT(I46,1))</f>
        <v>0</v>
      </c>
    </row>
    <row r="47" spans="1:26" ht="28.25" customHeight="1" x14ac:dyDescent="0.15">
      <c r="A47" s="87" t="str">
        <f>Interview!A63</f>
        <v>D-TA-A-2-1</v>
      </c>
      <c r="B47" s="577"/>
      <c r="C47" s="241">
        <f>INDEX('imp-questions'!E:E, MATCH(A47, 'imp-questions'!A:A, 0))</f>
        <v>2</v>
      </c>
      <c r="D47" s="300" t="str">
        <f>INDEX('imp-questions'!F:F, MATCH(A47, 'imp-questions'!A:A, 0))</f>
        <v>Do you use centralized and quantified application risk profiles to evaluate business risk?</v>
      </c>
      <c r="E47" s="329" t="str">
        <f>CHAR(65+INDEX('imp-questions'!H:H, MATCH(A47, 'imp-questions'!A:A, 0)))</f>
        <v>A</v>
      </c>
      <c r="F47" s="330" t="str">
        <f>IF(ISBLANK(Interview!F63),"",Interview!F63)</f>
        <v/>
      </c>
      <c r="G47" s="324">
        <f ca="1">IFERROR(INDEX(INDIRECT("Ans" &amp; E47 &amp; "TBL"), MATCH(F47, INDEX(INDIRECT("Ans" &amp; E47 &amp; "TBL"), 0, 1), 0), 2), 0)</f>
        <v>0</v>
      </c>
      <c r="H47" s="331">
        <f ca="1">IFERROR(AVERAGE(G47,G51),0)</f>
        <v>0</v>
      </c>
      <c r="I47" s="587"/>
      <c r="J47" s="304" t="str">
        <f>F47</f>
        <v/>
      </c>
      <c r="K47" s="324">
        <f ca="1">IFERROR(INDEX(INDIRECT("Ans" &amp; E47 &amp; "TBL"), MATCH(J47, INDEX(INDIRECT("Ans" &amp; E47 &amp; "TBL"), 0, 1), 0), 2), 0)</f>
        <v>0</v>
      </c>
      <c r="L47" s="331">
        <f ca="1">IFERROR(AVERAGE(K47,K51),0)</f>
        <v>0</v>
      </c>
      <c r="M47" s="587"/>
      <c r="N47" s="304" t="str">
        <f>J47</f>
        <v/>
      </c>
      <c r="O47" s="344">
        <f ca="1">IFERROR(INDEX(INDIRECT("Ans" &amp; E47 &amp; "TBL"), MATCH(N47, INDEX(INDIRECT("Ans" &amp; E47 &amp; "TBL"), 0, 1), 0), 2), 0)</f>
        <v>0</v>
      </c>
      <c r="P47" s="360">
        <f ca="1">IFERROR(AVERAGE(O47,O51),0)</f>
        <v>0</v>
      </c>
      <c r="Q47" s="587"/>
      <c r="R47" s="304" t="str">
        <f>N47</f>
        <v/>
      </c>
      <c r="S47" s="135">
        <f ca="1">IFERROR(INDEX(INDIRECT("Ans" &amp; E47 &amp; "TBL"), MATCH(R47, INDEX(INDIRECT("Ans" &amp; E47 &amp; "TBL"), 0, 1), 0), 2), 0)</f>
        <v>0</v>
      </c>
      <c r="T47" s="361">
        <f ca="1">IFERROR(AVERAGE(S47,S51),0)</f>
        <v>0</v>
      </c>
      <c r="U47" s="587"/>
      <c r="V47" s="304" t="str">
        <f>R47</f>
        <v/>
      </c>
      <c r="W47" s="346">
        <f ca="1">IFERROR(INDEX(INDIRECT("Ans" &amp; E47 &amp; "TBL"), MATCH(V47, INDEX(INDIRECT("Ans" &amp; E47 &amp; "TBL"), 0, 1), 0), 2), 0)</f>
        <v>0</v>
      </c>
      <c r="X47" s="360">
        <f ca="1">IFERROR(AVERAGE(W47,W51),0)</f>
        <v>0</v>
      </c>
      <c r="Y47" s="587"/>
      <c r="Z47" s="587"/>
    </row>
    <row r="48" spans="1:26" ht="28.25" customHeight="1" x14ac:dyDescent="0.15">
      <c r="A48" s="87" t="str">
        <f>Interview!A65</f>
        <v>D-TA-A-3-1</v>
      </c>
      <c r="B48" s="578"/>
      <c r="C48" s="241">
        <f>INDEX('imp-questions'!E:E, MATCH(A48, 'imp-questions'!A:A, 0))</f>
        <v>3</v>
      </c>
      <c r="D48" s="296" t="str">
        <f>INDEX('imp-questions'!F:F, MATCH(A48, 'imp-questions'!A:A, 0))</f>
        <v>Do you regularly review and update the risk profiles for your applications?</v>
      </c>
      <c r="E48" s="329" t="str">
        <f>CHAR(65+INDEX('imp-questions'!H:H, MATCH(A48, 'imp-questions'!A:A, 0)))</f>
        <v>R</v>
      </c>
      <c r="F48" s="287" t="str">
        <f>IF(ISBLANK(Interview!F65),"",Interview!F65)</f>
        <v/>
      </c>
      <c r="G48" s="362">
        <f ca="1">IFERROR(INDEX(INDIRECT("Ans" &amp; E48 &amp; "TBL"), MATCH(F48, INDEX(INDIRECT("Ans" &amp; E48 &amp; "TBL"), 0, 1), 0), 2), 0)</f>
        <v>0</v>
      </c>
      <c r="H48" s="363">
        <f ca="1">IFERROR(AVERAGE(G48,G52),0)</f>
        <v>0</v>
      </c>
      <c r="I48" s="587"/>
      <c r="J48" s="304" t="str">
        <f>F48</f>
        <v/>
      </c>
      <c r="K48" s="285">
        <f ca="1">IFERROR(INDEX(INDIRECT("Ans" &amp; E48 &amp; "TBL"), MATCH(J48, INDEX(INDIRECT("Ans" &amp; E48 &amp; "TBL"), 0, 1), 0), 2), 0)</f>
        <v>0</v>
      </c>
      <c r="L48" s="333">
        <f ca="1">IFERROR(AVERAGE(K48,K52),0)</f>
        <v>0</v>
      </c>
      <c r="M48" s="587"/>
      <c r="N48" s="304" t="str">
        <f>J48</f>
        <v/>
      </c>
      <c r="O48" s="347">
        <f ca="1">IFERROR(INDEX(INDIRECT("Ans" &amp; E48 &amp; "TBL"), MATCH(N48, INDEX(INDIRECT("Ans" &amp; E48 &amp; "TBL"), 0, 1), 0), 2), 0)</f>
        <v>0</v>
      </c>
      <c r="P48" s="364">
        <f ca="1">IFERROR(AVERAGE(O48,O52),0)</f>
        <v>0</v>
      </c>
      <c r="Q48" s="587"/>
      <c r="R48" s="304" t="str">
        <f>N48</f>
        <v/>
      </c>
      <c r="S48" s="135">
        <f ca="1">IFERROR(INDEX(INDIRECT("Ans" &amp; E48 &amp; "TBL"), MATCH(R48, INDEX(INDIRECT("Ans" &amp; E48 &amp; "TBL"), 0, 1), 0), 2), 0)</f>
        <v>0</v>
      </c>
      <c r="T48" s="365">
        <f ca="1">IFERROR(AVERAGE(S48,S52),0)</f>
        <v>0</v>
      </c>
      <c r="U48" s="587"/>
      <c r="V48" s="304" t="str">
        <f>R48</f>
        <v/>
      </c>
      <c r="W48" s="349">
        <f ca="1">IFERROR(INDEX(INDIRECT("Ans" &amp; E48 &amp; "TBL"), MATCH(V48, INDEX(INDIRECT("Ans" &amp; E48 &amp; "TBL"), 0, 1), 0), 2), 0)</f>
        <v>0</v>
      </c>
      <c r="X48" s="364">
        <f ca="1">IFERROR(AVERAGE(W48,W52),0)</f>
        <v>0</v>
      </c>
      <c r="Y48" s="587"/>
      <c r="Z48" s="587"/>
    </row>
    <row r="49" spans="1:26" ht="13" customHeight="1" x14ac:dyDescent="0.15">
      <c r="B49" s="235"/>
      <c r="C49" s="236"/>
      <c r="D49" s="125"/>
      <c r="E49" s="153"/>
      <c r="F49" s="125"/>
      <c r="G49" s="153"/>
      <c r="H49" s="153"/>
      <c r="I49" s="587"/>
      <c r="J49" s="125"/>
      <c r="K49" s="153"/>
      <c r="L49" s="153"/>
      <c r="M49" s="587"/>
      <c r="N49" s="125"/>
      <c r="O49" s="153"/>
      <c r="P49" s="153"/>
      <c r="Q49" s="587"/>
      <c r="R49" s="125"/>
      <c r="S49" s="153"/>
      <c r="T49" s="153"/>
      <c r="U49" s="587"/>
      <c r="V49" s="125"/>
      <c r="W49" s="153"/>
      <c r="X49" s="153"/>
      <c r="Y49" s="587"/>
      <c r="Z49" s="587"/>
    </row>
    <row r="50" spans="1:26" ht="28.25" customHeight="1" x14ac:dyDescent="0.15">
      <c r="A50" s="87" t="str">
        <f>Interview!A68</f>
        <v>D-TA-B-1-1</v>
      </c>
      <c r="B50" s="576" t="str">
        <f>INDEX('imp-questions'!D:D, MATCH(A50, 'imp-questions'!A:A, 0))</f>
        <v>Threat Modeling</v>
      </c>
      <c r="C50" s="241">
        <f>INDEX('imp-questions'!E:E, MATCH(A50, 'imp-questions'!A:A, 0))</f>
        <v>1</v>
      </c>
      <c r="D50" s="300" t="str">
        <f>INDEX('imp-questions'!F:F, MATCH(A50, 'imp-questions'!A:A, 0))</f>
        <v>Do you identify and manage architectural design flaws with threat modeling?</v>
      </c>
      <c r="E50" s="329" t="str">
        <f>CHAR(65+INDEX('imp-questions'!H:H, MATCH(A50, 'imp-questions'!A:A, 0)))</f>
        <v>B</v>
      </c>
      <c r="F50" s="287" t="str">
        <f>IF(ISBLANK(Interview!F68),"",Interview!F68)</f>
        <v/>
      </c>
      <c r="G50" s="366">
        <f ca="1">IFERROR(INDEX(INDIRECT("Ans" &amp; E50 &amp; "TBL"), MATCH(F50, INDEX(INDIRECT("Ans" &amp; E50 &amp; "TBL"), 0, 1), 0), 2), 0)</f>
        <v>0</v>
      </c>
      <c r="H50" s="367"/>
      <c r="I50" s="587"/>
      <c r="J50" s="304" t="str">
        <f>F50</f>
        <v/>
      </c>
      <c r="K50" s="332">
        <f ca="1">IFERROR(INDEX(INDIRECT("Ans" &amp; E50 &amp; "TBL"), MATCH(J50, INDEX(INDIRECT("Ans" &amp; E50 &amp; "TBL"), 0, 1), 0), 2), 0)</f>
        <v>0</v>
      </c>
      <c r="L50" s="323"/>
      <c r="M50" s="587"/>
      <c r="N50" s="304" t="str">
        <f>J50</f>
        <v/>
      </c>
      <c r="O50" s="341">
        <f ca="1">IFERROR(INDEX(INDIRECT("Ans" &amp; E50 &amp; "TBL"), MATCH(N50, INDEX(INDIRECT("Ans" &amp; E50 &amp; "TBL"), 0, 1), 0), 2), 0)</f>
        <v>0</v>
      </c>
      <c r="P50" s="342"/>
      <c r="Q50" s="587"/>
      <c r="R50" s="304" t="str">
        <f>N50</f>
        <v/>
      </c>
      <c r="S50" s="135">
        <f ca="1">IFERROR(INDEX(INDIRECT("Ans" &amp; E50 &amp; "TBL"), MATCH(R50, INDEX(INDIRECT("Ans" &amp; E50 &amp; "TBL"), 0, 1), 0), 2), 0)</f>
        <v>0</v>
      </c>
      <c r="T50" s="326"/>
      <c r="U50" s="587"/>
      <c r="V50" s="304" t="str">
        <f>R50</f>
        <v/>
      </c>
      <c r="W50" s="343">
        <f ca="1">IFERROR(INDEX(INDIRECT("Ans" &amp; E50 &amp; "TBL"), MATCH(V50, INDEX(INDIRECT("Ans" &amp; E50 &amp; "TBL"), 0, 1), 0), 2), 0)</f>
        <v>0</v>
      </c>
      <c r="X50" s="342"/>
      <c r="Y50" s="587"/>
      <c r="Z50" s="587"/>
    </row>
    <row r="51" spans="1:26" ht="28.25" customHeight="1" x14ac:dyDescent="0.15">
      <c r="A51" s="87" t="str">
        <f>Interview!A70</f>
        <v>D-TA-B-2-1</v>
      </c>
      <c r="B51" s="577"/>
      <c r="C51" s="241">
        <f>INDEX('imp-questions'!E:E, MATCH(A51, 'imp-questions'!A:A, 0))</f>
        <v>2</v>
      </c>
      <c r="D51" s="300" t="str">
        <f>INDEX('imp-questions'!F:F, MATCH(A51, 'imp-questions'!A:A, 0))</f>
        <v>Do you use a standard methodology, aligned with your application risk levels?</v>
      </c>
      <c r="E51" s="329" t="str">
        <f>CHAR(65+INDEX('imp-questions'!H:H, MATCH(A51, 'imp-questions'!A:A, 0)))</f>
        <v>A</v>
      </c>
      <c r="F51" s="368" t="str">
        <f>IF(ISBLANK(Interview!F70),"",Interview!F70)</f>
        <v/>
      </c>
      <c r="G51" s="346">
        <f ca="1">IFERROR(INDEX(INDIRECT("Ans" &amp; E51 &amp; "TBL"), MATCH(F51, INDEX(INDIRECT("Ans" &amp; E51 &amp; "TBL"), 0, 1), 0), 2), 0)</f>
        <v>0</v>
      </c>
      <c r="H51" s="345"/>
      <c r="I51" s="587"/>
      <c r="J51" s="304" t="str">
        <f>F51</f>
        <v/>
      </c>
      <c r="K51" s="305">
        <f ca="1">IFERROR(INDEX(INDIRECT("Ans" &amp; E51 &amp; "TBL"), MATCH(J51, INDEX(INDIRECT("Ans" &amp; E51 &amp; "TBL"), 0, 1), 0), 2), 0)</f>
        <v>0</v>
      </c>
      <c r="L51" s="308"/>
      <c r="M51" s="587"/>
      <c r="N51" s="304" t="str">
        <f>J51</f>
        <v/>
      </c>
      <c r="O51" s="344">
        <f ca="1">IFERROR(INDEX(INDIRECT("Ans" &amp; E51 &amp; "TBL"), MATCH(N51, INDEX(INDIRECT("Ans" &amp; E51 &amp; "TBL"), 0, 1), 0), 2), 0)</f>
        <v>0</v>
      </c>
      <c r="P51" s="345"/>
      <c r="Q51" s="587"/>
      <c r="R51" s="304" t="str">
        <f>N51</f>
        <v/>
      </c>
      <c r="S51" s="135">
        <f ca="1">IFERROR(INDEX(INDIRECT("Ans" &amp; E51 &amp; "TBL"), MATCH(R51, INDEX(INDIRECT("Ans" &amp; E51 &amp; "TBL"), 0, 1), 0), 2), 0)</f>
        <v>0</v>
      </c>
      <c r="T51" s="309"/>
      <c r="U51" s="587"/>
      <c r="V51" s="304" t="str">
        <f>R51</f>
        <v/>
      </c>
      <c r="W51" s="346">
        <f ca="1">IFERROR(INDEX(INDIRECT("Ans" &amp; E51 &amp; "TBL"), MATCH(V51, INDEX(INDIRECT("Ans" &amp; E51 &amp; "TBL"), 0, 1), 0), 2), 0)</f>
        <v>0</v>
      </c>
      <c r="X51" s="345"/>
      <c r="Y51" s="587"/>
      <c r="Z51" s="587"/>
    </row>
    <row r="52" spans="1:26" ht="28.25" customHeight="1" x14ac:dyDescent="0.15">
      <c r="A52" s="87" t="str">
        <f>Interview!A72</f>
        <v>D-TA-B-3-1</v>
      </c>
      <c r="B52" s="578"/>
      <c r="C52" s="241">
        <f>INDEX('imp-questions'!E:E, MATCH(A52, 'imp-questions'!A:A, 0))</f>
        <v>3</v>
      </c>
      <c r="D52" s="296" t="str">
        <f>INDEX('imp-questions'!F:F, MATCH(A52, 'imp-questions'!A:A, 0))</f>
        <v>Do you regularly review and update the threat modeling methodology for your applications?</v>
      </c>
      <c r="E52" s="329" t="str">
        <f>CHAR(65+INDEX('imp-questions'!H:H, MATCH(A52, 'imp-questions'!A:A, 0)))</f>
        <v>P</v>
      </c>
      <c r="F52" s="368" t="str">
        <f>IF(ISBLANK(Interview!F72),"",Interview!F72)</f>
        <v/>
      </c>
      <c r="G52" s="369">
        <f ca="1">IFERROR(INDEX(INDIRECT("Ans" &amp; E52 &amp; "TBL"), MATCH(F52, INDEX(INDIRECT("Ans" &amp; E52 &amp; "TBL"), 0, 1), 0), 2), 0)</f>
        <v>0</v>
      </c>
      <c r="H52" s="348"/>
      <c r="I52" s="588"/>
      <c r="J52" s="304" t="str">
        <f>F52</f>
        <v/>
      </c>
      <c r="K52" s="339">
        <f ca="1">IFERROR(INDEX(INDIRECT("Ans" &amp; E52 &amp; "TBL"), MATCH(J52, INDEX(INDIRECT("Ans" &amp; E52 &amp; "TBL"), 0, 1), 0), 2), 0)</f>
        <v>0</v>
      </c>
      <c r="L52" s="311"/>
      <c r="M52" s="588"/>
      <c r="N52" s="304" t="str">
        <f>J52</f>
        <v/>
      </c>
      <c r="O52" s="347">
        <f ca="1">IFERROR(INDEX(INDIRECT("Ans" &amp; E52 &amp; "TBL"), MATCH(N52, INDEX(INDIRECT("Ans" &amp; E52 &amp; "TBL"), 0, 1), 0), 2), 0)</f>
        <v>0</v>
      </c>
      <c r="P52" s="348"/>
      <c r="Q52" s="588"/>
      <c r="R52" s="304" t="str">
        <f>N52</f>
        <v/>
      </c>
      <c r="S52" s="135">
        <f ca="1">IFERROR(INDEX(INDIRECT("Ans" &amp; E52 &amp; "TBL"), MATCH(R52, INDEX(INDIRECT("Ans" &amp; E52 &amp; "TBL"), 0, 1), 0), 2), 0)</f>
        <v>0</v>
      </c>
      <c r="T52" s="312"/>
      <c r="U52" s="588"/>
      <c r="V52" s="304" t="str">
        <f>R52</f>
        <v/>
      </c>
      <c r="W52" s="349">
        <f ca="1">IFERROR(INDEX(INDIRECT("Ans" &amp; E52 &amp; "TBL"), MATCH(V52, INDEX(INDIRECT("Ans" &amp; E52 &amp; "TBL"), 0, 1), 0), 2), 0)</f>
        <v>0</v>
      </c>
      <c r="X52" s="348"/>
      <c r="Y52" s="588"/>
      <c r="Z52" s="588"/>
    </row>
    <row r="53" spans="1:26" ht="13" customHeight="1" x14ac:dyDescent="0.15">
      <c r="B53" s="235"/>
      <c r="C53" s="236"/>
      <c r="D53" s="125"/>
      <c r="E53" s="125"/>
      <c r="F53" s="125"/>
      <c r="G53" s="125"/>
      <c r="H53" s="125"/>
      <c r="I53" s="125"/>
      <c r="J53" s="125"/>
      <c r="K53" s="125"/>
      <c r="L53" s="125"/>
      <c r="M53" s="125"/>
      <c r="N53" s="125"/>
      <c r="O53" s="125"/>
      <c r="P53" s="125"/>
      <c r="Q53" s="125"/>
      <c r="R53" s="125"/>
      <c r="S53" s="313"/>
      <c r="T53" s="125"/>
      <c r="U53" s="125"/>
      <c r="V53" s="125"/>
      <c r="W53" s="125"/>
      <c r="X53" s="125"/>
      <c r="Y53" s="125"/>
    </row>
    <row r="54" spans="1:26" ht="16.25" customHeight="1" x14ac:dyDescent="0.15">
      <c r="B54" s="239" t="s">
        <v>12</v>
      </c>
      <c r="C54" s="240" t="s">
        <v>13</v>
      </c>
      <c r="D54" s="370" t="s">
        <v>46</v>
      </c>
      <c r="E54" s="371"/>
      <c r="F54" s="372" t="s">
        <v>15</v>
      </c>
      <c r="G54" s="373"/>
      <c r="H54" s="374"/>
      <c r="I54" s="354" t="s">
        <v>17</v>
      </c>
      <c r="J54" s="372" t="s">
        <v>15</v>
      </c>
      <c r="K54" s="373"/>
      <c r="L54" s="374"/>
      <c r="M54" s="354" t="s">
        <v>17</v>
      </c>
      <c r="N54" s="372" t="s">
        <v>15</v>
      </c>
      <c r="O54" s="373"/>
      <c r="P54" s="374"/>
      <c r="Q54" s="354" t="s">
        <v>17</v>
      </c>
      <c r="R54" s="372" t="s">
        <v>15</v>
      </c>
      <c r="S54" s="373"/>
      <c r="T54" s="374"/>
      <c r="U54" s="354" t="s">
        <v>17</v>
      </c>
      <c r="V54" s="372" t="s">
        <v>15</v>
      </c>
      <c r="W54" s="373"/>
      <c r="X54" s="374"/>
      <c r="Y54" s="354" t="s">
        <v>17</v>
      </c>
      <c r="Z54" s="354" t="s">
        <v>253</v>
      </c>
    </row>
    <row r="55" spans="1:26" ht="28.25" customHeight="1" x14ac:dyDescent="0.15">
      <c r="A55" s="87" t="str">
        <f>Interview!A75</f>
        <v>D-SR-A-1-1</v>
      </c>
      <c r="B55" s="595" t="str">
        <f>INDEX('imp-questions'!D:D, MATCH(A55, 'imp-questions'!A:A, 0))</f>
        <v>Software Requirements</v>
      </c>
      <c r="C55" s="241">
        <f>INDEX('imp-questions'!E:E, MATCH(A55, 'imp-questions'!A:A, 0))</f>
        <v>1</v>
      </c>
      <c r="D55" s="300" t="str">
        <f>INDEX('imp-questions'!F:F, MATCH(A55, 'imp-questions'!A:A, 0))</f>
        <v>Do project teams specify security requirements during development?</v>
      </c>
      <c r="E55" s="329" t="str">
        <f>CHAR(65+INDEX('imp-questions'!H:H, MATCH(A55, 'imp-questions'!A:A, 0)))</f>
        <v>A</v>
      </c>
      <c r="F55" s="287" t="str">
        <f>IF(ISBLANK(Interview!F75),"",Interview!F75)</f>
        <v/>
      </c>
      <c r="G55" s="366">
        <f ca="1">IFERROR(INDEX(INDIRECT("Ans" &amp; E55 &amp; "TBL"), MATCH(F55, INDEX(INDIRECT("Ans" &amp; E55 &amp; "TBL"), 0, 1), 0), 2), 0)</f>
        <v>0</v>
      </c>
      <c r="H55" s="358">
        <f ca="1">IFERROR(AVERAGE(G55,G59),0)</f>
        <v>0</v>
      </c>
      <c r="I55" s="586">
        <f ca="1">SUM(H55:H57)</f>
        <v>0</v>
      </c>
      <c r="J55" s="304" t="str">
        <f>F55</f>
        <v/>
      </c>
      <c r="K55" s="343">
        <f ca="1">IFERROR(INDEX(INDIRECT("Ans" &amp; E55 &amp; "TBL"), MATCH(J55, INDEX(INDIRECT("Ans" &amp; E55 &amp; "TBL"), 0, 1), 0), 2), 0)</f>
        <v>0</v>
      </c>
      <c r="L55" s="358">
        <f ca="1">IFERROR(AVERAGE(K55,K59),0)</f>
        <v>0</v>
      </c>
      <c r="M55" s="586">
        <f ca="1">SUM(L55:L57)</f>
        <v>0</v>
      </c>
      <c r="N55" s="304" t="str">
        <f>J55</f>
        <v/>
      </c>
      <c r="O55" s="341">
        <f ca="1">IFERROR(INDEX(INDIRECT("Ans" &amp; E55 &amp; "TBL"), MATCH(N55, INDEX(INDIRECT("Ans" &amp; E55 &amp; "TBL"), 0, 1), 0), 2), 0)</f>
        <v>0</v>
      </c>
      <c r="P55" s="358">
        <f ca="1">IFERROR(AVERAGE(O55,O59),0)</f>
        <v>0</v>
      </c>
      <c r="Q55" s="586">
        <f ca="1">SUM(P55:P57)</f>
        <v>0</v>
      </c>
      <c r="R55" s="304" t="str">
        <f>N55</f>
        <v/>
      </c>
      <c r="S55" s="135">
        <f ca="1">IFERROR(INDEX(INDIRECT("Ans" &amp; E55 &amp; "TBL"), MATCH(R55, INDEX(INDIRECT("Ans" &amp; E55 &amp; "TBL"), 0, 1), 0), 2), 0)</f>
        <v>0</v>
      </c>
      <c r="T55" s="359">
        <f ca="1">IFERROR(AVERAGE(S55,S59),0)</f>
        <v>0</v>
      </c>
      <c r="U55" s="586">
        <f ca="1">SUM(T55:T57)</f>
        <v>0</v>
      </c>
      <c r="V55" s="304" t="str">
        <f>R55</f>
        <v/>
      </c>
      <c r="W55" s="343">
        <f ca="1">IFERROR(INDEX(INDIRECT("Ans" &amp; E55 &amp; "TBL"), MATCH(V55, INDEX(INDIRECT("Ans" &amp; E55 &amp; "TBL"), 0, 1), 0), 2), 0)</f>
        <v>0</v>
      </c>
      <c r="X55" s="358">
        <f ca="1">IFERROR(AVERAGE(W55,W59),0)</f>
        <v>0</v>
      </c>
      <c r="Y55" s="586">
        <f ca="1">SUM(X55:X57)</f>
        <v>0</v>
      </c>
      <c r="Z55" s="586">
        <f ca="1">IFERROR(Y55-I55,Y55-LEFT(I55,1))</f>
        <v>0</v>
      </c>
    </row>
    <row r="56" spans="1:26" ht="28.25" customHeight="1" x14ac:dyDescent="0.15">
      <c r="A56" s="87" t="str">
        <f>Interview!A77</f>
        <v>D-SR-A-2-1</v>
      </c>
      <c r="B56" s="577"/>
      <c r="C56" s="241">
        <f>INDEX('imp-questions'!E:E, MATCH(A56, 'imp-questions'!A:A, 0))</f>
        <v>2</v>
      </c>
      <c r="D56" s="300" t="str">
        <f>INDEX('imp-questions'!F:F, MATCH(A56, 'imp-questions'!A:A, 0))</f>
        <v>Do you define, structure, and include prioritization in the artifacts of the security requirements gathering process?</v>
      </c>
      <c r="E56" s="329" t="str">
        <f>CHAR(65+INDEX('imp-questions'!H:H, MATCH(A56, 'imp-questions'!A:A, 0)))</f>
        <v>E</v>
      </c>
      <c r="F56" s="297" t="str">
        <f>IF(ISBLANK(Interview!F77),"",Interview!F77)</f>
        <v/>
      </c>
      <c r="G56" s="346">
        <f ca="1">IFERROR(INDEX(INDIRECT("Ans" &amp; E56 &amp; "TBL"), MATCH(F56, INDEX(INDIRECT("Ans" &amp; E56 &amp; "TBL"), 0, 1), 0), 2), 0)</f>
        <v>0</v>
      </c>
      <c r="H56" s="360">
        <f ca="1">IFERROR(AVERAGE(G56,G60),0)</f>
        <v>0</v>
      </c>
      <c r="I56" s="587"/>
      <c r="J56" s="304" t="str">
        <f>F56</f>
        <v/>
      </c>
      <c r="K56" s="346">
        <f ca="1">IFERROR(INDEX(INDIRECT("Ans" &amp; E56 &amp; "TBL"), MATCH(J56, INDEX(INDIRECT("Ans" &amp; E56 &amp; "TBL"), 0, 1), 0), 2), 0)</f>
        <v>0</v>
      </c>
      <c r="L56" s="360">
        <f ca="1">IFERROR(AVERAGE(K56,K60),0)</f>
        <v>0</v>
      </c>
      <c r="M56" s="587"/>
      <c r="N56" s="304" t="str">
        <f>J56</f>
        <v/>
      </c>
      <c r="O56" s="344">
        <f ca="1">IFERROR(INDEX(INDIRECT("Ans" &amp; E56 &amp; "TBL"), MATCH(N56, INDEX(INDIRECT("Ans" &amp; E56 &amp; "TBL"), 0, 1), 0), 2), 0)</f>
        <v>0</v>
      </c>
      <c r="P56" s="360">
        <f ca="1">IFERROR(AVERAGE(O56,O60),0)</f>
        <v>0</v>
      </c>
      <c r="Q56" s="587"/>
      <c r="R56" s="304" t="str">
        <f>N56</f>
        <v/>
      </c>
      <c r="S56" s="135">
        <f ca="1">IFERROR(INDEX(INDIRECT("Ans" &amp; E56 &amp; "TBL"), MATCH(R56, INDEX(INDIRECT("Ans" &amp; E56 &amp; "TBL"), 0, 1), 0), 2), 0)</f>
        <v>0</v>
      </c>
      <c r="T56" s="361">
        <f ca="1">IFERROR(AVERAGE(S56,S60),0)</f>
        <v>0</v>
      </c>
      <c r="U56" s="587"/>
      <c r="V56" s="304" t="str">
        <f>R56</f>
        <v/>
      </c>
      <c r="W56" s="346">
        <f ca="1">IFERROR(INDEX(INDIRECT("Ans" &amp; E56 &amp; "TBL"), MATCH(V56, INDEX(INDIRECT("Ans" &amp; E56 &amp; "TBL"), 0, 1), 0), 2), 0)</f>
        <v>0</v>
      </c>
      <c r="X56" s="360">
        <f ca="1">IFERROR(AVERAGE(W56,W60),0)</f>
        <v>0</v>
      </c>
      <c r="Y56" s="587"/>
      <c r="Z56" s="587"/>
    </row>
    <row r="57" spans="1:26" ht="28.25" customHeight="1" x14ac:dyDescent="0.15">
      <c r="A57" s="87" t="str">
        <f>Interview!A79</f>
        <v>D-SR-A-3-1</v>
      </c>
      <c r="B57" s="596"/>
      <c r="C57" s="241">
        <f>INDEX('imp-questions'!E:E, MATCH(A57, 'imp-questions'!A:A, 0))</f>
        <v>3</v>
      </c>
      <c r="D57" s="296" t="str">
        <f>INDEX('imp-questions'!F:F, MATCH(A57, 'imp-questions'!A:A, 0))</f>
        <v>Do you use a standard requirements framework to streamline the elicitation of security requirements?</v>
      </c>
      <c r="E57" s="329" t="str">
        <f>CHAR(65+INDEX('imp-questions'!H:H, MATCH(A57, 'imp-questions'!A:A, 0)))</f>
        <v>A</v>
      </c>
      <c r="F57" s="287" t="str">
        <f>IF(ISBLANK(Interview!F79),"",Interview!F79)</f>
        <v/>
      </c>
      <c r="G57" s="349">
        <f ca="1">IFERROR(INDEX(INDIRECT("Ans" &amp; E57 &amp; "TBL"), MATCH(F57, INDEX(INDIRECT("Ans" &amp; E57 &amp; "TBL"), 0, 1), 0), 2), 0)</f>
        <v>0</v>
      </c>
      <c r="H57" s="364">
        <f ca="1">IFERROR(AVERAGE(G57,G61),0)</f>
        <v>0</v>
      </c>
      <c r="I57" s="587"/>
      <c r="J57" s="304" t="str">
        <f>F57</f>
        <v/>
      </c>
      <c r="K57" s="349">
        <f ca="1">IFERROR(INDEX(INDIRECT("Ans" &amp; E57 &amp; "TBL"), MATCH(J57, INDEX(INDIRECT("Ans" &amp; E57 &amp; "TBL"), 0, 1), 0), 2), 0)</f>
        <v>0</v>
      </c>
      <c r="L57" s="364">
        <f ca="1">IFERROR(AVERAGE(K57,K61),0)</f>
        <v>0</v>
      </c>
      <c r="M57" s="587"/>
      <c r="N57" s="304" t="str">
        <f>J57</f>
        <v/>
      </c>
      <c r="O57" s="347">
        <f ca="1">IFERROR(INDEX(INDIRECT("Ans" &amp; E57 &amp; "TBL"), MATCH(N57, INDEX(INDIRECT("Ans" &amp; E57 &amp; "TBL"), 0, 1), 0), 2), 0)</f>
        <v>0</v>
      </c>
      <c r="P57" s="364">
        <f ca="1">IFERROR(AVERAGE(O57,O61),0)</f>
        <v>0</v>
      </c>
      <c r="Q57" s="587"/>
      <c r="R57" s="304" t="str">
        <f>N57</f>
        <v/>
      </c>
      <c r="S57" s="135">
        <f ca="1">IFERROR(INDEX(INDIRECT("Ans" &amp; E57 &amp; "TBL"), MATCH(R57, INDEX(INDIRECT("Ans" &amp; E57 &amp; "TBL"), 0, 1), 0), 2), 0)</f>
        <v>0</v>
      </c>
      <c r="T57" s="365">
        <f ca="1">IFERROR(AVERAGE(S57,S61),0)</f>
        <v>0</v>
      </c>
      <c r="U57" s="587"/>
      <c r="V57" s="304" t="str">
        <f>R57</f>
        <v/>
      </c>
      <c r="W57" s="349">
        <f ca="1">IFERROR(INDEX(INDIRECT("Ans" &amp; E57 &amp; "TBL"), MATCH(V57, INDEX(INDIRECT("Ans" &amp; E57 &amp; "TBL"), 0, 1), 0), 2), 0)</f>
        <v>0</v>
      </c>
      <c r="X57" s="364">
        <f ca="1">IFERROR(AVERAGE(W57,W61),0)</f>
        <v>0</v>
      </c>
      <c r="Y57" s="587"/>
      <c r="Z57" s="587"/>
    </row>
    <row r="58" spans="1:26" ht="13" customHeight="1" x14ac:dyDescent="0.15">
      <c r="B58" s="242"/>
      <c r="C58" s="236"/>
      <c r="D58" s="125"/>
      <c r="E58" s="153"/>
      <c r="F58" s="125"/>
      <c r="G58" s="153"/>
      <c r="H58" s="153"/>
      <c r="I58" s="587"/>
      <c r="J58" s="125"/>
      <c r="K58" s="153"/>
      <c r="L58" s="153"/>
      <c r="M58" s="587"/>
      <c r="N58" s="125"/>
      <c r="O58" s="153"/>
      <c r="P58" s="153"/>
      <c r="Q58" s="587"/>
      <c r="R58" s="125"/>
      <c r="S58" s="153"/>
      <c r="T58" s="153"/>
      <c r="U58" s="587"/>
      <c r="V58" s="125"/>
      <c r="W58" s="153"/>
      <c r="X58" s="153"/>
      <c r="Y58" s="587"/>
      <c r="Z58" s="587"/>
    </row>
    <row r="59" spans="1:26" ht="28.25" customHeight="1" x14ac:dyDescent="0.15">
      <c r="A59" s="87" t="str">
        <f>Interview!A82</f>
        <v>D-SR-B-1-1</v>
      </c>
      <c r="B59" s="576" t="str">
        <f>INDEX('imp-questions'!D:D, MATCH(A59, 'imp-questions'!A:A, 0))</f>
        <v>Supplier Security</v>
      </c>
      <c r="C59" s="241">
        <f>INDEX('imp-questions'!E:E, MATCH(A59, 'imp-questions'!A:A, 0))</f>
        <v>1</v>
      </c>
      <c r="D59" s="300" t="str">
        <f>INDEX('imp-questions'!F:F, MATCH(A59, 'imp-questions'!A:A, 0))</f>
        <v>Do stakeholders review vendor collaborations for security requirements and methodology?</v>
      </c>
      <c r="E59" s="329" t="str">
        <f>CHAR(65+INDEX('imp-questions'!H:H, MATCH(A59, 'imp-questions'!A:A, 0)))</f>
        <v>E</v>
      </c>
      <c r="F59" s="287" t="str">
        <f>IF(ISBLANK(Interview!F82),"",Interview!F82)</f>
        <v/>
      </c>
      <c r="G59" s="366">
        <f ca="1">IFERROR(INDEX(INDIRECT("Ans" &amp; E59 &amp; "TBL"), MATCH(F59, INDEX(INDIRECT("Ans" &amp; E59 &amp; "TBL"), 0, 1), 0), 2), 0)</f>
        <v>0</v>
      </c>
      <c r="H59" s="375"/>
      <c r="I59" s="587"/>
      <c r="J59" s="304" t="str">
        <f>F59</f>
        <v/>
      </c>
      <c r="K59" s="343">
        <f ca="1">IFERROR(INDEX(INDIRECT("Ans" &amp; E59 &amp; "TBL"), MATCH(J59, INDEX(INDIRECT("Ans" &amp; E59 &amp; "TBL"), 0, 1), 0), 2), 0)</f>
        <v>0</v>
      </c>
      <c r="L59" s="342"/>
      <c r="M59" s="587"/>
      <c r="N59" s="304" t="str">
        <f>J59</f>
        <v/>
      </c>
      <c r="O59" s="341">
        <f ca="1">IFERROR(INDEX(INDIRECT("Ans" &amp; E59 &amp; "TBL"), MATCH(N59, INDEX(INDIRECT("Ans" &amp; E59 &amp; "TBL"), 0, 1), 0), 2), 0)</f>
        <v>0</v>
      </c>
      <c r="P59" s="342"/>
      <c r="Q59" s="587"/>
      <c r="R59" s="304" t="str">
        <f>N59</f>
        <v/>
      </c>
      <c r="S59" s="135">
        <f ca="1">IFERROR(INDEX(INDIRECT("Ans" &amp; E59 &amp; "TBL"), MATCH(R59, INDEX(INDIRECT("Ans" &amp; E59 &amp; "TBL"), 0, 1), 0), 2), 0)</f>
        <v>0</v>
      </c>
      <c r="T59" s="326"/>
      <c r="U59" s="587"/>
      <c r="V59" s="304" t="str">
        <f>R59</f>
        <v/>
      </c>
      <c r="W59" s="343">
        <f ca="1">IFERROR(INDEX(INDIRECT("Ans" &amp; E59 &amp; "TBL"), MATCH(V59, INDEX(INDIRECT("Ans" &amp; E59 &amp; "TBL"), 0, 1), 0), 2), 0)</f>
        <v>0</v>
      </c>
      <c r="X59" s="342"/>
      <c r="Y59" s="587"/>
      <c r="Z59" s="587"/>
    </row>
    <row r="60" spans="1:26" ht="28.25" customHeight="1" x14ac:dyDescent="0.15">
      <c r="A60" s="87" t="str">
        <f>Interview!A84</f>
        <v>D-SR-B-2-1</v>
      </c>
      <c r="B60" s="577"/>
      <c r="C60" s="241">
        <f>INDEX('imp-questions'!E:E, MATCH(A60, 'imp-questions'!A:A, 0))</f>
        <v>2</v>
      </c>
      <c r="D60" s="300" t="str">
        <f>INDEX('imp-questions'!F:F, MATCH(A60, 'imp-questions'!A:A, 0))</f>
        <v>Do vendors meet the security responsibilities and quality measures of service level agreements defined by the organization?</v>
      </c>
      <c r="E60" s="329" t="str">
        <f>CHAR(65+INDEX('imp-questions'!H:H, MATCH(A60, 'imp-questions'!A:A, 0)))</f>
        <v>E</v>
      </c>
      <c r="F60" s="297" t="str">
        <f>IF(ISBLANK(Interview!F84),"",Interview!F84)</f>
        <v/>
      </c>
      <c r="G60" s="346">
        <f ca="1">IFERROR(INDEX(INDIRECT("Ans" &amp; E60 &amp; "TBL"), MATCH(F60, INDEX(INDIRECT("Ans" &amp; E60 &amp; "TBL"), 0, 1), 0), 2), 0)</f>
        <v>0</v>
      </c>
      <c r="H60" s="345"/>
      <c r="I60" s="587"/>
      <c r="J60" s="304" t="str">
        <f>F60</f>
        <v/>
      </c>
      <c r="K60" s="346">
        <f ca="1">IFERROR(INDEX(INDIRECT("Ans" &amp; E60 &amp; "TBL"), MATCH(J60, INDEX(INDIRECT("Ans" &amp; E60 &amp; "TBL"), 0, 1), 0), 2), 0)</f>
        <v>0</v>
      </c>
      <c r="L60" s="345"/>
      <c r="M60" s="587"/>
      <c r="N60" s="304" t="str">
        <f>J60</f>
        <v/>
      </c>
      <c r="O60" s="344">
        <f ca="1">IFERROR(INDEX(INDIRECT("Ans" &amp; E60 &amp; "TBL"), MATCH(N60, INDEX(INDIRECT("Ans" &amp; E60 &amp; "TBL"), 0, 1), 0), 2), 0)</f>
        <v>0</v>
      </c>
      <c r="P60" s="345"/>
      <c r="Q60" s="587"/>
      <c r="R60" s="304" t="str">
        <f>N60</f>
        <v/>
      </c>
      <c r="S60" s="135">
        <f ca="1">IFERROR(INDEX(INDIRECT("Ans" &amp; E60 &amp; "TBL"), MATCH(R60, INDEX(INDIRECT("Ans" &amp; E60 &amp; "TBL"), 0, 1), 0), 2), 0)</f>
        <v>0</v>
      </c>
      <c r="T60" s="309"/>
      <c r="U60" s="587"/>
      <c r="V60" s="304" t="str">
        <f>R60</f>
        <v/>
      </c>
      <c r="W60" s="346">
        <f ca="1">IFERROR(INDEX(INDIRECT("Ans" &amp; E60 &amp; "TBL"), MATCH(V60, INDEX(INDIRECT("Ans" &amp; E60 &amp; "TBL"), 0, 1), 0), 2), 0)</f>
        <v>0</v>
      </c>
      <c r="X60" s="345"/>
      <c r="Y60" s="587"/>
      <c r="Z60" s="587"/>
    </row>
    <row r="61" spans="1:26" ht="28.25" customHeight="1" x14ac:dyDescent="0.15">
      <c r="A61" s="87" t="str">
        <f>Interview!A86</f>
        <v>D-SR-B-3-1</v>
      </c>
      <c r="B61" s="578"/>
      <c r="C61" s="241">
        <f>INDEX('imp-questions'!E:E, MATCH(A61, 'imp-questions'!A:A, 0))</f>
        <v>3</v>
      </c>
      <c r="D61" s="296" t="str">
        <f>INDEX('imp-questions'!F:F, MATCH(A61, 'imp-questions'!A:A, 0))</f>
        <v>Are vendors aligned with standard security controls and software development tools and processes that the organization utilizes?</v>
      </c>
      <c r="E61" s="329" t="str">
        <f>CHAR(65+INDEX('imp-questions'!H:H, MATCH(A61, 'imp-questions'!A:A, 0)))</f>
        <v>E</v>
      </c>
      <c r="F61" s="297" t="str">
        <f>IF(ISBLANK(Interview!F86),"",Interview!F86)</f>
        <v/>
      </c>
      <c r="G61" s="369">
        <f ca="1">IFERROR(INDEX(INDIRECT("Ans" &amp; E61 &amp; "TBL"), MATCH(F61, INDEX(INDIRECT("Ans" &amp; E61 &amp; "TBL"), 0, 1), 0), 2), 0)</f>
        <v>0</v>
      </c>
      <c r="H61" s="348"/>
      <c r="I61" s="588"/>
      <c r="J61" s="304" t="str">
        <f>F61</f>
        <v/>
      </c>
      <c r="K61" s="349">
        <f ca="1">IFERROR(INDEX(INDIRECT("Ans" &amp; E61 &amp; "TBL"), MATCH(J61, INDEX(INDIRECT("Ans" &amp; E61 &amp; "TBL"), 0, 1), 0), 2), 0)</f>
        <v>0</v>
      </c>
      <c r="L61" s="348"/>
      <c r="M61" s="588"/>
      <c r="N61" s="304" t="str">
        <f>J61</f>
        <v/>
      </c>
      <c r="O61" s="347">
        <f ca="1">IFERROR(INDEX(INDIRECT("Ans" &amp; E61 &amp; "TBL"), MATCH(N61, INDEX(INDIRECT("Ans" &amp; E61 &amp; "TBL"), 0, 1), 0), 2), 0)</f>
        <v>0</v>
      </c>
      <c r="P61" s="348"/>
      <c r="Q61" s="588"/>
      <c r="R61" s="304" t="str">
        <f>N61</f>
        <v/>
      </c>
      <c r="S61" s="135">
        <f ca="1">IFERROR(INDEX(INDIRECT("Ans" &amp; E61 &amp; "TBL"), MATCH(R61, INDEX(INDIRECT("Ans" &amp; E61 &amp; "TBL"), 0, 1), 0), 2), 0)</f>
        <v>0</v>
      </c>
      <c r="T61" s="312"/>
      <c r="U61" s="588"/>
      <c r="V61" s="304" t="str">
        <f>R61</f>
        <v/>
      </c>
      <c r="W61" s="349">
        <f ca="1">IFERROR(INDEX(INDIRECT("Ans" &amp; E61 &amp; "TBL"), MATCH(V61, INDEX(INDIRECT("Ans" &amp; E61 &amp; "TBL"), 0, 1), 0), 2), 0)</f>
        <v>0</v>
      </c>
      <c r="X61" s="348"/>
      <c r="Y61" s="588"/>
      <c r="Z61" s="588"/>
    </row>
    <row r="62" spans="1:26" ht="13" customHeight="1" x14ac:dyDescent="0.15">
      <c r="B62" s="235"/>
      <c r="C62" s="236"/>
      <c r="D62" s="125"/>
      <c r="E62" s="313"/>
      <c r="F62" s="125"/>
      <c r="G62" s="125"/>
      <c r="H62" s="125"/>
      <c r="I62" s="125"/>
      <c r="J62" s="125"/>
      <c r="K62" s="125"/>
      <c r="L62" s="125"/>
      <c r="M62" s="125"/>
      <c r="N62" s="125"/>
      <c r="O62" s="125"/>
      <c r="P62" s="125"/>
      <c r="Q62" s="125"/>
      <c r="R62" s="125"/>
      <c r="S62" s="313"/>
      <c r="T62" s="125"/>
      <c r="U62" s="125"/>
      <c r="V62" s="125"/>
      <c r="W62" s="125"/>
      <c r="X62" s="125"/>
      <c r="Y62" s="125"/>
      <c r="Z62" s="125"/>
    </row>
    <row r="63" spans="1:26" ht="16.25" customHeight="1" x14ac:dyDescent="0.15">
      <c r="B63" s="239" t="s">
        <v>12</v>
      </c>
      <c r="C63" s="240" t="s">
        <v>13</v>
      </c>
      <c r="D63" s="370" t="s">
        <v>53</v>
      </c>
      <c r="E63" s="371"/>
      <c r="F63" s="372" t="s">
        <v>15</v>
      </c>
      <c r="G63" s="373"/>
      <c r="H63" s="374"/>
      <c r="I63" s="354" t="s">
        <v>17</v>
      </c>
      <c r="J63" s="372" t="s">
        <v>15</v>
      </c>
      <c r="K63" s="373"/>
      <c r="L63" s="374"/>
      <c r="M63" s="354" t="s">
        <v>17</v>
      </c>
      <c r="N63" s="372" t="s">
        <v>15</v>
      </c>
      <c r="O63" s="373"/>
      <c r="P63" s="374"/>
      <c r="Q63" s="354" t="s">
        <v>17</v>
      </c>
      <c r="R63" s="372" t="s">
        <v>15</v>
      </c>
      <c r="S63" s="373"/>
      <c r="T63" s="374"/>
      <c r="U63" s="354" t="s">
        <v>17</v>
      </c>
      <c r="V63" s="372" t="s">
        <v>15</v>
      </c>
      <c r="W63" s="373"/>
      <c r="X63" s="374"/>
      <c r="Y63" s="354" t="s">
        <v>17</v>
      </c>
      <c r="Z63" s="354" t="s">
        <v>253</v>
      </c>
    </row>
    <row r="64" spans="1:26" ht="28.25" customHeight="1" x14ac:dyDescent="0.15">
      <c r="A64" s="87" t="str">
        <f>Interview!A89</f>
        <v>D-SA-A-1-1</v>
      </c>
      <c r="B64" s="595" t="str">
        <f>INDEX('imp-questions'!D:D, MATCH(A64, 'imp-questions'!A:A, 0))</f>
        <v>Architecture Design</v>
      </c>
      <c r="C64" s="241">
        <f>INDEX('imp-questions'!E:E, MATCH(A64, 'imp-questions'!A:A, 0))</f>
        <v>1</v>
      </c>
      <c r="D64" s="300" t="str">
        <f>INDEX('imp-questions'!F:F, MATCH(A64, 'imp-questions'!A:A, 0))</f>
        <v>Do teams use security principles during design?</v>
      </c>
      <c r="E64" s="329" t="str">
        <f>CHAR(65+INDEX('imp-questions'!H:H, MATCH(A64, 'imp-questions'!A:A, 0)))</f>
        <v>A</v>
      </c>
      <c r="F64" s="287" t="str">
        <f>IF(ISBLANK(Interview!F89),"",Interview!F89)</f>
        <v/>
      </c>
      <c r="G64" s="343">
        <f ca="1">IFERROR(INDEX(INDIRECT("Ans" &amp; E64 &amp; "TBL"), MATCH(F64, INDEX(INDIRECT("Ans" &amp; E64 &amp; "TBL"), 0, 1), 0), 2), 0)</f>
        <v>0</v>
      </c>
      <c r="H64" s="358">
        <f ca="1">IFERROR(AVERAGE(G64,G68),0)</f>
        <v>0</v>
      </c>
      <c r="I64" s="589">
        <f ca="1">SUM(H64:H66)</f>
        <v>0</v>
      </c>
      <c r="J64" s="304" t="str">
        <f>F64</f>
        <v/>
      </c>
      <c r="K64" s="343">
        <f ca="1">IFERROR(INDEX(INDIRECT("Ans" &amp; E64 &amp; "TBL"), MATCH(J64, INDEX(INDIRECT("Ans" &amp; E64 &amp; "TBL"), 0, 1), 0), 2), 0)</f>
        <v>0</v>
      </c>
      <c r="L64" s="358">
        <f ca="1">IFERROR(AVERAGE(K64,K68),0)</f>
        <v>0</v>
      </c>
      <c r="M64" s="589">
        <f ca="1">SUM(L64:L66)</f>
        <v>0</v>
      </c>
      <c r="N64" s="304" t="str">
        <f>J64</f>
        <v/>
      </c>
      <c r="O64" s="341">
        <f ca="1">IFERROR(INDEX(INDIRECT("Ans" &amp; E64 &amp; "TBL"), MATCH(N64, INDEX(INDIRECT("Ans" &amp; E64 &amp; "TBL"), 0, 1), 0), 2), 0)</f>
        <v>0</v>
      </c>
      <c r="P64" s="358">
        <f ca="1">IFERROR(AVERAGE(O64,O68),0)</f>
        <v>0</v>
      </c>
      <c r="Q64" s="589">
        <f ca="1">SUM(P64:P66)</f>
        <v>0</v>
      </c>
      <c r="R64" s="304" t="str">
        <f>N64</f>
        <v/>
      </c>
      <c r="S64" s="135">
        <f ca="1">IFERROR(INDEX(INDIRECT("Ans" &amp; E64 &amp; "TBL"), MATCH(R64, INDEX(INDIRECT("Ans" &amp; E64 &amp; "TBL"), 0, 1), 0), 2), 0)</f>
        <v>0</v>
      </c>
      <c r="T64" s="359">
        <f ca="1">IFERROR(AVERAGE(S64,S68),0)</f>
        <v>0</v>
      </c>
      <c r="U64" s="589">
        <f ca="1">SUM(T64:T66)</f>
        <v>0</v>
      </c>
      <c r="V64" s="304" t="str">
        <f>R64</f>
        <v/>
      </c>
      <c r="W64" s="343">
        <f ca="1">IFERROR(INDEX(INDIRECT("Ans" &amp; E64 &amp; "TBL"), MATCH(V64, INDEX(INDIRECT("Ans" &amp; E64 &amp; "TBL"), 0, 1), 0), 2), 0)</f>
        <v>0</v>
      </c>
      <c r="X64" s="358">
        <f ca="1">IFERROR(AVERAGE(W64,W68),0)</f>
        <v>0</v>
      </c>
      <c r="Y64" s="589">
        <f ca="1">SUM(X64:X66)</f>
        <v>0</v>
      </c>
      <c r="Z64" s="589">
        <f ca="1">IFERROR(Y64-I64,Y64-LEFT(I64,1))</f>
        <v>0</v>
      </c>
    </row>
    <row r="65" spans="1:26" ht="28.25" customHeight="1" x14ac:dyDescent="0.15">
      <c r="A65" s="87" t="str">
        <f>Interview!A91</f>
        <v>D-SA-A-2-1</v>
      </c>
      <c r="B65" s="577"/>
      <c r="C65" s="241">
        <f>INDEX('imp-questions'!E:E, MATCH(A65, 'imp-questions'!A:A, 0))</f>
        <v>2</v>
      </c>
      <c r="D65" s="300" t="str">
        <f>INDEX('imp-questions'!F:F, MATCH(A65, 'imp-questions'!A:A, 0))</f>
        <v>Do you use shared security services during design?</v>
      </c>
      <c r="E65" s="329" t="str">
        <f>CHAR(65+INDEX('imp-questions'!H:H, MATCH(A65, 'imp-questions'!A:A, 0)))</f>
        <v>A</v>
      </c>
      <c r="F65" s="287" t="str">
        <f>IF(ISBLANK(Interview!F91),"",Interview!F91)</f>
        <v/>
      </c>
      <c r="G65" s="346">
        <f ca="1">IFERROR(INDEX(INDIRECT("Ans" &amp; E65 &amp; "TBL"), MATCH(F65, INDEX(INDIRECT("Ans" &amp; E65 &amp; "TBL"), 0, 1), 0), 2), 0)</f>
        <v>0</v>
      </c>
      <c r="H65" s="360">
        <f ca="1">IFERROR(AVERAGE(G65,G69),0)</f>
        <v>0</v>
      </c>
      <c r="I65" s="587"/>
      <c r="J65" s="304" t="str">
        <f>F65</f>
        <v/>
      </c>
      <c r="K65" s="346">
        <f ca="1">IFERROR(INDEX(INDIRECT("Ans" &amp; E65 &amp; "TBL"), MATCH(J65, INDEX(INDIRECT("Ans" &amp; E65 &amp; "TBL"), 0, 1), 0), 2), 0)</f>
        <v>0</v>
      </c>
      <c r="L65" s="360">
        <f ca="1">IFERROR(AVERAGE(K65,K69),0)</f>
        <v>0</v>
      </c>
      <c r="M65" s="587"/>
      <c r="N65" s="304" t="str">
        <f>J65</f>
        <v/>
      </c>
      <c r="O65" s="344">
        <f ca="1">IFERROR(INDEX(INDIRECT("Ans" &amp; E65 &amp; "TBL"), MATCH(N65, INDEX(INDIRECT("Ans" &amp; E65 &amp; "TBL"), 0, 1), 0), 2), 0)</f>
        <v>0</v>
      </c>
      <c r="P65" s="360">
        <f ca="1">IFERROR(AVERAGE(O65,O69),0)</f>
        <v>0</v>
      </c>
      <c r="Q65" s="587"/>
      <c r="R65" s="304" t="str">
        <f>N65</f>
        <v/>
      </c>
      <c r="S65" s="135">
        <f ca="1">IFERROR(INDEX(INDIRECT("Ans" &amp; E65 &amp; "TBL"), MATCH(R65, INDEX(INDIRECT("Ans" &amp; E65 &amp; "TBL"), 0, 1), 0), 2), 0)</f>
        <v>0</v>
      </c>
      <c r="T65" s="361">
        <f ca="1">IFERROR(AVERAGE(S65,S69),0)</f>
        <v>0</v>
      </c>
      <c r="U65" s="587"/>
      <c r="V65" s="304" t="str">
        <f>R65</f>
        <v/>
      </c>
      <c r="W65" s="346">
        <f ca="1">IFERROR(INDEX(INDIRECT("Ans" &amp; E65 &amp; "TBL"), MATCH(V65, INDEX(INDIRECT("Ans" &amp; E65 &amp; "TBL"), 0, 1), 0), 2), 0)</f>
        <v>0</v>
      </c>
      <c r="X65" s="360">
        <f ca="1">IFERROR(AVERAGE(W65,W69),0)</f>
        <v>0</v>
      </c>
      <c r="Y65" s="587"/>
      <c r="Z65" s="587"/>
    </row>
    <row r="66" spans="1:26" ht="28.25" customHeight="1" x14ac:dyDescent="0.15">
      <c r="A66" s="87" t="str">
        <f>Interview!A93</f>
        <v>D-SA-A-3-1</v>
      </c>
      <c r="B66" s="596"/>
      <c r="C66" s="241">
        <f>INDEX('imp-questions'!E:E, MATCH(A66, 'imp-questions'!A:A, 0))</f>
        <v>3</v>
      </c>
      <c r="D66" s="296" t="str">
        <f>INDEX('imp-questions'!F:F, MATCH(A66, 'imp-questions'!A:A, 0))</f>
        <v>Do you base your design on available reference architectures?</v>
      </c>
      <c r="E66" s="329" t="str">
        <f>CHAR(65+INDEX('imp-questions'!H:H, MATCH(A66, 'imp-questions'!A:A, 0)))</f>
        <v>A</v>
      </c>
      <c r="F66" s="287" t="str">
        <f>IF(ISBLANK(Interview!F93),"",Interview!F93)</f>
        <v/>
      </c>
      <c r="G66" s="349">
        <f ca="1">IFERROR(INDEX(INDIRECT("Ans" &amp; E66 &amp; "TBL"), MATCH(F66, INDEX(INDIRECT("Ans" &amp; E66 &amp; "TBL"), 0, 1), 0), 2), 0)</f>
        <v>0</v>
      </c>
      <c r="H66" s="364">
        <f ca="1">IFERROR(AVERAGE(G66,G70),0)</f>
        <v>0</v>
      </c>
      <c r="I66" s="587"/>
      <c r="J66" s="304" t="str">
        <f>F66</f>
        <v/>
      </c>
      <c r="K66" s="349">
        <f ca="1">IFERROR(INDEX(INDIRECT("Ans" &amp; E66 &amp; "TBL"), MATCH(J66, INDEX(INDIRECT("Ans" &amp; E66 &amp; "TBL"), 0, 1), 0), 2), 0)</f>
        <v>0</v>
      </c>
      <c r="L66" s="364">
        <f ca="1">IFERROR(AVERAGE(K66,K70),0)</f>
        <v>0</v>
      </c>
      <c r="M66" s="587"/>
      <c r="N66" s="304" t="str">
        <f>J66</f>
        <v/>
      </c>
      <c r="O66" s="344">
        <f ca="1">IFERROR(INDEX(INDIRECT("Ans" &amp; E66 &amp; "TBL"), MATCH(N66, INDEX(INDIRECT("Ans" &amp; E66 &amp; "TBL"), 0, 1), 0), 2), 0)</f>
        <v>0</v>
      </c>
      <c r="P66" s="360">
        <f ca="1">IFERROR(AVERAGE(O66,O70),0)</f>
        <v>0</v>
      </c>
      <c r="Q66" s="587"/>
      <c r="R66" s="304" t="str">
        <f>N66</f>
        <v/>
      </c>
      <c r="S66" s="135">
        <f ca="1">IFERROR(INDEX(INDIRECT("Ans" &amp; E66 &amp; "TBL"), MATCH(R66, INDEX(INDIRECT("Ans" &amp; E66 &amp; "TBL"), 0, 1), 0), 2), 0)</f>
        <v>0</v>
      </c>
      <c r="T66" s="365">
        <f ca="1">IFERROR(AVERAGE(S66,S70),0)</f>
        <v>0</v>
      </c>
      <c r="U66" s="587"/>
      <c r="V66" s="304" t="str">
        <f>R66</f>
        <v/>
      </c>
      <c r="W66" s="349">
        <f ca="1">IFERROR(INDEX(INDIRECT("Ans" &amp; E66 &amp; "TBL"), MATCH(V66, INDEX(INDIRECT("Ans" &amp; E66 &amp; "TBL"), 0, 1), 0), 2), 0)</f>
        <v>0</v>
      </c>
      <c r="X66" s="364">
        <f ca="1">IFERROR(AVERAGE(W66,W70),0)</f>
        <v>0</v>
      </c>
      <c r="Y66" s="587"/>
      <c r="Z66" s="587"/>
    </row>
    <row r="67" spans="1:26" ht="13" customHeight="1" x14ac:dyDescent="0.15">
      <c r="B67" s="242"/>
      <c r="C67" s="236"/>
      <c r="D67" s="125"/>
      <c r="E67" s="153"/>
      <c r="F67" s="153"/>
      <c r="G67" s="153"/>
      <c r="H67" s="153"/>
      <c r="I67" s="587"/>
      <c r="J67" s="125"/>
      <c r="K67" s="153"/>
      <c r="L67" s="153"/>
      <c r="M67" s="587"/>
      <c r="N67" s="125"/>
      <c r="O67" s="376"/>
      <c r="P67" s="377"/>
      <c r="Q67" s="587"/>
      <c r="R67" s="125"/>
      <c r="S67" s="153"/>
      <c r="T67" s="153"/>
      <c r="U67" s="587"/>
      <c r="V67" s="125"/>
      <c r="W67" s="153"/>
      <c r="X67" s="153"/>
      <c r="Y67" s="587"/>
      <c r="Z67" s="587"/>
    </row>
    <row r="68" spans="1:26" ht="28.25" customHeight="1" x14ac:dyDescent="0.15">
      <c r="A68" s="87" t="str">
        <f>Interview!A96</f>
        <v>D-SA-B-1-1</v>
      </c>
      <c r="B68" s="619" t="str">
        <f>INDEX('imp-questions'!D:D, MATCH(A68, 'imp-questions'!A:A, 0))</f>
        <v>Technology Management</v>
      </c>
      <c r="C68" s="241">
        <f>INDEX('imp-questions'!E:E, MATCH(A68, 'imp-questions'!A:A, 0))</f>
        <v>1</v>
      </c>
      <c r="D68" s="300" t="str">
        <f>INDEX('imp-questions'!F:F, MATCH(A68, 'imp-questions'!A:A, 0))</f>
        <v>Do you evaluate the security quality of important technologies used for development?</v>
      </c>
      <c r="E68" s="329" t="str">
        <f>CHAR(65+INDEX('imp-questions'!H:H, MATCH(A68, 'imp-questions'!A:A, 0)))</f>
        <v>A</v>
      </c>
      <c r="F68" s="287" t="str">
        <f>IF(ISBLANK(Interview!F96),"",Interview!F96)</f>
        <v/>
      </c>
      <c r="G68" s="378">
        <f ca="1">IFERROR(INDEX(INDIRECT("Ans" &amp; E68 &amp; "TBL"), MATCH(F68, INDEX(INDIRECT("Ans" &amp; E68 &amp; "TBL"), 0, 1), 0), 2), 0)</f>
        <v>0</v>
      </c>
      <c r="H68" s="342"/>
      <c r="I68" s="587"/>
      <c r="J68" s="304" t="str">
        <f>F68</f>
        <v/>
      </c>
      <c r="K68" s="343">
        <f ca="1">IFERROR(INDEX(INDIRECT("Ans" &amp; E68 &amp; "TBL"), MATCH(J68, INDEX(INDIRECT("Ans" &amp; E68 &amp; "TBL"), 0, 1), 0), 2), 0)</f>
        <v>0</v>
      </c>
      <c r="L68" s="342"/>
      <c r="M68" s="587"/>
      <c r="N68" s="304" t="str">
        <f>J68</f>
        <v/>
      </c>
      <c r="O68" s="341">
        <f ca="1">IFERROR(INDEX(INDIRECT("Ans" &amp; E68 &amp; "TBL"), MATCH(N68, INDEX(INDIRECT("Ans" &amp; E68 &amp; "TBL"), 0, 1), 0), 2), 0)</f>
        <v>0</v>
      </c>
      <c r="P68" s="342"/>
      <c r="Q68" s="587"/>
      <c r="R68" s="304" t="str">
        <f>N68</f>
        <v/>
      </c>
      <c r="S68" s="135">
        <f ca="1">IFERROR(INDEX(INDIRECT("Ans" &amp; E68 &amp; "TBL"), MATCH(R68, INDEX(INDIRECT("Ans" &amp; E68 &amp; "TBL"), 0, 1), 0), 2), 0)</f>
        <v>0</v>
      </c>
      <c r="T68" s="326"/>
      <c r="U68" s="587"/>
      <c r="V68" s="304" t="str">
        <f>R68</f>
        <v/>
      </c>
      <c r="W68" s="343">
        <f ca="1">IFERROR(INDEX(INDIRECT("Ans" &amp; E68 &amp; "TBL"), MATCH(V68, INDEX(INDIRECT("Ans" &amp; E68 &amp; "TBL"), 0, 1), 0), 2), 0)</f>
        <v>0</v>
      </c>
      <c r="X68" s="342"/>
      <c r="Y68" s="587"/>
      <c r="Z68" s="587"/>
    </row>
    <row r="69" spans="1:26" ht="28.25" customHeight="1" x14ac:dyDescent="0.15">
      <c r="A69" s="87" t="str">
        <f>Interview!A98</f>
        <v>D-SA-B-2-1</v>
      </c>
      <c r="B69" s="577"/>
      <c r="C69" s="241">
        <f>INDEX('imp-questions'!E:E, MATCH(A69, 'imp-questions'!A:A, 0))</f>
        <v>2</v>
      </c>
      <c r="D69" s="300" t="str">
        <f>INDEX('imp-questions'!F:F, MATCH(A69, 'imp-questions'!A:A, 0))</f>
        <v>Do you have a list of recommended technologies for the organization?</v>
      </c>
      <c r="E69" s="329" t="str">
        <f>CHAR(65+INDEX('imp-questions'!H:H, MATCH(A69, 'imp-questions'!A:A, 0)))</f>
        <v>M</v>
      </c>
      <c r="F69" s="287" t="str">
        <f>IF(ISBLANK(Interview!F98),"",Interview!F98)</f>
        <v/>
      </c>
      <c r="G69" s="379">
        <f ca="1">IFERROR(INDEX(INDIRECT("Ans" &amp; E69 &amp; "TBL"), MATCH(F69, INDEX(INDIRECT("Ans" &amp; E69 &amp; "TBL"), 0, 1), 0), 2), 0)</f>
        <v>0</v>
      </c>
      <c r="H69" s="345"/>
      <c r="I69" s="587"/>
      <c r="J69" s="304" t="str">
        <f>F69</f>
        <v/>
      </c>
      <c r="K69" s="346">
        <f ca="1">IFERROR(INDEX(INDIRECT("Ans" &amp; E69 &amp; "TBL"), MATCH(J69, INDEX(INDIRECT("Ans" &amp; E69 &amp; "TBL"), 0, 1), 0), 2), 0)</f>
        <v>0</v>
      </c>
      <c r="L69" s="345"/>
      <c r="M69" s="587"/>
      <c r="N69" s="304" t="str">
        <f>J69</f>
        <v/>
      </c>
      <c r="O69" s="344">
        <f ca="1">IFERROR(INDEX(INDIRECT("Ans" &amp; E69 &amp; "TBL"), MATCH(N69, INDEX(INDIRECT("Ans" &amp; E69 &amp; "TBL"), 0, 1), 0), 2), 0)</f>
        <v>0</v>
      </c>
      <c r="P69" s="345"/>
      <c r="Q69" s="587"/>
      <c r="R69" s="304" t="str">
        <f>N69</f>
        <v/>
      </c>
      <c r="S69" s="135">
        <f ca="1">IFERROR(INDEX(INDIRECT("Ans" &amp; E69 &amp; "TBL"), MATCH(R69, INDEX(INDIRECT("Ans" &amp; E69 &amp; "TBL"), 0, 1), 0), 2), 0)</f>
        <v>0</v>
      </c>
      <c r="T69" s="309"/>
      <c r="U69" s="587"/>
      <c r="V69" s="304" t="str">
        <f>R69</f>
        <v/>
      </c>
      <c r="W69" s="346">
        <f ca="1">IFERROR(INDEX(INDIRECT("Ans" &amp; E69 &amp; "TBL"), MATCH(V69, INDEX(INDIRECT("Ans" &amp; E69 &amp; "TBL"), 0, 1), 0), 2), 0)</f>
        <v>0</v>
      </c>
      <c r="X69" s="345"/>
      <c r="Y69" s="587"/>
      <c r="Z69" s="587"/>
    </row>
    <row r="70" spans="1:26" ht="28.25" customHeight="1" x14ac:dyDescent="0.15">
      <c r="A70" s="87" t="str">
        <f>Interview!A100</f>
        <v>D-SA-B-3-1</v>
      </c>
      <c r="B70" s="577"/>
      <c r="C70" s="241">
        <f>INDEX('imp-questions'!E:E, MATCH(A70, 'imp-questions'!A:A, 0))</f>
        <v>3</v>
      </c>
      <c r="D70" s="296" t="str">
        <f>INDEX('imp-questions'!F:F, MATCH(A70, 'imp-questions'!A:A, 0))</f>
        <v>Do you enforce the use of recommended technologies within the organization?</v>
      </c>
      <c r="E70" s="329" t="str">
        <f>CHAR(65+INDEX('imp-questions'!H:H, MATCH(A70, 'imp-questions'!A:A, 0)))</f>
        <v>A</v>
      </c>
      <c r="F70" s="297" t="str">
        <f>IF(ISBLANK(Interview!F100),"",Interview!F100)</f>
        <v/>
      </c>
      <c r="G70" s="380">
        <f ca="1">IFERROR(INDEX(INDIRECT("Ans" &amp; E70 &amp; "TBL"), MATCH(F70, INDEX(INDIRECT("Ans" &amp; E70 &amp; "TBL"), 0, 1), 0), 2), 0)</f>
        <v>0</v>
      </c>
      <c r="H70" s="348"/>
      <c r="I70" s="492"/>
      <c r="J70" s="304" t="str">
        <f>F70</f>
        <v/>
      </c>
      <c r="K70" s="349">
        <f ca="1">IFERROR(INDEX(INDIRECT("Ans" &amp; E70 &amp; "TBL"), MATCH(J70, INDEX(INDIRECT("Ans" &amp; E70 &amp; "TBL"), 0, 1), 0), 2), 0)</f>
        <v>0</v>
      </c>
      <c r="L70" s="348"/>
      <c r="M70" s="492"/>
      <c r="N70" s="304" t="str">
        <f>J70</f>
        <v/>
      </c>
      <c r="O70" s="347">
        <f ca="1">IFERROR(INDEX(INDIRECT("Ans" &amp; E70 &amp; "TBL"), MATCH(N70, INDEX(INDIRECT("Ans" &amp; E70 &amp; "TBL"), 0, 1), 0), 2), 0)</f>
        <v>0</v>
      </c>
      <c r="P70" s="348"/>
      <c r="Q70" s="492"/>
      <c r="R70" s="304" t="str">
        <f>N70</f>
        <v/>
      </c>
      <c r="S70" s="135">
        <f ca="1">IFERROR(INDEX(INDIRECT("Ans" &amp; E70 &amp; "TBL"), MATCH(R70, INDEX(INDIRECT("Ans" &amp; E70 &amp; "TBL"), 0, 1), 0), 2), 0)</f>
        <v>0</v>
      </c>
      <c r="T70" s="312"/>
      <c r="U70" s="492"/>
      <c r="V70" s="304" t="str">
        <f>R70</f>
        <v/>
      </c>
      <c r="W70" s="349">
        <f ca="1">IFERROR(INDEX(INDIRECT("Ans" &amp; E70 &amp; "TBL"), MATCH(V70, INDEX(INDIRECT("Ans" &amp; E70 &amp; "TBL"), 0, 1), 0), 2), 0)</f>
        <v>0</v>
      </c>
      <c r="X70" s="348"/>
      <c r="Y70" s="492"/>
      <c r="Z70" s="492"/>
    </row>
    <row r="71" spans="1:26" ht="13" customHeight="1" x14ac:dyDescent="0.15">
      <c r="B71" s="242"/>
      <c r="C71" s="236"/>
      <c r="D71" s="125"/>
      <c r="E71" s="313"/>
      <c r="F71" s="313"/>
      <c r="G71" s="125"/>
      <c r="H71" s="125"/>
      <c r="I71" s="125"/>
      <c r="J71" s="125"/>
      <c r="K71" s="125"/>
      <c r="L71" s="125"/>
      <c r="M71" s="125"/>
      <c r="N71" s="125"/>
      <c r="O71" s="125"/>
      <c r="P71" s="125"/>
      <c r="Q71" s="125"/>
      <c r="R71" s="125"/>
      <c r="S71" s="313"/>
      <c r="T71" s="125"/>
      <c r="U71" s="125"/>
      <c r="V71" s="125"/>
      <c r="W71" s="125"/>
      <c r="X71" s="125"/>
      <c r="Y71" s="125"/>
      <c r="Z71" s="125"/>
    </row>
    <row r="72" spans="1:26" ht="28" customHeight="1" x14ac:dyDescent="0.15">
      <c r="B72" s="579" t="s">
        <v>60</v>
      </c>
      <c r="C72" s="524"/>
      <c r="D72" s="524"/>
      <c r="E72" s="381"/>
      <c r="F72" s="591" t="s">
        <v>248</v>
      </c>
      <c r="G72" s="524"/>
      <c r="H72" s="524"/>
      <c r="I72" s="524"/>
      <c r="J72" s="594" t="s">
        <v>249</v>
      </c>
      <c r="K72" s="524"/>
      <c r="L72" s="524"/>
      <c r="M72" s="585"/>
      <c r="N72" s="594" t="s">
        <v>250</v>
      </c>
      <c r="O72" s="524"/>
      <c r="P72" s="524"/>
      <c r="Q72" s="585"/>
      <c r="R72" s="594" t="s">
        <v>251</v>
      </c>
      <c r="S72" s="524"/>
      <c r="T72" s="524"/>
      <c r="U72" s="585"/>
      <c r="V72" s="626" t="s">
        <v>252</v>
      </c>
      <c r="W72" s="524"/>
      <c r="X72" s="524"/>
      <c r="Y72" s="524"/>
      <c r="Z72" s="524"/>
    </row>
    <row r="73" spans="1:26" ht="16.25" customHeight="1" x14ac:dyDescent="0.15">
      <c r="B73" s="243" t="s">
        <v>12</v>
      </c>
      <c r="C73" s="416" t="s">
        <v>13</v>
      </c>
      <c r="D73" s="243" t="s">
        <v>61</v>
      </c>
      <c r="E73" s="382"/>
      <c r="F73" s="383" t="s">
        <v>15</v>
      </c>
      <c r="G73" s="384"/>
      <c r="H73" s="385"/>
      <c r="I73" s="386" t="s">
        <v>17</v>
      </c>
      <c r="J73" s="383" t="s">
        <v>15</v>
      </c>
      <c r="K73" s="384"/>
      <c r="L73" s="385"/>
      <c r="M73" s="386" t="s">
        <v>17</v>
      </c>
      <c r="N73" s="383" t="s">
        <v>15</v>
      </c>
      <c r="O73" s="384"/>
      <c r="P73" s="385"/>
      <c r="Q73" s="386" t="s">
        <v>17</v>
      </c>
      <c r="R73" s="383" t="s">
        <v>15</v>
      </c>
      <c r="S73" s="384"/>
      <c r="T73" s="385"/>
      <c r="U73" s="386" t="s">
        <v>17</v>
      </c>
      <c r="V73" s="383" t="s">
        <v>15</v>
      </c>
      <c r="W73" s="384"/>
      <c r="X73" s="385"/>
      <c r="Y73" s="386" t="s">
        <v>17</v>
      </c>
      <c r="Z73" s="386" t="s">
        <v>253</v>
      </c>
    </row>
    <row r="74" spans="1:26" ht="28.25" customHeight="1" x14ac:dyDescent="0.15">
      <c r="A74" s="87" t="str">
        <f>Interview!A104</f>
        <v>I-SB-A-1-1</v>
      </c>
      <c r="B74" s="615" t="str">
        <f>INDEX('imp-questions'!D:D, MATCH(A74, 'imp-questions'!A:A, 0))</f>
        <v>Build Process</v>
      </c>
      <c r="C74" s="244">
        <f>INDEX('imp-questions'!E:E, MATCH(A74, 'imp-questions'!A:A, 0))</f>
        <v>1</v>
      </c>
      <c r="D74" s="300" t="str">
        <f>INDEX('imp-questions'!F:F, MATCH(A74, 'imp-questions'!A:A, 0))</f>
        <v>Is your full build process formally described?</v>
      </c>
      <c r="E74" s="329" t="str">
        <f>CHAR(65+INDEX('imp-questions'!H:H, MATCH(A74, 'imp-questions'!A:A, 0)))</f>
        <v>A</v>
      </c>
      <c r="F74" s="287" t="str">
        <f>IF(ISBLANK(Interview!F104),"",Interview!F104)</f>
        <v/>
      </c>
      <c r="G74" s="343">
        <f ca="1">IFERROR(INDEX(INDIRECT("Ans" &amp; E74 &amp; "TBL"), MATCH(F74, INDEX(INDIRECT("Ans" &amp; E74 &amp; "TBL"), 0, 1), 0), 2), 0)</f>
        <v>0</v>
      </c>
      <c r="H74" s="358">
        <f ca="1">IFERROR(AVERAGE(G74,G78),0)</f>
        <v>0</v>
      </c>
      <c r="I74" s="608">
        <f ca="1">SUM(H74:H76)</f>
        <v>0</v>
      </c>
      <c r="J74" s="304" t="str">
        <f>F74</f>
        <v/>
      </c>
      <c r="K74" s="343">
        <f ca="1">IFERROR(INDEX(INDIRECT("Ans" &amp; E74 &amp; "TBL"), MATCH(J74, INDEX(INDIRECT("Ans" &amp; E74 &amp; "TBL"), 0, 1), 0), 2), 0)</f>
        <v>0</v>
      </c>
      <c r="L74" s="358">
        <f ca="1">IFERROR(AVERAGE(K74,K78),0)</f>
        <v>0</v>
      </c>
      <c r="M74" s="608">
        <f ca="1">SUM(L74:L76)</f>
        <v>0</v>
      </c>
      <c r="N74" s="304" t="str">
        <f>J74</f>
        <v/>
      </c>
      <c r="O74" s="341">
        <f ca="1">IFERROR(INDEX(INDIRECT("Ans" &amp; E74 &amp; "TBL"), MATCH(N74, INDEX(INDIRECT("Ans" &amp; E74 &amp; "TBL"), 0, 1), 0), 2), 0)</f>
        <v>0</v>
      </c>
      <c r="P74" s="358">
        <f ca="1">IFERROR(AVERAGE(O74,O78),0)</f>
        <v>0</v>
      </c>
      <c r="Q74" s="608">
        <f ca="1">SUM(P74:P76)</f>
        <v>0</v>
      </c>
      <c r="R74" s="304" t="str">
        <f>N74</f>
        <v/>
      </c>
      <c r="S74" s="135">
        <f ca="1">IFERROR(INDEX(INDIRECT("Ans" &amp; E74 &amp; "TBL"), MATCH(R74, INDEX(INDIRECT("Ans" &amp; E74 &amp; "TBL"), 0, 1), 0), 2), 0)</f>
        <v>0</v>
      </c>
      <c r="T74" s="359">
        <f ca="1">IFERROR(AVERAGE(S74,S78),0)</f>
        <v>0</v>
      </c>
      <c r="U74" s="608">
        <f ca="1">SUM(T74:T76)</f>
        <v>0</v>
      </c>
      <c r="V74" s="304" t="str">
        <f>R74</f>
        <v/>
      </c>
      <c r="W74" s="343">
        <f ca="1">IFERROR(INDEX(INDIRECT("Ans" &amp; E74 &amp; "TBL"), MATCH(V74, INDEX(INDIRECT("Ans" &amp; E74 &amp; "TBL"), 0, 1), 0), 2), 0)</f>
        <v>0</v>
      </c>
      <c r="X74" s="358">
        <f ca="1">IFERROR(AVERAGE(W74,W78),0)</f>
        <v>0</v>
      </c>
      <c r="Y74" s="608">
        <f ca="1">SUM(X74:X76)</f>
        <v>0</v>
      </c>
      <c r="Z74" s="608">
        <f ca="1">IFERROR(Y74-I74,Y74-LEFT(I74,1))</f>
        <v>0</v>
      </c>
    </row>
    <row r="75" spans="1:26" ht="28.25" customHeight="1" x14ac:dyDescent="0.15">
      <c r="A75" s="87" t="str">
        <f>Interview!A106</f>
        <v>I-SB-A-2-1</v>
      </c>
      <c r="B75" s="577"/>
      <c r="C75" s="244">
        <f>INDEX('imp-questions'!E:E, MATCH(A75, 'imp-questions'!A:A, 0))</f>
        <v>2</v>
      </c>
      <c r="D75" s="300" t="str">
        <f>INDEX('imp-questions'!F:F, MATCH(A75, 'imp-questions'!A:A, 0))</f>
        <v>Is the build process fully automated?</v>
      </c>
      <c r="E75" s="329" t="str">
        <f>CHAR(65+INDEX('imp-questions'!H:H, MATCH(A75, 'imp-questions'!A:A, 0)))</f>
        <v>A</v>
      </c>
      <c r="F75" s="287" t="str">
        <f>IF(ISBLANK(Interview!F106),"",Interview!F106)</f>
        <v/>
      </c>
      <c r="G75" s="346">
        <f ca="1">IFERROR(INDEX(INDIRECT("Ans" &amp; E75 &amp; "TBL"), MATCH(F75, INDEX(INDIRECT("Ans" &amp; E75 &amp; "TBL"), 0, 1), 0), 2), 0)</f>
        <v>0</v>
      </c>
      <c r="H75" s="360">
        <f ca="1">IFERROR(AVERAGE(G75,G79),0)</f>
        <v>0</v>
      </c>
      <c r="I75" s="587"/>
      <c r="J75" s="304" t="str">
        <f>F75</f>
        <v/>
      </c>
      <c r="K75" s="346">
        <f ca="1">IFERROR(INDEX(INDIRECT("Ans" &amp; E75 &amp; "TBL"), MATCH(J75, INDEX(INDIRECT("Ans" &amp; E75 &amp; "TBL"), 0, 1), 0), 2), 0)</f>
        <v>0</v>
      </c>
      <c r="L75" s="360">
        <f ca="1">IFERROR(AVERAGE(K75,K79),0)</f>
        <v>0</v>
      </c>
      <c r="M75" s="587"/>
      <c r="N75" s="304" t="str">
        <f>J75</f>
        <v/>
      </c>
      <c r="O75" s="344">
        <f ca="1">IFERROR(INDEX(INDIRECT("Ans" &amp; E75 &amp; "TBL"), MATCH(N75, INDEX(INDIRECT("Ans" &amp; E75 &amp; "TBL"), 0, 1), 0), 2), 0)</f>
        <v>0</v>
      </c>
      <c r="P75" s="360">
        <f ca="1">IFERROR(AVERAGE(O75,O79),0)</f>
        <v>0</v>
      </c>
      <c r="Q75" s="587"/>
      <c r="R75" s="304" t="str">
        <f>N75</f>
        <v/>
      </c>
      <c r="S75" s="135">
        <f ca="1">IFERROR(INDEX(INDIRECT("Ans" &amp; E75 &amp; "TBL"), MATCH(R75, INDEX(INDIRECT("Ans" &amp; E75 &amp; "TBL"), 0, 1), 0), 2), 0)</f>
        <v>0</v>
      </c>
      <c r="T75" s="361">
        <f ca="1">IFERROR(AVERAGE(S75,S79),0)</f>
        <v>0</v>
      </c>
      <c r="U75" s="587"/>
      <c r="V75" s="304" t="str">
        <f>R75</f>
        <v/>
      </c>
      <c r="W75" s="346">
        <f ca="1">IFERROR(INDEX(INDIRECT("Ans" &amp; E75 &amp; "TBL"), MATCH(V75, INDEX(INDIRECT("Ans" &amp; E75 &amp; "TBL"), 0, 1), 0), 2), 0)</f>
        <v>0</v>
      </c>
      <c r="X75" s="360">
        <f ca="1">IFERROR(AVERAGE(W75,W79),0)</f>
        <v>0</v>
      </c>
      <c r="Y75" s="587"/>
      <c r="Z75" s="587"/>
    </row>
    <row r="76" spans="1:26" ht="28.25" customHeight="1" x14ac:dyDescent="0.15">
      <c r="A76" s="87" t="str">
        <f>Interview!A108</f>
        <v>I-SB-A-3-1</v>
      </c>
      <c r="B76" s="578"/>
      <c r="C76" s="244">
        <f>INDEX('imp-questions'!E:E, MATCH(A76, 'imp-questions'!A:A, 0))</f>
        <v>3</v>
      </c>
      <c r="D76" s="296" t="str">
        <f>INDEX('imp-questions'!F:F, MATCH(A76, 'imp-questions'!A:A, 0))</f>
        <v>Do you enforce automated security checks in your build processes?</v>
      </c>
      <c r="E76" s="329" t="str">
        <f>CHAR(65+INDEX('imp-questions'!H:H, MATCH(A76, 'imp-questions'!A:A, 0)))</f>
        <v>A</v>
      </c>
      <c r="F76" s="287" t="str">
        <f>IF(ISBLANK(Interview!F108),"",Interview!F108)</f>
        <v/>
      </c>
      <c r="G76" s="349">
        <f ca="1">IFERROR(INDEX(INDIRECT("Ans" &amp; E76 &amp; "TBL"), MATCH(F76, INDEX(INDIRECT("Ans" &amp; E76 &amp; "TBL"), 0, 1), 0), 2), 0)</f>
        <v>0</v>
      </c>
      <c r="H76" s="364">
        <f ca="1">IFERROR(AVERAGE(G76,G80),0)</f>
        <v>0</v>
      </c>
      <c r="I76" s="587"/>
      <c r="J76" s="304" t="str">
        <f>F76</f>
        <v/>
      </c>
      <c r="K76" s="349">
        <f ca="1">IFERROR(INDEX(INDIRECT("Ans" &amp; E76 &amp; "TBL"), MATCH(J76, INDEX(INDIRECT("Ans" &amp; E76 &amp; "TBL"), 0, 1), 0), 2), 0)</f>
        <v>0</v>
      </c>
      <c r="L76" s="364">
        <f ca="1">IFERROR(AVERAGE(K76,K80),0)</f>
        <v>0</v>
      </c>
      <c r="M76" s="587"/>
      <c r="N76" s="304" t="str">
        <f>J76</f>
        <v/>
      </c>
      <c r="O76" s="347">
        <f ca="1">IFERROR(INDEX(INDIRECT("Ans" &amp; E76 &amp; "TBL"), MATCH(N76, INDEX(INDIRECT("Ans" &amp; E76 &amp; "TBL"), 0, 1), 0), 2), 0)</f>
        <v>0</v>
      </c>
      <c r="P76" s="364">
        <f ca="1">IFERROR(AVERAGE(O76,O80),0)</f>
        <v>0</v>
      </c>
      <c r="Q76" s="587"/>
      <c r="R76" s="304" t="str">
        <f>N76</f>
        <v/>
      </c>
      <c r="S76" s="135">
        <f ca="1">IFERROR(INDEX(INDIRECT("Ans" &amp; E76 &amp; "TBL"), MATCH(R76, INDEX(INDIRECT("Ans" &amp; E76 &amp; "TBL"), 0, 1), 0), 2), 0)</f>
        <v>0</v>
      </c>
      <c r="T76" s="365">
        <f ca="1">IFERROR(AVERAGE(S76,S80),0)</f>
        <v>0</v>
      </c>
      <c r="U76" s="587"/>
      <c r="V76" s="304" t="str">
        <f>R76</f>
        <v/>
      </c>
      <c r="W76" s="349">
        <f ca="1">IFERROR(INDEX(INDIRECT("Ans" &amp; E76 &amp; "TBL"), MATCH(V76, INDEX(INDIRECT("Ans" &amp; E76 &amp; "TBL"), 0, 1), 0), 2), 0)</f>
        <v>0</v>
      </c>
      <c r="X76" s="364">
        <f ca="1">IFERROR(AVERAGE(W76,W80),0)</f>
        <v>0</v>
      </c>
      <c r="Y76" s="587"/>
      <c r="Z76" s="587"/>
    </row>
    <row r="77" spans="1:26" ht="13" customHeight="1" x14ac:dyDescent="0.15">
      <c r="B77" s="235"/>
      <c r="C77" s="236"/>
      <c r="D77" s="125"/>
      <c r="E77" s="153"/>
      <c r="F77" s="125"/>
      <c r="G77" s="153"/>
      <c r="H77" s="153"/>
      <c r="I77" s="587"/>
      <c r="J77" s="125"/>
      <c r="K77" s="153"/>
      <c r="L77" s="153"/>
      <c r="M77" s="587"/>
      <c r="N77" s="125"/>
      <c r="O77" s="153"/>
      <c r="P77" s="153"/>
      <c r="Q77" s="587"/>
      <c r="R77" s="125"/>
      <c r="S77" s="153"/>
      <c r="T77" s="153"/>
      <c r="U77" s="587"/>
      <c r="V77" s="125"/>
      <c r="W77" s="153"/>
      <c r="X77" s="153"/>
      <c r="Y77" s="587"/>
      <c r="Z77" s="587"/>
    </row>
    <row r="78" spans="1:26" ht="28.25" customHeight="1" x14ac:dyDescent="0.15">
      <c r="A78" s="87" t="str">
        <f>Interview!A111</f>
        <v>I-SB-B-1-1</v>
      </c>
      <c r="B78" s="615" t="str">
        <f>INDEX('imp-questions'!D:D, MATCH(A78, 'imp-questions'!A:A, 0))</f>
        <v>Software Dependencies</v>
      </c>
      <c r="C78" s="244">
        <f>INDEX('imp-questions'!E:E, MATCH(A78, 'imp-questions'!A:A, 0))</f>
        <v>1</v>
      </c>
      <c r="D78" s="300" t="str">
        <f>INDEX('imp-questions'!F:F, MATCH(A78, 'imp-questions'!A:A, 0))</f>
        <v>Do you have solid knowledge about dependencies you're relying on?</v>
      </c>
      <c r="E78" s="329" t="str">
        <f>CHAR(65+INDEX('imp-questions'!H:H, MATCH(A78, 'imp-questions'!A:A, 0)))</f>
        <v>A</v>
      </c>
      <c r="F78" s="287" t="str">
        <f>IF(ISBLANK(Interview!F111),"",Interview!F111)</f>
        <v/>
      </c>
      <c r="G78" s="343">
        <f ca="1">IFERROR(INDEX(INDIRECT("Ans" &amp; E78 &amp; "TBL"), MATCH(F78, INDEX(INDIRECT("Ans" &amp; E78 &amp; "TBL"), 0, 1), 0), 2), 0)</f>
        <v>0</v>
      </c>
      <c r="H78" s="342"/>
      <c r="I78" s="587"/>
      <c r="J78" s="304" t="str">
        <f>F78</f>
        <v/>
      </c>
      <c r="K78" s="343">
        <f ca="1">IFERROR(INDEX(INDIRECT("Ans" &amp; E78 &amp; "TBL"), MATCH(J78, INDEX(INDIRECT("Ans" &amp; E78 &amp; "TBL"), 0, 1), 0), 2), 0)</f>
        <v>0</v>
      </c>
      <c r="L78" s="342"/>
      <c r="M78" s="587"/>
      <c r="N78" s="304" t="str">
        <f>J78</f>
        <v/>
      </c>
      <c r="O78" s="341">
        <f ca="1">IFERROR(INDEX(INDIRECT("Ans" &amp; E78 &amp; "TBL"), MATCH(N78, INDEX(INDIRECT("Ans" &amp; E78 &amp; "TBL"), 0, 1), 0), 2), 0)</f>
        <v>0</v>
      </c>
      <c r="P78" s="342"/>
      <c r="Q78" s="587"/>
      <c r="R78" s="304" t="str">
        <f>N78</f>
        <v/>
      </c>
      <c r="S78" s="135">
        <f ca="1">IFERROR(INDEX(INDIRECT("Ans" &amp; E78 &amp; "TBL"), MATCH(R78, INDEX(INDIRECT("Ans" &amp; E78 &amp; "TBL"), 0, 1), 0), 2), 0)</f>
        <v>0</v>
      </c>
      <c r="T78" s="326"/>
      <c r="U78" s="587"/>
      <c r="V78" s="304" t="str">
        <f>R78</f>
        <v/>
      </c>
      <c r="W78" s="343">
        <f ca="1">IFERROR(INDEX(INDIRECT("Ans" &amp; E78 &amp; "TBL"), MATCH(V78, INDEX(INDIRECT("Ans" &amp; E78 &amp; "TBL"), 0, 1), 0), 2), 0)</f>
        <v>0</v>
      </c>
      <c r="X78" s="342"/>
      <c r="Y78" s="587"/>
      <c r="Z78" s="587"/>
    </row>
    <row r="79" spans="1:26" ht="28.25" customHeight="1" x14ac:dyDescent="0.15">
      <c r="A79" s="87" t="str">
        <f>Interview!A113</f>
        <v>I-SB-B-2-1</v>
      </c>
      <c r="B79" s="577"/>
      <c r="C79" s="244">
        <f>INDEX('imp-questions'!E:E, MATCH(A79, 'imp-questions'!A:A, 0))</f>
        <v>2</v>
      </c>
      <c r="D79" s="300" t="str">
        <f>INDEX('imp-questions'!F:F, MATCH(A79, 'imp-questions'!A:A, 0))</f>
        <v>Do you handle 3rd party dependency risk by a formal process?</v>
      </c>
      <c r="E79" s="329" t="str">
        <f>CHAR(65+INDEX('imp-questions'!H:H, MATCH(A79, 'imp-questions'!A:A, 0)))</f>
        <v>A</v>
      </c>
      <c r="F79" s="287" t="str">
        <f>IF(ISBLANK(Interview!F113),"",Interview!F113)</f>
        <v/>
      </c>
      <c r="G79" s="346">
        <f ca="1">IFERROR(INDEX(INDIRECT("Ans" &amp; E79 &amp; "TBL"), MATCH(F79, INDEX(INDIRECT("Ans" &amp; E79 &amp; "TBL"), 0, 1), 0), 2), 0)</f>
        <v>0</v>
      </c>
      <c r="H79" s="345"/>
      <c r="I79" s="587"/>
      <c r="J79" s="304" t="str">
        <f>F79</f>
        <v/>
      </c>
      <c r="K79" s="346">
        <f ca="1">IFERROR(INDEX(INDIRECT("Ans" &amp; E79 &amp; "TBL"), MATCH(J79, INDEX(INDIRECT("Ans" &amp; E79 &amp; "TBL"), 0, 1), 0), 2), 0)</f>
        <v>0</v>
      </c>
      <c r="L79" s="345"/>
      <c r="M79" s="587"/>
      <c r="N79" s="304" t="str">
        <f>J79</f>
        <v/>
      </c>
      <c r="O79" s="344">
        <f ca="1">IFERROR(INDEX(INDIRECT("Ans" &amp; E79 &amp; "TBL"), MATCH(N79, INDEX(INDIRECT("Ans" &amp; E79 &amp; "TBL"), 0, 1), 0), 2), 0)</f>
        <v>0</v>
      </c>
      <c r="P79" s="345"/>
      <c r="Q79" s="587"/>
      <c r="R79" s="304" t="str">
        <f>N79</f>
        <v/>
      </c>
      <c r="S79" s="135">
        <f ca="1">IFERROR(INDEX(INDIRECT("Ans" &amp; E79 &amp; "TBL"), MATCH(R79, INDEX(INDIRECT("Ans" &amp; E79 &amp; "TBL"), 0, 1), 0), 2), 0)</f>
        <v>0</v>
      </c>
      <c r="T79" s="309"/>
      <c r="U79" s="587"/>
      <c r="V79" s="304" t="str">
        <f>R79</f>
        <v/>
      </c>
      <c r="W79" s="346">
        <f ca="1">IFERROR(INDEX(INDIRECT("Ans" &amp; E79 &amp; "TBL"), MATCH(V79, INDEX(INDIRECT("Ans" &amp; E79 &amp; "TBL"), 0, 1), 0), 2), 0)</f>
        <v>0</v>
      </c>
      <c r="X79" s="345"/>
      <c r="Y79" s="587"/>
      <c r="Z79" s="587"/>
    </row>
    <row r="80" spans="1:26" ht="28.25" customHeight="1" x14ac:dyDescent="0.15">
      <c r="A80" s="87" t="str">
        <f>Interview!A115</f>
        <v>I-SB-B-3-1</v>
      </c>
      <c r="B80" s="578"/>
      <c r="C80" s="244">
        <f>INDEX('imp-questions'!E:E, MATCH(A80, 'imp-questions'!A:A, 0))</f>
        <v>3</v>
      </c>
      <c r="D80" s="296" t="str">
        <f>INDEX('imp-questions'!F:F, MATCH(A80, 'imp-questions'!A:A, 0))</f>
        <v>Do you prevent build of software if it's affected by vulnerabilities in dependencies?</v>
      </c>
      <c r="E80" s="329" t="str">
        <f>CHAR(65+INDEX('imp-questions'!H:H, MATCH(A80, 'imp-questions'!A:A, 0)))</f>
        <v>A</v>
      </c>
      <c r="F80" s="287" t="str">
        <f>IF(ISBLANK(Interview!F115),"",Interview!F115)</f>
        <v/>
      </c>
      <c r="G80" s="349">
        <f ca="1">IFERROR(INDEX(INDIRECT("Ans" &amp; E80 &amp; "TBL"), MATCH(F80, INDEX(INDIRECT("Ans" &amp; E80 &amp; "TBL"), 0, 1), 0), 2), 0)</f>
        <v>0</v>
      </c>
      <c r="H80" s="348"/>
      <c r="I80" s="588"/>
      <c r="J80" s="304" t="str">
        <f>F80</f>
        <v/>
      </c>
      <c r="K80" s="349">
        <f ca="1">IFERROR(INDEX(INDIRECT("Ans" &amp; E80 &amp; "TBL"), MATCH(J80, INDEX(INDIRECT("Ans" &amp; E80 &amp; "TBL"), 0, 1), 0), 2), 0)</f>
        <v>0</v>
      </c>
      <c r="L80" s="348"/>
      <c r="M80" s="588"/>
      <c r="N80" s="304" t="str">
        <f>J80</f>
        <v/>
      </c>
      <c r="O80" s="347">
        <f ca="1">IFERROR(INDEX(INDIRECT("Ans" &amp; E80 &amp; "TBL"), MATCH(N80, INDEX(INDIRECT("Ans" &amp; E80 &amp; "TBL"), 0, 1), 0), 2), 0)</f>
        <v>0</v>
      </c>
      <c r="P80" s="348"/>
      <c r="Q80" s="588"/>
      <c r="R80" s="304" t="str">
        <f>N80</f>
        <v/>
      </c>
      <c r="S80" s="135">
        <f ca="1">IFERROR(INDEX(INDIRECT("Ans" &amp; E80 &amp; "TBL"), MATCH(R80, INDEX(INDIRECT("Ans" &amp; E80 &amp; "TBL"), 0, 1), 0), 2), 0)</f>
        <v>0</v>
      </c>
      <c r="T80" s="312"/>
      <c r="U80" s="588"/>
      <c r="V80" s="304" t="str">
        <f>R80</f>
        <v/>
      </c>
      <c r="W80" s="349">
        <f ca="1">IFERROR(INDEX(INDIRECT("Ans" &amp; E80 &amp; "TBL"), MATCH(V80, INDEX(INDIRECT("Ans" &amp; E80 &amp; "TBL"), 0, 1), 0), 2), 0)</f>
        <v>0</v>
      </c>
      <c r="X80" s="348"/>
      <c r="Y80" s="588"/>
      <c r="Z80" s="588"/>
    </row>
    <row r="81" spans="1:26" ht="13" customHeight="1" x14ac:dyDescent="0.15">
      <c r="B81" s="235"/>
      <c r="C81" s="236"/>
      <c r="D81" s="125"/>
      <c r="E81" s="125"/>
      <c r="F81" s="125"/>
      <c r="G81" s="125"/>
      <c r="H81" s="125"/>
      <c r="I81" s="125"/>
      <c r="J81" s="125"/>
      <c r="K81" s="125"/>
      <c r="L81" s="125"/>
      <c r="M81" s="125"/>
      <c r="N81" s="125"/>
      <c r="O81" s="125"/>
      <c r="P81" s="125"/>
      <c r="Q81" s="125"/>
      <c r="R81" s="125"/>
      <c r="S81" s="313"/>
      <c r="T81" s="125"/>
      <c r="U81" s="125"/>
      <c r="V81" s="125"/>
      <c r="W81" s="125"/>
      <c r="X81" s="125"/>
      <c r="Y81" s="125"/>
      <c r="Z81" s="125"/>
    </row>
    <row r="82" spans="1:26" ht="16.25" customHeight="1" x14ac:dyDescent="0.15">
      <c r="B82" s="243" t="s">
        <v>12</v>
      </c>
      <c r="C82" s="416" t="s">
        <v>13</v>
      </c>
      <c r="D82" s="245" t="s">
        <v>68</v>
      </c>
      <c r="E82" s="388"/>
      <c r="F82" s="389" t="s">
        <v>15</v>
      </c>
      <c r="G82" s="390"/>
      <c r="H82" s="391"/>
      <c r="I82" s="386" t="s">
        <v>17</v>
      </c>
      <c r="J82" s="389" t="s">
        <v>15</v>
      </c>
      <c r="K82" s="390"/>
      <c r="L82" s="391"/>
      <c r="M82" s="386" t="s">
        <v>17</v>
      </c>
      <c r="N82" s="389" t="s">
        <v>15</v>
      </c>
      <c r="O82" s="389"/>
      <c r="P82" s="392"/>
      <c r="Q82" s="386" t="s">
        <v>17</v>
      </c>
      <c r="R82" s="389" t="s">
        <v>15</v>
      </c>
      <c r="S82" s="390"/>
      <c r="T82" s="391"/>
      <c r="U82" s="386" t="s">
        <v>17</v>
      </c>
      <c r="V82" s="389" t="s">
        <v>15</v>
      </c>
      <c r="W82" s="390"/>
      <c r="X82" s="391"/>
      <c r="Y82" s="386" t="s">
        <v>17</v>
      </c>
      <c r="Z82" s="386" t="s">
        <v>253</v>
      </c>
    </row>
    <row r="83" spans="1:26" ht="28.25" customHeight="1" x14ac:dyDescent="0.15">
      <c r="A83" s="87" t="str">
        <f>Interview!A118</f>
        <v>I-SD-A-1-1</v>
      </c>
      <c r="B83" s="615" t="str">
        <f>INDEX('imp-questions'!D:D, MATCH(A83, 'imp-questions'!A:A, 0))</f>
        <v>Deployment Process</v>
      </c>
      <c r="C83" s="244">
        <f>INDEX('imp-questions'!E:E, MATCH(A83, 'imp-questions'!A:A, 0))</f>
        <v>1</v>
      </c>
      <c r="D83" s="300" t="str">
        <f>INDEX('imp-questions'!F:F, MATCH(A83, 'imp-questions'!A:A, 0))</f>
        <v>Do you use repeatable deployment processes?</v>
      </c>
      <c r="E83" s="329" t="str">
        <f>CHAR(65+INDEX('imp-questions'!H:H, MATCH(A83, 'imp-questions'!A:A, 0)))</f>
        <v>A</v>
      </c>
      <c r="F83" s="287" t="str">
        <f>IF(ISBLANK(Interview!F118),"",Interview!F118)</f>
        <v/>
      </c>
      <c r="G83" s="343">
        <f ca="1">IFERROR(INDEX(INDIRECT("Ans" &amp; E83 &amp; "TBL"), MATCH(F83, INDEX(INDIRECT("Ans" &amp; E83 &amp; "TBL"), 0, 1), 0), 2), 0)</f>
        <v>0</v>
      </c>
      <c r="H83" s="358">
        <f ca="1">IFERROR(AVERAGE(G83,G87),0)</f>
        <v>0</v>
      </c>
      <c r="I83" s="608">
        <f ca="1">SUM(H83:H85)</f>
        <v>0</v>
      </c>
      <c r="J83" s="304" t="str">
        <f>F83</f>
        <v/>
      </c>
      <c r="K83" s="343">
        <f ca="1">IFERROR(INDEX(INDIRECT("Ans" &amp; E83 &amp; "TBL"), MATCH(J83, INDEX(INDIRECT("Ans" &amp; E83 &amp; "TBL"), 0, 1), 0), 2), 0)</f>
        <v>0</v>
      </c>
      <c r="L83" s="358">
        <f ca="1">IFERROR(AVERAGE(K83,K87),0)</f>
        <v>0</v>
      </c>
      <c r="M83" s="608">
        <f ca="1">SUM(L83:L85)</f>
        <v>0</v>
      </c>
      <c r="N83" s="304" t="str">
        <f>J83</f>
        <v/>
      </c>
      <c r="O83" s="324">
        <f ca="1">IFERROR(INDEX(INDIRECT("Ans" &amp; E83 &amp; "TBL"), MATCH(N83, INDEX(INDIRECT("Ans" &amp; E83 &amp; "TBL"), 0, 1), 0), 2), 0)</f>
        <v>0</v>
      </c>
      <c r="P83" s="331">
        <f ca="1">IFERROR(AVERAGE(O83,O87),0)</f>
        <v>0</v>
      </c>
      <c r="Q83" s="608">
        <f ca="1">SUM(P83:P85)</f>
        <v>0</v>
      </c>
      <c r="R83" s="304" t="str">
        <f>N83</f>
        <v/>
      </c>
      <c r="S83" s="135">
        <f ca="1">IFERROR(INDEX(INDIRECT("Ans" &amp; E83 &amp; "TBL"), MATCH(R83, INDEX(INDIRECT("Ans" &amp; E83 &amp; "TBL"), 0, 1), 0), 2), 0)</f>
        <v>0</v>
      </c>
      <c r="T83" s="359">
        <f ca="1">IFERROR(AVERAGE(S83,S87),0)</f>
        <v>0</v>
      </c>
      <c r="U83" s="608">
        <f ca="1">SUM(T83:T85)</f>
        <v>0</v>
      </c>
      <c r="V83" s="304" t="str">
        <f>R83</f>
        <v/>
      </c>
      <c r="W83" s="343">
        <f ca="1">IFERROR(INDEX(INDIRECT("Ans" &amp; E83 &amp; "TBL"), MATCH(V83, INDEX(INDIRECT("Ans" &amp; E83 &amp; "TBL"), 0, 1), 0), 2), 0)</f>
        <v>0</v>
      </c>
      <c r="X83" s="358">
        <f ca="1">IFERROR(AVERAGE(W83,W87),0)</f>
        <v>0</v>
      </c>
      <c r="Y83" s="608">
        <f ca="1">SUM(X83:X85)</f>
        <v>0</v>
      </c>
      <c r="Z83" s="608">
        <f ca="1">IFERROR(Y83-I83,Y83-LEFT(I83,1))</f>
        <v>0</v>
      </c>
    </row>
    <row r="84" spans="1:26" ht="28.25" customHeight="1" x14ac:dyDescent="0.15">
      <c r="A84" s="87" t="str">
        <f>Interview!A120</f>
        <v>I-SD-A-2-1</v>
      </c>
      <c r="B84" s="577"/>
      <c r="C84" s="244">
        <f>INDEX('imp-questions'!E:E, MATCH(A84, 'imp-questions'!A:A, 0))</f>
        <v>2</v>
      </c>
      <c r="D84" s="300" t="str">
        <f>INDEX('imp-questions'!F:F, MATCH(A84, 'imp-questions'!A:A, 0))</f>
        <v>Are deployment processes automated and employing security checks?</v>
      </c>
      <c r="E84" s="329" t="str">
        <f>CHAR(65+INDEX('imp-questions'!H:H, MATCH(A84, 'imp-questions'!A:A, 0)))</f>
        <v>A</v>
      </c>
      <c r="F84" s="287" t="str">
        <f>IF(ISBLANK(Interview!F120),"",Interview!F120)</f>
        <v/>
      </c>
      <c r="G84" s="346">
        <f ca="1">IFERROR(INDEX(INDIRECT("Ans" &amp; E84 &amp; "TBL"), MATCH(F84, INDEX(INDIRECT("Ans" &amp; E84 &amp; "TBL"), 0, 1), 0), 2), 0)</f>
        <v>0</v>
      </c>
      <c r="H84" s="360">
        <f ca="1">IFERROR(AVERAGE(G84,G88),0)</f>
        <v>0</v>
      </c>
      <c r="I84" s="587"/>
      <c r="J84" s="304" t="str">
        <f>F84</f>
        <v/>
      </c>
      <c r="K84" s="346">
        <f ca="1">IFERROR(INDEX(INDIRECT("Ans" &amp; E84 &amp; "TBL"), MATCH(J84, INDEX(INDIRECT("Ans" &amp; E84 &amp; "TBL"), 0, 1), 0), 2), 0)</f>
        <v>0</v>
      </c>
      <c r="L84" s="360">
        <f ca="1">IFERROR(AVERAGE(K84,K88),0)</f>
        <v>0</v>
      </c>
      <c r="M84" s="587"/>
      <c r="N84" s="304" t="str">
        <f>J84</f>
        <v/>
      </c>
      <c r="O84" s="324">
        <f ca="1">IFERROR(INDEX(INDIRECT("Ans" &amp; E84 &amp; "TBL"), MATCH(N84, INDEX(INDIRECT("Ans" &amp; E84 &amp; "TBL"), 0, 1), 0), 2), 0)</f>
        <v>0</v>
      </c>
      <c r="P84" s="331">
        <f ca="1">IFERROR(AVERAGE(O84,O88),0)</f>
        <v>0</v>
      </c>
      <c r="Q84" s="587"/>
      <c r="R84" s="304" t="str">
        <f>N84</f>
        <v/>
      </c>
      <c r="S84" s="135">
        <f ca="1">IFERROR(INDEX(INDIRECT("Ans" &amp; E84 &amp; "TBL"), MATCH(R84, INDEX(INDIRECT("Ans" &amp; E84 &amp; "TBL"), 0, 1), 0), 2), 0)</f>
        <v>0</v>
      </c>
      <c r="T84" s="361">
        <f ca="1">IFERROR(AVERAGE(S84,S88),0)</f>
        <v>0</v>
      </c>
      <c r="U84" s="587"/>
      <c r="V84" s="304" t="str">
        <f>R84</f>
        <v/>
      </c>
      <c r="W84" s="346">
        <f ca="1">IFERROR(INDEX(INDIRECT("Ans" &amp; E84 &amp; "TBL"), MATCH(V84, INDEX(INDIRECT("Ans" &amp; E84 &amp; "TBL"), 0, 1), 0), 2), 0)</f>
        <v>0</v>
      </c>
      <c r="X84" s="360">
        <f ca="1">IFERROR(AVERAGE(W84,W88),0)</f>
        <v>0</v>
      </c>
      <c r="Y84" s="587"/>
      <c r="Z84" s="587"/>
    </row>
    <row r="85" spans="1:26" ht="28.25" customHeight="1" x14ac:dyDescent="0.15">
      <c r="A85" s="87" t="str">
        <f>Interview!A122</f>
        <v>I-SD-A-3-1</v>
      </c>
      <c r="B85" s="578"/>
      <c r="C85" s="244">
        <f>INDEX('imp-questions'!E:E, MATCH(A85, 'imp-questions'!A:A, 0))</f>
        <v>3</v>
      </c>
      <c r="D85" s="296" t="str">
        <f>INDEX('imp-questions'!F:F, MATCH(A85, 'imp-questions'!A:A, 0))</f>
        <v>Do you consistently validate the integrity of deployed artifacts?</v>
      </c>
      <c r="E85" s="329" t="str">
        <f>CHAR(65+INDEX('imp-questions'!H:H, MATCH(A85, 'imp-questions'!A:A, 0)))</f>
        <v>A</v>
      </c>
      <c r="F85" s="287" t="str">
        <f>IF(ISBLANK(Interview!F122),"",Interview!F122)</f>
        <v/>
      </c>
      <c r="G85" s="349">
        <f ca="1">IFERROR(INDEX(INDIRECT("Ans" &amp; E85 &amp; "TBL"), MATCH(F85, INDEX(INDIRECT("Ans" &amp; E85 &amp; "TBL"), 0, 1), 0), 2), 0)</f>
        <v>0</v>
      </c>
      <c r="H85" s="364">
        <f ca="1">IFERROR(AVERAGE(G85,G89),0)</f>
        <v>0</v>
      </c>
      <c r="I85" s="587"/>
      <c r="J85" s="304" t="str">
        <f>F85</f>
        <v/>
      </c>
      <c r="K85" s="349">
        <f ca="1">IFERROR(INDEX(INDIRECT("Ans" &amp; E85 &amp; "TBL"), MATCH(J85, INDEX(INDIRECT("Ans" &amp; E85 &amp; "TBL"), 0, 1), 0), 2), 0)</f>
        <v>0</v>
      </c>
      <c r="L85" s="364">
        <f ca="1">IFERROR(AVERAGE(K85,K89),0)</f>
        <v>0</v>
      </c>
      <c r="M85" s="587"/>
      <c r="N85" s="304" t="str">
        <f>J85</f>
        <v/>
      </c>
      <c r="O85" s="324">
        <f ca="1">IFERROR(INDEX(INDIRECT("Ans" &amp; E85 &amp; "TBL"), MATCH(N85, INDEX(INDIRECT("Ans" &amp; E85 &amp; "TBL"), 0, 1), 0), 2), 0)</f>
        <v>0</v>
      </c>
      <c r="P85" s="331">
        <f ca="1">IFERROR(AVERAGE(O85,O89),0)</f>
        <v>0</v>
      </c>
      <c r="Q85" s="587"/>
      <c r="R85" s="304" t="str">
        <f>N85</f>
        <v/>
      </c>
      <c r="S85" s="135">
        <f ca="1">IFERROR(INDEX(INDIRECT("Ans" &amp; E85 &amp; "TBL"), MATCH(R85, INDEX(INDIRECT("Ans" &amp; E85 &amp; "TBL"), 0, 1), 0), 2), 0)</f>
        <v>0</v>
      </c>
      <c r="T85" s="365">
        <f ca="1">IFERROR(AVERAGE(S85,S89),0)</f>
        <v>0</v>
      </c>
      <c r="U85" s="587"/>
      <c r="V85" s="304" t="str">
        <f>R85</f>
        <v/>
      </c>
      <c r="W85" s="349">
        <f ca="1">IFERROR(INDEX(INDIRECT("Ans" &amp; E85 &amp; "TBL"), MATCH(V85, INDEX(INDIRECT("Ans" &amp; E85 &amp; "TBL"), 0, 1), 0), 2), 0)</f>
        <v>0</v>
      </c>
      <c r="X85" s="364">
        <f ca="1">IFERROR(AVERAGE(W85,W89),0)</f>
        <v>0</v>
      </c>
      <c r="Y85" s="587"/>
      <c r="Z85" s="587"/>
    </row>
    <row r="86" spans="1:26" ht="13" customHeight="1" x14ac:dyDescent="0.15">
      <c r="B86" s="235"/>
      <c r="C86" s="236"/>
      <c r="D86" s="125"/>
      <c r="E86" s="153"/>
      <c r="F86" s="125"/>
      <c r="G86" s="153"/>
      <c r="H86" s="153"/>
      <c r="I86" s="587"/>
      <c r="J86" s="125"/>
      <c r="K86" s="153"/>
      <c r="L86" s="153"/>
      <c r="M86" s="587"/>
      <c r="N86" s="125"/>
      <c r="O86" s="153"/>
      <c r="P86" s="153"/>
      <c r="Q86" s="587"/>
      <c r="R86" s="125"/>
      <c r="S86" s="153"/>
      <c r="T86" s="153"/>
      <c r="U86" s="587"/>
      <c r="V86" s="125"/>
      <c r="W86" s="153"/>
      <c r="X86" s="153"/>
      <c r="Y86" s="587"/>
      <c r="Z86" s="587"/>
    </row>
    <row r="87" spans="1:26" ht="28.25" customHeight="1" x14ac:dyDescent="0.15">
      <c r="A87" s="87" t="str">
        <f>Interview!A125</f>
        <v>I-SD-B-1-1</v>
      </c>
      <c r="B87" s="615" t="str">
        <f>INDEX('imp-questions'!D:D, MATCH(A87, 'imp-questions'!A:A, 0))</f>
        <v>Secret Management</v>
      </c>
      <c r="C87" s="244">
        <f>INDEX('imp-questions'!E:E, MATCH(A87, 'imp-questions'!A:A, 0))</f>
        <v>1</v>
      </c>
      <c r="D87" s="300" t="str">
        <f>INDEX('imp-questions'!F:F, MATCH(A87, 'imp-questions'!A:A, 0))</f>
        <v>Do you limit access to application secrets according to the least privilege principle?</v>
      </c>
      <c r="E87" s="329" t="str">
        <f>CHAR(65+INDEX('imp-questions'!H:H, MATCH(A87, 'imp-questions'!A:A, 0)))</f>
        <v>A</v>
      </c>
      <c r="F87" s="287" t="str">
        <f>IF(ISBLANK(Interview!F125),"",Interview!F125)</f>
        <v/>
      </c>
      <c r="G87" s="343">
        <f ca="1">IFERROR(INDEX(INDIRECT("Ans" &amp; E87 &amp; "TBL"), MATCH(F87, INDEX(INDIRECT("Ans" &amp; E87 &amp; "TBL"), 0, 1), 0), 2), 0)</f>
        <v>0</v>
      </c>
      <c r="H87" s="342"/>
      <c r="I87" s="587"/>
      <c r="J87" s="304" t="str">
        <f>F87</f>
        <v/>
      </c>
      <c r="K87" s="343">
        <f ca="1">IFERROR(INDEX(INDIRECT("Ans" &amp; E87 &amp; "TBL"), MATCH(J87, INDEX(INDIRECT("Ans" &amp; E87 &amp; "TBL"), 0, 1), 0), 2), 0)</f>
        <v>0</v>
      </c>
      <c r="L87" s="342"/>
      <c r="M87" s="587"/>
      <c r="N87" s="304" t="str">
        <f>J87</f>
        <v/>
      </c>
      <c r="O87" s="341">
        <f ca="1">IFERROR(INDEX(INDIRECT("Ans" &amp; E87 &amp; "TBL"), MATCH(N87, INDEX(INDIRECT("Ans" &amp; E87 &amp; "TBL"), 0, 1), 0), 2), 0)</f>
        <v>0</v>
      </c>
      <c r="P87" s="342"/>
      <c r="Q87" s="587"/>
      <c r="R87" s="304" t="str">
        <f>N87</f>
        <v/>
      </c>
      <c r="S87" s="135">
        <f ca="1">IFERROR(INDEX(INDIRECT("Ans" &amp; E87 &amp; "TBL"), MATCH(R87, INDEX(INDIRECT("Ans" &amp; E87 &amp; "TBL"), 0, 1), 0), 2), 0)</f>
        <v>0</v>
      </c>
      <c r="T87" s="326"/>
      <c r="U87" s="587"/>
      <c r="V87" s="304" t="str">
        <f>R87</f>
        <v/>
      </c>
      <c r="W87" s="343">
        <f ca="1">IFERROR(INDEX(INDIRECT("Ans" &amp; E87 &amp; "TBL"), MATCH(V87, INDEX(INDIRECT("Ans" &amp; E87 &amp; "TBL"), 0, 1), 0), 2), 0)</f>
        <v>0</v>
      </c>
      <c r="X87" s="342"/>
      <c r="Y87" s="587"/>
      <c r="Z87" s="587"/>
    </row>
    <row r="88" spans="1:26" ht="28.25" customHeight="1" x14ac:dyDescent="0.15">
      <c r="A88" s="87" t="str">
        <f>Interview!A127</f>
        <v>I-SD-B-2-1</v>
      </c>
      <c r="B88" s="577"/>
      <c r="C88" s="244">
        <f>INDEX('imp-questions'!E:E, MATCH(A88, 'imp-questions'!A:A, 0))</f>
        <v>2</v>
      </c>
      <c r="D88" s="300" t="str">
        <f>INDEX('imp-questions'!F:F, MATCH(A88, 'imp-questions'!A:A, 0))</f>
        <v>Do you inject production secrets into configuration files during deployment?</v>
      </c>
      <c r="E88" s="329" t="str">
        <f>CHAR(65+INDEX('imp-questions'!H:H, MATCH(A88, 'imp-questions'!A:A, 0)))</f>
        <v>A</v>
      </c>
      <c r="F88" s="287" t="str">
        <f>IF(ISBLANK(Interview!F127),"",Interview!F127)</f>
        <v/>
      </c>
      <c r="G88" s="346">
        <f ca="1">IFERROR(INDEX(INDIRECT("Ans" &amp; E88 &amp; "TBL"), MATCH(F88, INDEX(INDIRECT("Ans" &amp; E88 &amp; "TBL"), 0, 1), 0), 2), 0)</f>
        <v>0</v>
      </c>
      <c r="H88" s="345"/>
      <c r="I88" s="587"/>
      <c r="J88" s="304" t="str">
        <f>F88</f>
        <v/>
      </c>
      <c r="K88" s="346">
        <f ca="1">IFERROR(INDEX(INDIRECT("Ans" &amp; E88 &amp; "TBL"), MATCH(J88, INDEX(INDIRECT("Ans" &amp; E88 &amp; "TBL"), 0, 1), 0), 2), 0)</f>
        <v>0</v>
      </c>
      <c r="L88" s="345"/>
      <c r="M88" s="587"/>
      <c r="N88" s="304" t="str">
        <f>J88</f>
        <v/>
      </c>
      <c r="O88" s="344">
        <f ca="1">IFERROR(INDEX(INDIRECT("Ans" &amp; E88 &amp; "TBL"), MATCH(N88, INDEX(INDIRECT("Ans" &amp; E88 &amp; "TBL"), 0, 1), 0), 2), 0)</f>
        <v>0</v>
      </c>
      <c r="P88" s="345"/>
      <c r="Q88" s="587"/>
      <c r="R88" s="304" t="str">
        <f>N88</f>
        <v/>
      </c>
      <c r="S88" s="135">
        <f ca="1">IFERROR(INDEX(INDIRECT("Ans" &amp; E88 &amp; "TBL"), MATCH(R88, INDEX(INDIRECT("Ans" &amp; E88 &amp; "TBL"), 0, 1), 0), 2), 0)</f>
        <v>0</v>
      </c>
      <c r="T88" s="309"/>
      <c r="U88" s="587"/>
      <c r="V88" s="304" t="str">
        <f>R88</f>
        <v/>
      </c>
      <c r="W88" s="346">
        <f ca="1">IFERROR(INDEX(INDIRECT("Ans" &amp; E88 &amp; "TBL"), MATCH(V88, INDEX(INDIRECT("Ans" &amp; E88 &amp; "TBL"), 0, 1), 0), 2), 0)</f>
        <v>0</v>
      </c>
      <c r="X88" s="345"/>
      <c r="Y88" s="587"/>
      <c r="Z88" s="587"/>
    </row>
    <row r="89" spans="1:26" ht="28.25" customHeight="1" x14ac:dyDescent="0.15">
      <c r="A89" s="87" t="str">
        <f>Interview!A129</f>
        <v>I-SD-B-3-1</v>
      </c>
      <c r="B89" s="578"/>
      <c r="C89" s="244">
        <f>INDEX('imp-questions'!E:E, MATCH(A89, 'imp-questions'!A:A, 0))</f>
        <v>3</v>
      </c>
      <c r="D89" s="296" t="str">
        <f>INDEX('imp-questions'!F:F, MATCH(A89, 'imp-questions'!A:A, 0))</f>
        <v>Do you practice proper lifecycle management for application secrets?</v>
      </c>
      <c r="E89" s="329" t="str">
        <f>CHAR(65+INDEX('imp-questions'!H:H, MATCH(A89, 'imp-questions'!A:A, 0)))</f>
        <v>A</v>
      </c>
      <c r="F89" s="287" t="str">
        <f>IF(ISBLANK(Interview!F129),"",Interview!F129)</f>
        <v/>
      </c>
      <c r="G89" s="349">
        <f ca="1">IFERROR(INDEX(INDIRECT("Ans" &amp; E89 &amp; "TBL"), MATCH(F89, INDEX(INDIRECT("Ans" &amp; E89 &amp; "TBL"), 0, 1), 0), 2), 0)</f>
        <v>0</v>
      </c>
      <c r="H89" s="348"/>
      <c r="I89" s="588"/>
      <c r="J89" s="304" t="str">
        <f>F89</f>
        <v/>
      </c>
      <c r="K89" s="349">
        <f ca="1">IFERROR(INDEX(INDIRECT("Ans" &amp; E89 &amp; "TBL"), MATCH(J89, INDEX(INDIRECT("Ans" &amp; E89 &amp; "TBL"), 0, 1), 0), 2), 0)</f>
        <v>0</v>
      </c>
      <c r="L89" s="348"/>
      <c r="M89" s="588"/>
      <c r="N89" s="304" t="str">
        <f>J89</f>
        <v/>
      </c>
      <c r="O89" s="347">
        <f ca="1">IFERROR(INDEX(INDIRECT("Ans" &amp; E89 &amp; "TBL"), MATCH(N89, INDEX(INDIRECT("Ans" &amp; E89 &amp; "TBL"), 0, 1), 0), 2), 0)</f>
        <v>0</v>
      </c>
      <c r="P89" s="348"/>
      <c r="Q89" s="588"/>
      <c r="R89" s="304" t="str">
        <f>N89</f>
        <v/>
      </c>
      <c r="S89" s="135">
        <f ca="1">IFERROR(INDEX(INDIRECT("Ans" &amp; E89 &amp; "TBL"), MATCH(R89, INDEX(INDIRECT("Ans" &amp; E89 &amp; "TBL"), 0, 1), 0), 2), 0)</f>
        <v>0</v>
      </c>
      <c r="T89" s="312"/>
      <c r="U89" s="588"/>
      <c r="V89" s="304" t="str">
        <f>R89</f>
        <v/>
      </c>
      <c r="W89" s="349">
        <f ca="1">IFERROR(INDEX(INDIRECT("Ans" &amp; E89 &amp; "TBL"), MATCH(V89, INDEX(INDIRECT("Ans" &amp; E89 &amp; "TBL"), 0, 1), 0), 2), 0)</f>
        <v>0</v>
      </c>
      <c r="X89" s="348"/>
      <c r="Y89" s="588"/>
      <c r="Z89" s="588"/>
    </row>
    <row r="90" spans="1:26" ht="13" customHeight="1" x14ac:dyDescent="0.15">
      <c r="B90" s="235"/>
      <c r="C90" s="236"/>
      <c r="D90" s="125"/>
      <c r="E90" s="125"/>
      <c r="F90" s="125"/>
      <c r="G90" s="125"/>
      <c r="H90" s="125"/>
      <c r="I90" s="125"/>
      <c r="J90" s="125"/>
      <c r="K90" s="125"/>
      <c r="L90" s="125"/>
      <c r="M90" s="125"/>
      <c r="N90" s="125"/>
      <c r="O90" s="125"/>
      <c r="P90" s="125"/>
      <c r="Q90" s="125"/>
      <c r="R90" s="125"/>
      <c r="S90" s="313"/>
      <c r="T90" s="125"/>
      <c r="U90" s="125"/>
      <c r="V90" s="125"/>
      <c r="W90" s="125"/>
      <c r="X90" s="125"/>
      <c r="Y90" s="125"/>
      <c r="Z90" s="125"/>
    </row>
    <row r="91" spans="1:26" ht="16.25" customHeight="1" x14ac:dyDescent="0.15">
      <c r="B91" s="243" t="s">
        <v>12</v>
      </c>
      <c r="C91" s="416" t="s">
        <v>13</v>
      </c>
      <c r="D91" s="245" t="s">
        <v>75</v>
      </c>
      <c r="E91" s="388"/>
      <c r="F91" s="389" t="s">
        <v>15</v>
      </c>
      <c r="G91" s="390"/>
      <c r="H91" s="391"/>
      <c r="I91" s="386" t="s">
        <v>17</v>
      </c>
      <c r="J91" s="389" t="s">
        <v>15</v>
      </c>
      <c r="K91" s="390"/>
      <c r="L91" s="391"/>
      <c r="M91" s="386" t="s">
        <v>17</v>
      </c>
      <c r="N91" s="389" t="s">
        <v>15</v>
      </c>
      <c r="O91" s="390"/>
      <c r="P91" s="391"/>
      <c r="Q91" s="386" t="s">
        <v>17</v>
      </c>
      <c r="R91" s="389" t="s">
        <v>15</v>
      </c>
      <c r="S91" s="390"/>
      <c r="T91" s="391"/>
      <c r="U91" s="386" t="s">
        <v>17</v>
      </c>
      <c r="V91" s="389" t="s">
        <v>15</v>
      </c>
      <c r="W91" s="390"/>
      <c r="X91" s="391"/>
      <c r="Y91" s="386" t="s">
        <v>17</v>
      </c>
      <c r="Z91" s="386" t="s">
        <v>253</v>
      </c>
    </row>
    <row r="92" spans="1:26" ht="28.25" customHeight="1" x14ac:dyDescent="0.15">
      <c r="A92" s="87" t="str">
        <f>Interview!A132</f>
        <v>I-DM-A-1-1</v>
      </c>
      <c r="B92" s="615" t="str">
        <f>INDEX('imp-questions'!D:D, MATCH(A92, 'imp-questions'!A:A, 0))</f>
        <v>Defect Tracking</v>
      </c>
      <c r="C92" s="244">
        <f>INDEX('imp-questions'!E:E, MATCH(A92, 'imp-questions'!A:A, 0))</f>
        <v>1</v>
      </c>
      <c r="D92" s="300" t="str">
        <f>INDEX('imp-questions'!F:F, MATCH(A92, 'imp-questions'!A:A, 0))</f>
        <v>Do you track all known security defects in accessible locations?</v>
      </c>
      <c r="E92" s="329" t="str">
        <f>CHAR(65+INDEX('imp-questions'!H:H, MATCH(A92, 'imp-questions'!A:A, 0)))</f>
        <v>A</v>
      </c>
      <c r="F92" s="287" t="str">
        <f>IF(ISBLANK(Interview!F132),"",Interview!F132)</f>
        <v/>
      </c>
      <c r="G92" s="343">
        <f ca="1">IFERROR(INDEX(INDIRECT("Ans" &amp; E92 &amp; "TBL"), MATCH(F92, INDEX(INDIRECT("Ans" &amp; E92 &amp; "TBL"), 0, 1), 0), 2), 0)</f>
        <v>0</v>
      </c>
      <c r="H92" s="358">
        <f ca="1">IFERROR(AVERAGE(G92,G96),0)</f>
        <v>0</v>
      </c>
      <c r="I92" s="609">
        <f ca="1">SUM(H92:H94)</f>
        <v>0</v>
      </c>
      <c r="J92" s="304" t="str">
        <f>F92</f>
        <v/>
      </c>
      <c r="K92" s="343">
        <f ca="1">IFERROR(INDEX(INDIRECT("Ans" &amp; E92 &amp; "TBL"), MATCH(J92, INDEX(INDIRECT("Ans" &amp; E92 &amp; "TBL"), 0, 1), 0), 2), 0)</f>
        <v>0</v>
      </c>
      <c r="L92" s="358">
        <f ca="1">IFERROR(AVERAGE(K92,K96),0)</f>
        <v>0</v>
      </c>
      <c r="M92" s="609">
        <f ca="1">SUM(L92:L94)</f>
        <v>0</v>
      </c>
      <c r="N92" s="304" t="str">
        <f>J92</f>
        <v/>
      </c>
      <c r="O92" s="341">
        <f ca="1">IFERROR(INDEX(INDIRECT("Ans" &amp; E92 &amp; "TBL"), MATCH(N92, INDEX(INDIRECT("Ans" &amp; E92 &amp; "TBL"), 0, 1), 0), 2), 0)</f>
        <v>0</v>
      </c>
      <c r="P92" s="358">
        <f ca="1">IFERROR(AVERAGE(O92,O96),0)</f>
        <v>0</v>
      </c>
      <c r="Q92" s="609">
        <f ca="1">SUM(P92:P94)</f>
        <v>0</v>
      </c>
      <c r="R92" s="304" t="str">
        <f>N92</f>
        <v/>
      </c>
      <c r="S92" s="135">
        <f ca="1">IFERROR(INDEX(INDIRECT("Ans" &amp; E92 &amp; "TBL"), MATCH(R92, INDEX(INDIRECT("Ans" &amp; E92 &amp; "TBL"), 0, 1), 0), 2), 0)</f>
        <v>0</v>
      </c>
      <c r="T92" s="359">
        <f ca="1">IFERROR(AVERAGE(S92,S96),0)</f>
        <v>0</v>
      </c>
      <c r="U92" s="609">
        <f ca="1">SUM(T92:T94)</f>
        <v>0</v>
      </c>
      <c r="V92" s="304" t="str">
        <f>R92</f>
        <v/>
      </c>
      <c r="W92" s="343">
        <f ca="1">IFERROR(INDEX(INDIRECT("Ans" &amp; E92 &amp; "TBL"), MATCH(V92, INDEX(INDIRECT("Ans" &amp; E92 &amp; "TBL"), 0, 1), 0), 2), 0)</f>
        <v>0</v>
      </c>
      <c r="X92" s="358">
        <f ca="1">IFERROR(AVERAGE(W92,W96),0)</f>
        <v>0</v>
      </c>
      <c r="Y92" s="609">
        <f ca="1">SUM(X92:X94)</f>
        <v>0</v>
      </c>
      <c r="Z92" s="609">
        <f ca="1">IFERROR(Y92-I92,Y92-LEFT(I92,1))</f>
        <v>0</v>
      </c>
    </row>
    <row r="93" spans="1:26" ht="28.25" customHeight="1" x14ac:dyDescent="0.15">
      <c r="A93" s="87" t="str">
        <f>Interview!A134</f>
        <v>I-DM-A-2-1</v>
      </c>
      <c r="B93" s="577"/>
      <c r="C93" s="244">
        <f>INDEX('imp-questions'!E:E, MATCH(A93, 'imp-questions'!A:A, 0))</f>
        <v>2</v>
      </c>
      <c r="D93" s="300" t="str">
        <f>INDEX('imp-questions'!F:F, MATCH(A93, 'imp-questions'!A:A, 0))</f>
        <v>Do you keep an overview of the state of security defects across the organization?</v>
      </c>
      <c r="E93" s="329" t="str">
        <f>CHAR(65+INDEX('imp-questions'!H:H, MATCH(A93, 'imp-questions'!A:A, 0)))</f>
        <v>A</v>
      </c>
      <c r="F93" s="287" t="str">
        <f>IF(ISBLANK(Interview!F134),"",Interview!F134)</f>
        <v/>
      </c>
      <c r="G93" s="346">
        <f ca="1">IFERROR(INDEX(INDIRECT("Ans" &amp; E93 &amp; "TBL"), MATCH(F93, INDEX(INDIRECT("Ans" &amp; E93 &amp; "TBL"), 0, 1), 0), 2), 0)</f>
        <v>0</v>
      </c>
      <c r="H93" s="360">
        <f ca="1">IFERROR(AVERAGE(G93,G97),0)</f>
        <v>0</v>
      </c>
      <c r="I93" s="587"/>
      <c r="J93" s="304" t="str">
        <f>F93</f>
        <v/>
      </c>
      <c r="K93" s="346">
        <f ca="1">IFERROR(INDEX(INDIRECT("Ans" &amp; E93 &amp; "TBL"), MATCH(J93, INDEX(INDIRECT("Ans" &amp; E93 &amp; "TBL"), 0, 1), 0), 2), 0)</f>
        <v>0</v>
      </c>
      <c r="L93" s="360">
        <f ca="1">IFERROR(AVERAGE(K93,K97),0)</f>
        <v>0</v>
      </c>
      <c r="M93" s="587"/>
      <c r="N93" s="304" t="str">
        <f>J93</f>
        <v/>
      </c>
      <c r="O93" s="344">
        <f ca="1">IFERROR(INDEX(INDIRECT("Ans" &amp; E93 &amp; "TBL"), MATCH(N93, INDEX(INDIRECT("Ans" &amp; E93 &amp; "TBL"), 0, 1), 0), 2), 0)</f>
        <v>0</v>
      </c>
      <c r="P93" s="360">
        <f ca="1">IFERROR(AVERAGE(O93,O97),0)</f>
        <v>0</v>
      </c>
      <c r="Q93" s="587"/>
      <c r="R93" s="304" t="str">
        <f>N93</f>
        <v/>
      </c>
      <c r="S93" s="135">
        <f ca="1">IFERROR(INDEX(INDIRECT("Ans" &amp; E93 &amp; "TBL"), MATCH(R93, INDEX(INDIRECT("Ans" &amp; E93 &amp; "TBL"), 0, 1), 0), 2), 0)</f>
        <v>0</v>
      </c>
      <c r="T93" s="361">
        <f ca="1">IFERROR(AVERAGE(S93,S97),0)</f>
        <v>0</v>
      </c>
      <c r="U93" s="587"/>
      <c r="V93" s="304" t="str">
        <f>R93</f>
        <v/>
      </c>
      <c r="W93" s="346">
        <f ca="1">IFERROR(INDEX(INDIRECT("Ans" &amp; E93 &amp; "TBL"), MATCH(V93, INDEX(INDIRECT("Ans" &amp; E93 &amp; "TBL"), 0, 1), 0), 2), 0)</f>
        <v>0</v>
      </c>
      <c r="X93" s="360">
        <f ca="1">IFERROR(AVERAGE(W93,W97),0)</f>
        <v>0</v>
      </c>
      <c r="Y93" s="587"/>
      <c r="Z93" s="587"/>
    </row>
    <row r="94" spans="1:26" ht="28.25" customHeight="1" x14ac:dyDescent="0.15">
      <c r="A94" s="87" t="str">
        <f>Interview!A136</f>
        <v>I-DM-A-3-1</v>
      </c>
      <c r="B94" s="578"/>
      <c r="C94" s="244">
        <f>INDEX('imp-questions'!E:E, MATCH(A94, 'imp-questions'!A:A, 0))</f>
        <v>3</v>
      </c>
      <c r="D94" s="296" t="str">
        <f>INDEX('imp-questions'!F:F, MATCH(A94, 'imp-questions'!A:A, 0))</f>
        <v>Do you enforce SLAs for fixing security defects?</v>
      </c>
      <c r="E94" s="329" t="str">
        <f>CHAR(65+INDEX('imp-questions'!H:H, MATCH(A94, 'imp-questions'!A:A, 0)))</f>
        <v>A</v>
      </c>
      <c r="F94" s="287" t="str">
        <f>IF(ISBLANK(Interview!F136),"",Interview!F136)</f>
        <v/>
      </c>
      <c r="G94" s="349">
        <f ca="1">IFERROR(INDEX(INDIRECT("Ans" &amp; E94 &amp; "TBL"), MATCH(F94, INDEX(INDIRECT("Ans" &amp; E94 &amp; "TBL"), 0, 1), 0), 2), 0)</f>
        <v>0</v>
      </c>
      <c r="H94" s="364">
        <f ca="1">IFERROR(AVERAGE(G94,G98),0)</f>
        <v>0</v>
      </c>
      <c r="I94" s="587"/>
      <c r="J94" s="304" t="str">
        <f>F94</f>
        <v/>
      </c>
      <c r="K94" s="349">
        <f ca="1">IFERROR(INDEX(INDIRECT("Ans" &amp; E94 &amp; "TBL"), MATCH(J94, INDEX(INDIRECT("Ans" &amp; E94 &amp; "TBL"), 0, 1), 0), 2), 0)</f>
        <v>0</v>
      </c>
      <c r="L94" s="364">
        <f ca="1">IFERROR(AVERAGE(K94,K98),0)</f>
        <v>0</v>
      </c>
      <c r="M94" s="587"/>
      <c r="N94" s="304" t="str">
        <f>J94</f>
        <v/>
      </c>
      <c r="O94" s="347">
        <f ca="1">IFERROR(INDEX(INDIRECT("Ans" &amp; E94 &amp; "TBL"), MATCH(N94, INDEX(INDIRECT("Ans" &amp; E94 &amp; "TBL"), 0, 1), 0), 2), 0)</f>
        <v>0</v>
      </c>
      <c r="P94" s="364">
        <f ca="1">IFERROR(AVERAGE(O94,O98),0)</f>
        <v>0</v>
      </c>
      <c r="Q94" s="587"/>
      <c r="R94" s="304" t="str">
        <f>N94</f>
        <v/>
      </c>
      <c r="S94" s="135">
        <f ca="1">IFERROR(INDEX(INDIRECT("Ans" &amp; E94 &amp; "TBL"), MATCH(R94, INDEX(INDIRECT("Ans" &amp; E94 &amp; "TBL"), 0, 1), 0), 2), 0)</f>
        <v>0</v>
      </c>
      <c r="T94" s="365">
        <f ca="1">IFERROR(AVERAGE(S94,S98),0)</f>
        <v>0</v>
      </c>
      <c r="U94" s="587"/>
      <c r="V94" s="304" t="str">
        <f>R94</f>
        <v/>
      </c>
      <c r="W94" s="349">
        <f ca="1">IFERROR(INDEX(INDIRECT("Ans" &amp; E94 &amp; "TBL"), MATCH(V94, INDEX(INDIRECT("Ans" &amp; E94 &amp; "TBL"), 0, 1), 0), 2), 0)</f>
        <v>0</v>
      </c>
      <c r="X94" s="364">
        <f ca="1">IFERROR(AVERAGE(W94,W98),0)</f>
        <v>0</v>
      </c>
      <c r="Y94" s="587"/>
      <c r="Z94" s="587"/>
    </row>
    <row r="95" spans="1:26" ht="13" customHeight="1" x14ac:dyDescent="0.15">
      <c r="B95" s="235"/>
      <c r="C95" s="236"/>
      <c r="D95" s="125"/>
      <c r="E95" s="153"/>
      <c r="F95" s="125"/>
      <c r="G95" s="153"/>
      <c r="H95" s="153"/>
      <c r="I95" s="587"/>
      <c r="J95" s="125"/>
      <c r="K95" s="153"/>
      <c r="L95" s="153"/>
      <c r="M95" s="587"/>
      <c r="N95" s="125"/>
      <c r="O95" s="153"/>
      <c r="P95" s="153"/>
      <c r="Q95" s="587"/>
      <c r="R95" s="125"/>
      <c r="S95" s="153"/>
      <c r="T95" s="153"/>
      <c r="U95" s="587"/>
      <c r="V95" s="125"/>
      <c r="W95" s="153"/>
      <c r="X95" s="153"/>
      <c r="Y95" s="587"/>
      <c r="Z95" s="587"/>
    </row>
    <row r="96" spans="1:26" ht="28.25" customHeight="1" x14ac:dyDescent="0.15">
      <c r="A96" s="87" t="str">
        <f>Interview!A139</f>
        <v>I-DM-B-1-1</v>
      </c>
      <c r="B96" s="615" t="str">
        <f>INDEX('imp-questions'!D:D, MATCH(A96, 'imp-questions'!A:A, 0))</f>
        <v>Metrics and Feedback</v>
      </c>
      <c r="C96" s="244">
        <f>INDEX('imp-questions'!E:E, MATCH(A96, 'imp-questions'!A:A, 0))</f>
        <v>1</v>
      </c>
      <c r="D96" s="300" t="str">
        <f>INDEX('imp-questions'!F:F, MATCH(A96, 'imp-questions'!A:A, 0))</f>
        <v>Do you use basic metrics about recorded security defects to carry out quick win improvement activities?</v>
      </c>
      <c r="E96" s="329" t="str">
        <f>CHAR(65+INDEX('imp-questions'!H:H, MATCH(A96, 'imp-questions'!A:A, 0)))</f>
        <v>A</v>
      </c>
      <c r="F96" s="287" t="str">
        <f>IF(ISBLANK(Interview!F139),"",Interview!F139)</f>
        <v/>
      </c>
      <c r="G96" s="343">
        <f ca="1">IFERROR(INDEX(INDIRECT("Ans" &amp; E96 &amp; "TBL"), MATCH(F96, INDEX(INDIRECT("Ans" &amp; E96 &amp; "TBL"), 0, 1), 0), 2), 0)</f>
        <v>0</v>
      </c>
      <c r="H96" s="342"/>
      <c r="I96" s="587"/>
      <c r="J96" s="304" t="str">
        <f>F96</f>
        <v/>
      </c>
      <c r="K96" s="343">
        <f ca="1">IFERROR(INDEX(INDIRECT("Ans" &amp; E96 &amp; "TBL"), MATCH(J96, INDEX(INDIRECT("Ans" &amp; E96 &amp; "TBL"), 0, 1), 0), 2), 0)</f>
        <v>0</v>
      </c>
      <c r="L96" s="342"/>
      <c r="M96" s="587"/>
      <c r="N96" s="304" t="str">
        <f>J96</f>
        <v/>
      </c>
      <c r="O96" s="341">
        <f ca="1">IFERROR(INDEX(INDIRECT("Ans" &amp; E96 &amp; "TBL"), MATCH(N96, INDEX(INDIRECT("Ans" &amp; E96 &amp; "TBL"), 0, 1), 0), 2), 0)</f>
        <v>0</v>
      </c>
      <c r="P96" s="342"/>
      <c r="Q96" s="587"/>
      <c r="R96" s="304" t="str">
        <f>N96</f>
        <v/>
      </c>
      <c r="S96" s="135">
        <f ca="1">IFERROR(INDEX(INDIRECT("Ans" &amp; E96 &amp; "TBL"), MATCH(R96, INDEX(INDIRECT("Ans" &amp; E96 &amp; "TBL"), 0, 1), 0), 2), 0)</f>
        <v>0</v>
      </c>
      <c r="T96" s="326"/>
      <c r="U96" s="587"/>
      <c r="V96" s="304" t="str">
        <f>R96</f>
        <v/>
      </c>
      <c r="W96" s="343">
        <f ca="1">IFERROR(INDEX(INDIRECT("Ans" &amp; E96 &amp; "TBL"), MATCH(V96, INDEX(INDIRECT("Ans" &amp; E96 &amp; "TBL"), 0, 1), 0), 2), 0)</f>
        <v>0</v>
      </c>
      <c r="X96" s="342"/>
      <c r="Y96" s="587"/>
      <c r="Z96" s="587"/>
    </row>
    <row r="97" spans="1:26" ht="28.25" customHeight="1" x14ac:dyDescent="0.15">
      <c r="A97" s="87" t="str">
        <f>Interview!A141</f>
        <v>I-DM-B-2-1</v>
      </c>
      <c r="B97" s="577"/>
      <c r="C97" s="244">
        <f>INDEX('imp-questions'!E:E, MATCH(A97, 'imp-questions'!A:A, 0))</f>
        <v>2</v>
      </c>
      <c r="D97" s="300" t="str">
        <f>INDEX('imp-questions'!F:F, MATCH(A97, 'imp-questions'!A:A, 0))</f>
        <v>Do you improve your security assurance program upon standardized metrics?</v>
      </c>
      <c r="E97" s="329" t="str">
        <f>CHAR(65+INDEX('imp-questions'!H:H, MATCH(A97, 'imp-questions'!A:A, 0)))</f>
        <v>A</v>
      </c>
      <c r="F97" s="287" t="str">
        <f>IF(ISBLANK(Interview!F141),"",Interview!F141)</f>
        <v/>
      </c>
      <c r="G97" s="346">
        <f ca="1">IFERROR(INDEX(INDIRECT("Ans" &amp; E97 &amp; "TBL"), MATCH(F97, INDEX(INDIRECT("Ans" &amp; E97 &amp; "TBL"), 0, 1), 0), 2), 0)</f>
        <v>0</v>
      </c>
      <c r="H97" s="345"/>
      <c r="I97" s="587"/>
      <c r="J97" s="304" t="str">
        <f>F97</f>
        <v/>
      </c>
      <c r="K97" s="346">
        <f ca="1">IFERROR(INDEX(INDIRECT("Ans" &amp; E97 &amp; "TBL"), MATCH(J97, INDEX(INDIRECT("Ans" &amp; E97 &amp; "TBL"), 0, 1), 0), 2), 0)</f>
        <v>0</v>
      </c>
      <c r="L97" s="345"/>
      <c r="M97" s="587"/>
      <c r="N97" s="304" t="str">
        <f>J97</f>
        <v/>
      </c>
      <c r="O97" s="344">
        <f ca="1">IFERROR(INDEX(INDIRECT("Ans" &amp; E97 &amp; "TBL"), MATCH(N97, INDEX(INDIRECT("Ans" &amp; E97 &amp; "TBL"), 0, 1), 0), 2), 0)</f>
        <v>0</v>
      </c>
      <c r="P97" s="345"/>
      <c r="Q97" s="587"/>
      <c r="R97" s="304" t="str">
        <f>N97</f>
        <v/>
      </c>
      <c r="S97" s="135">
        <f ca="1">IFERROR(INDEX(INDIRECT("Ans" &amp; E97 &amp; "TBL"), MATCH(R97, INDEX(INDIRECT("Ans" &amp; E97 &amp; "TBL"), 0, 1), 0), 2), 0)</f>
        <v>0</v>
      </c>
      <c r="T97" s="309"/>
      <c r="U97" s="587"/>
      <c r="V97" s="304" t="str">
        <f>R97</f>
        <v/>
      </c>
      <c r="W97" s="346">
        <f ca="1">IFERROR(INDEX(INDIRECT("Ans" &amp; E97 &amp; "TBL"), MATCH(V97, INDEX(INDIRECT("Ans" &amp; E97 &amp; "TBL"), 0, 1), 0), 2), 0)</f>
        <v>0</v>
      </c>
      <c r="X97" s="345"/>
      <c r="Y97" s="587"/>
      <c r="Z97" s="587"/>
    </row>
    <row r="98" spans="1:26" ht="28.25" customHeight="1" x14ac:dyDescent="0.15">
      <c r="A98" s="87" t="str">
        <f>Interview!A143</f>
        <v>I-DM-B-3-1</v>
      </c>
      <c r="B98" s="578"/>
      <c r="C98" s="244">
        <f>INDEX('imp-questions'!E:E, MATCH(A98, 'imp-questions'!A:A, 0))</f>
        <v>3</v>
      </c>
      <c r="D98" s="296" t="str">
        <f>INDEX('imp-questions'!F:F, MATCH(A98, 'imp-questions'!A:A, 0))</f>
        <v>Do you regularly evaluate the effectiveness of your security metrics so that its input helps drive your security strategy?</v>
      </c>
      <c r="E98" s="329" t="str">
        <f>CHAR(65+INDEX('imp-questions'!H:H, MATCH(A98, 'imp-questions'!A:A, 0)))</f>
        <v>A</v>
      </c>
      <c r="F98" s="287" t="str">
        <f>IF(ISBLANK(Interview!F143),"",Interview!F143)</f>
        <v/>
      </c>
      <c r="G98" s="349">
        <f ca="1">IFERROR(INDEX(INDIRECT("Ans" &amp; E98 &amp; "TBL"), MATCH(F98, INDEX(INDIRECT("Ans" &amp; E98 &amp; "TBL"), 0, 1), 0), 2), 0)</f>
        <v>0</v>
      </c>
      <c r="H98" s="348"/>
      <c r="I98" s="492"/>
      <c r="J98" s="304" t="str">
        <f>F98</f>
        <v/>
      </c>
      <c r="K98" s="349">
        <f ca="1">IFERROR(INDEX(INDIRECT("Ans" &amp; E98 &amp; "TBL"), MATCH(J98, INDEX(INDIRECT("Ans" &amp; E98 &amp; "TBL"), 0, 1), 0), 2), 0)</f>
        <v>0</v>
      </c>
      <c r="L98" s="348"/>
      <c r="M98" s="492"/>
      <c r="N98" s="304" t="str">
        <f>J98</f>
        <v/>
      </c>
      <c r="O98" s="347">
        <f ca="1">IFERROR(INDEX(INDIRECT("Ans" &amp; E98 &amp; "TBL"), MATCH(N98, INDEX(INDIRECT("Ans" &amp; E98 &amp; "TBL"), 0, 1), 0), 2), 0)</f>
        <v>0</v>
      </c>
      <c r="P98" s="348"/>
      <c r="Q98" s="492"/>
      <c r="R98" s="304" t="str">
        <f>N98</f>
        <v/>
      </c>
      <c r="S98" s="135">
        <f ca="1">IFERROR(INDEX(INDIRECT("Ans" &amp; E98 &amp; "TBL"), MATCH(R98, INDEX(INDIRECT("Ans" &amp; E98 &amp; "TBL"), 0, 1), 0), 2), 0)</f>
        <v>0</v>
      </c>
      <c r="T98" s="312"/>
      <c r="U98" s="492"/>
      <c r="V98" s="304" t="str">
        <f>R98</f>
        <v/>
      </c>
      <c r="W98" s="349">
        <f ca="1">IFERROR(INDEX(INDIRECT("Ans" &amp; E98 &amp; "TBL"), MATCH(V98, INDEX(INDIRECT("Ans" &amp; E98 &amp; "TBL"), 0, 1), 0), 2), 0)</f>
        <v>0</v>
      </c>
      <c r="X98" s="348"/>
      <c r="Y98" s="492"/>
      <c r="Z98" s="492"/>
    </row>
    <row r="99" spans="1:26" ht="13" customHeight="1" x14ac:dyDescent="0.15">
      <c r="B99" s="235"/>
      <c r="C99" s="236"/>
      <c r="D99" s="125"/>
      <c r="E99" s="125"/>
      <c r="F99" s="125"/>
      <c r="G99" s="125"/>
      <c r="H99" s="125"/>
      <c r="I99" s="125"/>
      <c r="J99" s="125"/>
      <c r="K99" s="125"/>
      <c r="L99" s="125"/>
      <c r="M99" s="125"/>
      <c r="N99" s="125"/>
      <c r="O99" s="125"/>
      <c r="P99" s="125"/>
      <c r="Q99" s="125"/>
      <c r="R99" s="125"/>
      <c r="S99" s="313"/>
      <c r="T99" s="125"/>
      <c r="U99" s="125"/>
      <c r="V99" s="125"/>
      <c r="W99" s="125"/>
      <c r="X99" s="125"/>
      <c r="Y99" s="125"/>
      <c r="Z99" s="125"/>
    </row>
    <row r="100" spans="1:26" ht="21.75" customHeight="1" x14ac:dyDescent="0.15">
      <c r="B100" s="582" t="s">
        <v>82</v>
      </c>
      <c r="C100" s="524"/>
      <c r="D100" s="524"/>
      <c r="E100" s="393"/>
      <c r="F100" s="621" t="s">
        <v>248</v>
      </c>
      <c r="G100" s="524"/>
      <c r="H100" s="524"/>
      <c r="I100" s="524"/>
      <c r="J100" s="613" t="s">
        <v>249</v>
      </c>
      <c r="K100" s="524"/>
      <c r="L100" s="524"/>
      <c r="M100" s="585"/>
      <c r="N100" s="613" t="s">
        <v>250</v>
      </c>
      <c r="O100" s="524"/>
      <c r="P100" s="524"/>
      <c r="Q100" s="585"/>
      <c r="R100" s="613" t="s">
        <v>251</v>
      </c>
      <c r="S100" s="524"/>
      <c r="T100" s="524"/>
      <c r="U100" s="585"/>
      <c r="V100" s="625" t="s">
        <v>252</v>
      </c>
      <c r="W100" s="483"/>
      <c r="X100" s="483"/>
      <c r="Y100" s="483"/>
      <c r="Z100" s="483"/>
    </row>
    <row r="101" spans="1:26" ht="16.25" customHeight="1" x14ac:dyDescent="0.15">
      <c r="B101" s="246" t="s">
        <v>12</v>
      </c>
      <c r="C101" s="417" t="s">
        <v>13</v>
      </c>
      <c r="D101" s="247" t="s">
        <v>83</v>
      </c>
      <c r="E101" s="394"/>
      <c r="F101" s="395" t="s">
        <v>15</v>
      </c>
      <c r="G101" s="396"/>
      <c r="H101" s="397"/>
      <c r="I101" s="398" t="s">
        <v>17</v>
      </c>
      <c r="J101" s="395" t="s">
        <v>15</v>
      </c>
      <c r="K101" s="396"/>
      <c r="L101" s="397"/>
      <c r="M101" s="398" t="s">
        <v>17</v>
      </c>
      <c r="N101" s="395" t="s">
        <v>15</v>
      </c>
      <c r="O101" s="396"/>
      <c r="P101" s="397"/>
      <c r="Q101" s="398" t="s">
        <v>17</v>
      </c>
      <c r="R101" s="395" t="s">
        <v>15</v>
      </c>
      <c r="S101" s="396"/>
      <c r="T101" s="397"/>
      <c r="U101" s="398" t="s">
        <v>17</v>
      </c>
      <c r="V101" s="395" t="s">
        <v>15</v>
      </c>
      <c r="W101" s="396"/>
      <c r="X101" s="397"/>
      <c r="Y101" s="398" t="s">
        <v>17</v>
      </c>
      <c r="Z101" s="398" t="s">
        <v>253</v>
      </c>
    </row>
    <row r="102" spans="1:26" ht="28.25" customHeight="1" x14ac:dyDescent="0.15">
      <c r="A102" s="87" t="str">
        <f>Interview!A147</f>
        <v>V-AA-A-1-1</v>
      </c>
      <c r="B102" s="618" t="str">
        <f>INDEX('imp-questions'!D:D, MATCH(A102, 'imp-questions'!A:A, 0))</f>
        <v>Architecture Validation</v>
      </c>
      <c r="C102" s="248">
        <f>INDEX('imp-questions'!E:E, MATCH(A102, 'imp-questions'!A:A, 0))</f>
        <v>1</v>
      </c>
      <c r="D102" s="300" t="str">
        <f>INDEX('imp-questions'!F:F, MATCH(A102, 'imp-questions'!A:A, 0))</f>
        <v>Do you review the application architecture for key security objectives on an ad-hoc basis?</v>
      </c>
      <c r="E102" s="329" t="str">
        <f>CHAR(65+INDEX('imp-questions'!H:H, MATCH(A102, 'imp-questions'!A:A, 0)))</f>
        <v>A</v>
      </c>
      <c r="F102" s="287" t="str">
        <f>IF(ISBLANK(Interview!F147),"",Interview!F147)</f>
        <v/>
      </c>
      <c r="G102" s="343">
        <f ca="1">IFERROR(INDEX(INDIRECT("Ans" &amp; E102 &amp; "TBL"), MATCH(F102, INDEX(INDIRECT("Ans" &amp; E102 &amp; "TBL"), 0, 1), 0), 2), 0)</f>
        <v>0</v>
      </c>
      <c r="H102" s="358">
        <f ca="1">IFERROR(AVERAGE(G102,G106),0)</f>
        <v>0</v>
      </c>
      <c r="I102" s="610">
        <f ca="1">SUM(H102:H104)</f>
        <v>0</v>
      </c>
      <c r="J102" s="387" t="str">
        <f>F102</f>
        <v/>
      </c>
      <c r="K102" s="343">
        <f ca="1">IFERROR(INDEX(INDIRECT("Ans" &amp; E102 &amp; "TBL"), MATCH(J102, INDEX(INDIRECT("Ans" &amp; E102 &amp; "TBL"), 0, 1), 0), 2), 0)</f>
        <v>0</v>
      </c>
      <c r="L102" s="358">
        <f ca="1">IFERROR(AVERAGE(K102,K106),0)</f>
        <v>0</v>
      </c>
      <c r="M102" s="610">
        <f ca="1">SUM(L102:L104)</f>
        <v>0</v>
      </c>
      <c r="N102" s="387" t="str">
        <f>J102</f>
        <v/>
      </c>
      <c r="O102" s="341">
        <f ca="1">IFERROR(INDEX(INDIRECT("Ans" &amp; E102 &amp; "TBL"), MATCH(N102, INDEX(INDIRECT("Ans" &amp; E102 &amp; "TBL"), 0, 1), 0), 2), 0)</f>
        <v>0</v>
      </c>
      <c r="P102" s="358">
        <f ca="1">IFERROR(AVERAGE(O102,O106),0)</f>
        <v>0</v>
      </c>
      <c r="Q102" s="610">
        <f ca="1">SUM(P102:P104)</f>
        <v>0</v>
      </c>
      <c r="R102" s="387" t="str">
        <f>N102</f>
        <v/>
      </c>
      <c r="S102" s="135">
        <f ca="1">IFERROR(INDEX(INDIRECT("Ans" &amp; E102 &amp; "TBL"), MATCH(R102, INDEX(INDIRECT("Ans" &amp; E102 &amp; "TBL"), 0, 1), 0), 2), 0)</f>
        <v>0</v>
      </c>
      <c r="T102" s="359">
        <f ca="1">IFERROR(AVERAGE(S102,S106),0)</f>
        <v>0</v>
      </c>
      <c r="U102" s="610">
        <f ca="1">SUM(T102:T104)</f>
        <v>0</v>
      </c>
      <c r="V102" s="387" t="str">
        <f>R102</f>
        <v/>
      </c>
      <c r="W102" s="343">
        <f ca="1">IFERROR(INDEX(INDIRECT("Ans" &amp; E102 &amp; "TBL"), MATCH(V102, INDEX(INDIRECT("Ans" &amp; E102 &amp; "TBL"), 0, 1), 0), 2), 0)</f>
        <v>0</v>
      </c>
      <c r="X102" s="358">
        <f ca="1">IFERROR(AVERAGE(W102,W106),0)</f>
        <v>0</v>
      </c>
      <c r="Y102" s="610">
        <f ca="1">SUM(X102:X104)</f>
        <v>0</v>
      </c>
      <c r="Z102" s="610">
        <f ca="1">IFERROR(Y102-I102,Y102-LEFT(I102,1))</f>
        <v>0</v>
      </c>
    </row>
    <row r="103" spans="1:26" ht="28.25" customHeight="1" x14ac:dyDescent="0.15">
      <c r="A103" s="87" t="str">
        <f>Interview!A149</f>
        <v>V-AA-A-2-1</v>
      </c>
      <c r="B103" s="577"/>
      <c r="C103" s="248">
        <f>INDEX('imp-questions'!E:E, MATCH(A103, 'imp-questions'!A:A, 0))</f>
        <v>2</v>
      </c>
      <c r="D103" s="300" t="str">
        <f>INDEX('imp-questions'!F:F, MATCH(A103, 'imp-questions'!A:A, 0))</f>
        <v>Do you regularly review the security mechanisms of your architecture?</v>
      </c>
      <c r="E103" s="329" t="str">
        <f>CHAR(65+INDEX('imp-questions'!H:H, MATCH(A103, 'imp-questions'!A:A, 0)))</f>
        <v>A</v>
      </c>
      <c r="F103" s="287" t="str">
        <f>IF(ISBLANK(Interview!F149),"",Interview!F149)</f>
        <v/>
      </c>
      <c r="G103" s="346">
        <f ca="1">IFERROR(INDEX(INDIRECT("Ans" &amp; E103 &amp; "TBL"), MATCH(F103, INDEX(INDIRECT("Ans" &amp; E103 &amp; "TBL"), 0, 1), 0), 2), 0)</f>
        <v>0</v>
      </c>
      <c r="H103" s="360">
        <f ca="1">IFERROR(AVERAGE(G103,G107),0)</f>
        <v>0</v>
      </c>
      <c r="I103" s="587"/>
      <c r="J103" s="387" t="str">
        <f>F103</f>
        <v/>
      </c>
      <c r="K103" s="346">
        <f ca="1">IFERROR(INDEX(INDIRECT("Ans" &amp; E103 &amp; "TBL"), MATCH(J103, INDEX(INDIRECT("Ans" &amp; E103 &amp; "TBL"), 0, 1), 0), 2), 0)</f>
        <v>0</v>
      </c>
      <c r="L103" s="360">
        <f ca="1">IFERROR(AVERAGE(K103,K107),0)</f>
        <v>0</v>
      </c>
      <c r="M103" s="587"/>
      <c r="N103" s="387" t="str">
        <f>J103</f>
        <v/>
      </c>
      <c r="O103" s="344">
        <f ca="1">IFERROR(INDEX(INDIRECT("Ans" &amp; E103 &amp; "TBL"), MATCH(N103, INDEX(INDIRECT("Ans" &amp; E103 &amp; "TBL"), 0, 1), 0), 2), 0)</f>
        <v>0</v>
      </c>
      <c r="P103" s="360">
        <f ca="1">IFERROR(AVERAGE(O103,O107),0)</f>
        <v>0</v>
      </c>
      <c r="Q103" s="587"/>
      <c r="R103" s="387" t="str">
        <f>N103</f>
        <v/>
      </c>
      <c r="S103" s="135">
        <f ca="1">IFERROR(INDEX(INDIRECT("Ans" &amp; E103 &amp; "TBL"), MATCH(R103, INDEX(INDIRECT("Ans" &amp; E103 &amp; "TBL"), 0, 1), 0), 2), 0)</f>
        <v>0</v>
      </c>
      <c r="T103" s="361">
        <f ca="1">IFERROR(AVERAGE(S103,S107),0)</f>
        <v>0</v>
      </c>
      <c r="U103" s="587"/>
      <c r="V103" s="387" t="str">
        <f>R103</f>
        <v/>
      </c>
      <c r="W103" s="346">
        <f ca="1">IFERROR(INDEX(INDIRECT("Ans" &amp; E103 &amp; "TBL"), MATCH(V103, INDEX(INDIRECT("Ans" &amp; E103 &amp; "TBL"), 0, 1), 0), 2), 0)</f>
        <v>0</v>
      </c>
      <c r="X103" s="360">
        <f ca="1">IFERROR(AVERAGE(W103,W107),0)</f>
        <v>0</v>
      </c>
      <c r="Y103" s="587"/>
      <c r="Z103" s="587"/>
    </row>
    <row r="104" spans="1:26" ht="28.25" customHeight="1" x14ac:dyDescent="0.15">
      <c r="A104" s="87" t="str">
        <f>Interview!A151</f>
        <v>V-AA-A-3-1</v>
      </c>
      <c r="B104" s="578"/>
      <c r="C104" s="248">
        <f>INDEX('imp-questions'!E:E, MATCH(A104, 'imp-questions'!A:A, 0))</f>
        <v>3</v>
      </c>
      <c r="D104" s="296" t="str">
        <f>INDEX('imp-questions'!F:F, MATCH(A104, 'imp-questions'!A:A, 0))</f>
        <v>Do you regularly review the effectiveness of the security controls?</v>
      </c>
      <c r="E104" s="329" t="str">
        <f>CHAR(65+INDEX('imp-questions'!H:H, MATCH(A104, 'imp-questions'!A:A, 0)))</f>
        <v>A</v>
      </c>
      <c r="F104" s="287" t="str">
        <f>IF(ISBLANK(Interview!F151),"",Interview!F151)</f>
        <v/>
      </c>
      <c r="G104" s="349">
        <f ca="1">IFERROR(INDEX(INDIRECT("Ans" &amp; E104 &amp; "TBL"), MATCH(F104, INDEX(INDIRECT("Ans" &amp; E104 &amp; "TBL"), 0, 1), 0), 2), 0)</f>
        <v>0</v>
      </c>
      <c r="H104" s="364">
        <f ca="1">IFERROR(AVERAGE(G104,G108),0)</f>
        <v>0</v>
      </c>
      <c r="I104" s="587"/>
      <c r="J104" s="387" t="str">
        <f>F104</f>
        <v/>
      </c>
      <c r="K104" s="349">
        <f ca="1">IFERROR(INDEX(INDIRECT("Ans" &amp; E104 &amp; "TBL"), MATCH(J104, INDEX(INDIRECT("Ans" &amp; E104 &amp; "TBL"), 0, 1), 0), 2), 0)</f>
        <v>0</v>
      </c>
      <c r="L104" s="364">
        <f ca="1">IFERROR(AVERAGE(K104,K108),0)</f>
        <v>0</v>
      </c>
      <c r="M104" s="587"/>
      <c r="N104" s="387" t="str">
        <f>J104</f>
        <v/>
      </c>
      <c r="O104" s="347">
        <f ca="1">IFERROR(INDEX(INDIRECT("Ans" &amp; E104 &amp; "TBL"), MATCH(N104, INDEX(INDIRECT("Ans" &amp; E104 &amp; "TBL"), 0, 1), 0), 2), 0)</f>
        <v>0</v>
      </c>
      <c r="P104" s="364">
        <f ca="1">IFERROR(AVERAGE(O104,O108),0)</f>
        <v>0</v>
      </c>
      <c r="Q104" s="587"/>
      <c r="R104" s="387" t="str">
        <f>N104</f>
        <v/>
      </c>
      <c r="S104" s="135">
        <f ca="1">IFERROR(INDEX(INDIRECT("Ans" &amp; E104 &amp; "TBL"), MATCH(R104, INDEX(INDIRECT("Ans" &amp; E104 &amp; "TBL"), 0, 1), 0), 2), 0)</f>
        <v>0</v>
      </c>
      <c r="T104" s="365">
        <f ca="1">IFERROR(AVERAGE(S104,S108),0)</f>
        <v>0</v>
      </c>
      <c r="U104" s="587"/>
      <c r="V104" s="387" t="str">
        <f>R104</f>
        <v/>
      </c>
      <c r="W104" s="349">
        <f ca="1">IFERROR(INDEX(INDIRECT("Ans" &amp; E104 &amp; "TBL"), MATCH(V104, INDEX(INDIRECT("Ans" &amp; E104 &amp; "TBL"), 0, 1), 0), 2), 0)</f>
        <v>0</v>
      </c>
      <c r="X104" s="364">
        <f ca="1">IFERROR(AVERAGE(W104,W108),0)</f>
        <v>0</v>
      </c>
      <c r="Y104" s="587"/>
      <c r="Z104" s="587"/>
    </row>
    <row r="105" spans="1:26" ht="13" customHeight="1" x14ac:dyDescent="0.15">
      <c r="B105" s="235"/>
      <c r="C105" s="236"/>
      <c r="D105" s="125"/>
      <c r="E105" s="153"/>
      <c r="F105" s="153"/>
      <c r="G105" s="153"/>
      <c r="H105" s="153"/>
      <c r="I105" s="587"/>
      <c r="J105" s="125"/>
      <c r="K105" s="153"/>
      <c r="L105" s="153"/>
      <c r="M105" s="587"/>
      <c r="N105" s="125"/>
      <c r="O105" s="153"/>
      <c r="P105" s="153"/>
      <c r="Q105" s="587"/>
      <c r="R105" s="125"/>
      <c r="S105" s="153"/>
      <c r="T105" s="153"/>
      <c r="U105" s="587"/>
      <c r="V105" s="125"/>
      <c r="W105" s="153"/>
      <c r="X105" s="153"/>
      <c r="Y105" s="587"/>
      <c r="Z105" s="587"/>
    </row>
    <row r="106" spans="1:26" ht="28.25" customHeight="1" x14ac:dyDescent="0.15">
      <c r="A106" s="87" t="str">
        <f>Interview!A154</f>
        <v>V-AA-B-1-1</v>
      </c>
      <c r="B106" s="618" t="str">
        <f>INDEX('imp-questions'!D:D, MATCH(A106, 'imp-questions'!A:A, 0))</f>
        <v>Architecture Mitigation</v>
      </c>
      <c r="C106" s="248">
        <f>INDEX('imp-questions'!E:E, MATCH(A106, 'imp-questions'!A:A, 0))</f>
        <v>1</v>
      </c>
      <c r="D106" s="300" t="str">
        <f>INDEX('imp-questions'!F:F, MATCH(A106, 'imp-questions'!A:A, 0))</f>
        <v>Do you review the application architecture for mitigations of typical threats on an ad-hoc basis?</v>
      </c>
      <c r="E106" s="329" t="str">
        <f>CHAR(65+INDEX('imp-questions'!H:H, MATCH(A106, 'imp-questions'!A:A, 0)))</f>
        <v>A</v>
      </c>
      <c r="F106" s="287" t="str">
        <f>IF(ISBLANK(Interview!F154),"",Interview!F154)</f>
        <v/>
      </c>
      <c r="G106" s="378">
        <f ca="1">IFERROR(INDEX(INDIRECT("Ans" &amp; E106 &amp; "TBL"), MATCH(F106, INDEX(INDIRECT("Ans" &amp; E106 &amp; "TBL"), 0, 1), 0), 2), 0)</f>
        <v>0</v>
      </c>
      <c r="H106" s="342"/>
      <c r="I106" s="587"/>
      <c r="J106" s="387" t="str">
        <f>F106</f>
        <v/>
      </c>
      <c r="K106" s="343">
        <f ca="1">IFERROR(INDEX(INDIRECT("Ans" &amp; E106 &amp; "TBL"), MATCH(J106, INDEX(INDIRECT("Ans" &amp; E106 &amp; "TBL"), 0, 1), 0), 2), 0)</f>
        <v>0</v>
      </c>
      <c r="L106" s="342"/>
      <c r="M106" s="587"/>
      <c r="N106" s="387" t="str">
        <f>J106</f>
        <v/>
      </c>
      <c r="O106" s="341">
        <f ca="1">IFERROR(INDEX(INDIRECT("Ans" &amp; E106 &amp; "TBL"), MATCH(N106, INDEX(INDIRECT("Ans" &amp; E106 &amp; "TBL"), 0, 1), 0), 2), 0)</f>
        <v>0</v>
      </c>
      <c r="P106" s="342"/>
      <c r="Q106" s="587"/>
      <c r="R106" s="387" t="str">
        <f>N106</f>
        <v/>
      </c>
      <c r="S106" s="135">
        <f ca="1">IFERROR(INDEX(INDIRECT("Ans" &amp; E106 &amp; "TBL"), MATCH(R106, INDEX(INDIRECT("Ans" &amp; E106 &amp; "TBL"), 0, 1), 0), 2), 0)</f>
        <v>0</v>
      </c>
      <c r="T106" s="326"/>
      <c r="U106" s="587"/>
      <c r="V106" s="387" t="str">
        <f>R106</f>
        <v/>
      </c>
      <c r="W106" s="343">
        <f ca="1">IFERROR(INDEX(INDIRECT("Ans" &amp; E106 &amp; "TBL"), MATCH(V106, INDEX(INDIRECT("Ans" &amp; E106 &amp; "TBL"), 0, 1), 0), 2), 0)</f>
        <v>0</v>
      </c>
      <c r="X106" s="342"/>
      <c r="Y106" s="587"/>
      <c r="Z106" s="587"/>
    </row>
    <row r="107" spans="1:26" ht="28.25" customHeight="1" x14ac:dyDescent="0.15">
      <c r="A107" s="87" t="str">
        <f>Interview!A156</f>
        <v>V-AA-B-2-1</v>
      </c>
      <c r="B107" s="577"/>
      <c r="C107" s="248">
        <f>INDEX('imp-questions'!E:E, MATCH(A107, 'imp-questions'!A:A, 0))</f>
        <v>2</v>
      </c>
      <c r="D107" s="300" t="str">
        <f>INDEX('imp-questions'!F:F, MATCH(A107, 'imp-questions'!A:A, 0))</f>
        <v>Do you regularly evaluate the threats to your architecture?</v>
      </c>
      <c r="E107" s="329" t="str">
        <f>CHAR(65+INDEX('imp-questions'!H:H, MATCH(A107, 'imp-questions'!A:A, 0)))</f>
        <v>A</v>
      </c>
      <c r="F107" s="287" t="str">
        <f>IF(ISBLANK(Interview!F156),"",Interview!F156)</f>
        <v/>
      </c>
      <c r="G107" s="379">
        <f ca="1">IFERROR(INDEX(INDIRECT("Ans" &amp; E107 &amp; "TBL"), MATCH(F107, INDEX(INDIRECT("Ans" &amp; E107 &amp; "TBL"), 0, 1), 0), 2), 0)</f>
        <v>0</v>
      </c>
      <c r="H107" s="345"/>
      <c r="I107" s="587"/>
      <c r="J107" s="387" t="str">
        <f>F107</f>
        <v/>
      </c>
      <c r="K107" s="346">
        <f ca="1">IFERROR(INDEX(INDIRECT("Ans" &amp; E107 &amp; "TBL"), MATCH(J107, INDEX(INDIRECT("Ans" &amp; E107 &amp; "TBL"), 0, 1), 0), 2), 0)</f>
        <v>0</v>
      </c>
      <c r="L107" s="345"/>
      <c r="M107" s="587"/>
      <c r="N107" s="387" t="str">
        <f>J107</f>
        <v/>
      </c>
      <c r="O107" s="344">
        <f ca="1">IFERROR(INDEX(INDIRECT("Ans" &amp; E107 &amp; "TBL"), MATCH(N107, INDEX(INDIRECT("Ans" &amp; E107 &amp; "TBL"), 0, 1), 0), 2), 0)</f>
        <v>0</v>
      </c>
      <c r="P107" s="345"/>
      <c r="Q107" s="587"/>
      <c r="R107" s="387" t="str">
        <f>N107</f>
        <v/>
      </c>
      <c r="S107" s="135">
        <f ca="1">IFERROR(INDEX(INDIRECT("Ans" &amp; E107 &amp; "TBL"), MATCH(R107, INDEX(INDIRECT("Ans" &amp; E107 &amp; "TBL"), 0, 1), 0), 2), 0)</f>
        <v>0</v>
      </c>
      <c r="T107" s="309"/>
      <c r="U107" s="587"/>
      <c r="V107" s="387" t="str">
        <f>R107</f>
        <v/>
      </c>
      <c r="W107" s="346">
        <f ca="1">IFERROR(INDEX(INDIRECT("Ans" &amp; E107 &amp; "TBL"), MATCH(V107, INDEX(INDIRECT("Ans" &amp; E107 &amp; "TBL"), 0, 1), 0), 2), 0)</f>
        <v>0</v>
      </c>
      <c r="X107" s="345"/>
      <c r="Y107" s="587"/>
      <c r="Z107" s="587"/>
    </row>
    <row r="108" spans="1:26" ht="28.25" customHeight="1" x14ac:dyDescent="0.15">
      <c r="A108" s="87" t="str">
        <f>Interview!A158</f>
        <v>V-AA-B-3-1</v>
      </c>
      <c r="B108" s="578"/>
      <c r="C108" s="248">
        <f>INDEX('imp-questions'!E:E, MATCH(A108, 'imp-questions'!A:A, 0))</f>
        <v>3</v>
      </c>
      <c r="D108" s="296" t="str">
        <f>INDEX('imp-questions'!F:F, MATCH(A108, 'imp-questions'!A:A, 0))</f>
        <v>Do you regularly update your reference architectures based on architecture assessment findings?</v>
      </c>
      <c r="E108" s="329" t="str">
        <f>CHAR(65+INDEX('imp-questions'!H:H, MATCH(A108, 'imp-questions'!A:A, 0)))</f>
        <v>A</v>
      </c>
      <c r="F108" s="287" t="str">
        <f>IF(ISBLANK(Interview!F158),"",Interview!F158)</f>
        <v/>
      </c>
      <c r="G108" s="380">
        <f ca="1">IFERROR(INDEX(INDIRECT("Ans" &amp; E108 &amp; "TBL"), MATCH(F108, INDEX(INDIRECT("Ans" &amp; E108 &amp; "TBL"), 0, 1), 0), 2), 0)</f>
        <v>0</v>
      </c>
      <c r="H108" s="348"/>
      <c r="I108" s="588"/>
      <c r="J108" s="387" t="str">
        <f>F108</f>
        <v/>
      </c>
      <c r="K108" s="349">
        <f ca="1">IFERROR(INDEX(INDIRECT("Ans" &amp; E108 &amp; "TBL"), MATCH(J108, INDEX(INDIRECT("Ans" &amp; E108 &amp; "TBL"), 0, 1), 0), 2), 0)</f>
        <v>0</v>
      </c>
      <c r="L108" s="348"/>
      <c r="M108" s="588"/>
      <c r="N108" s="387" t="str">
        <f>J108</f>
        <v/>
      </c>
      <c r="O108" s="347">
        <f ca="1">IFERROR(INDEX(INDIRECT("Ans" &amp; E108 &amp; "TBL"), MATCH(N108, INDEX(INDIRECT("Ans" &amp; E108 &amp; "TBL"), 0, 1), 0), 2), 0)</f>
        <v>0</v>
      </c>
      <c r="P108" s="348"/>
      <c r="Q108" s="588"/>
      <c r="R108" s="387" t="str">
        <f>N108</f>
        <v/>
      </c>
      <c r="S108" s="135">
        <f ca="1">IFERROR(INDEX(INDIRECT("Ans" &amp; E108 &amp; "TBL"), MATCH(R108, INDEX(INDIRECT("Ans" &amp; E108 &amp; "TBL"), 0, 1), 0), 2), 0)</f>
        <v>0</v>
      </c>
      <c r="T108" s="312"/>
      <c r="U108" s="588"/>
      <c r="V108" s="387" t="str">
        <f>R108</f>
        <v/>
      </c>
      <c r="W108" s="349">
        <f ca="1">IFERROR(INDEX(INDIRECT("Ans" &amp; E108 &amp; "TBL"), MATCH(V108, INDEX(INDIRECT("Ans" &amp; E108 &amp; "TBL"), 0, 1), 0), 2), 0)</f>
        <v>0</v>
      </c>
      <c r="X108" s="348"/>
      <c r="Y108" s="588"/>
      <c r="Z108" s="588"/>
    </row>
    <row r="109" spans="1:26" ht="13" customHeight="1" x14ac:dyDescent="0.15">
      <c r="B109" s="235"/>
      <c r="C109" s="236"/>
      <c r="D109" s="125"/>
      <c r="E109" s="125"/>
      <c r="F109" s="125"/>
      <c r="G109" s="125"/>
      <c r="H109" s="125"/>
      <c r="I109" s="125"/>
      <c r="J109" s="125"/>
      <c r="K109" s="125"/>
      <c r="L109" s="125"/>
      <c r="M109" s="125"/>
      <c r="N109" s="125"/>
      <c r="O109" s="125"/>
      <c r="P109" s="125"/>
      <c r="Q109" s="125"/>
      <c r="R109" s="125"/>
      <c r="S109" s="313"/>
      <c r="T109" s="125"/>
      <c r="U109" s="125"/>
      <c r="V109" s="125"/>
      <c r="W109" s="125"/>
      <c r="X109" s="125"/>
      <c r="Y109" s="125"/>
      <c r="Z109" s="125"/>
    </row>
    <row r="110" spans="1:26" ht="16.25" customHeight="1" x14ac:dyDescent="0.15">
      <c r="B110" s="246" t="s">
        <v>12</v>
      </c>
      <c r="C110" s="417" t="s">
        <v>13</v>
      </c>
      <c r="D110" s="249" t="s">
        <v>90</v>
      </c>
      <c r="E110" s="399"/>
      <c r="F110" s="400" t="s">
        <v>15</v>
      </c>
      <c r="G110" s="401"/>
      <c r="H110" s="402"/>
      <c r="I110" s="398" t="s">
        <v>17</v>
      </c>
      <c r="J110" s="400" t="s">
        <v>15</v>
      </c>
      <c r="K110" s="401"/>
      <c r="L110" s="402"/>
      <c r="M110" s="398" t="s">
        <v>17</v>
      </c>
      <c r="N110" s="400" t="s">
        <v>15</v>
      </c>
      <c r="O110" s="401"/>
      <c r="P110" s="402"/>
      <c r="Q110" s="398" t="s">
        <v>17</v>
      </c>
      <c r="R110" s="400" t="s">
        <v>15</v>
      </c>
      <c r="S110" s="401"/>
      <c r="T110" s="402"/>
      <c r="U110" s="398" t="s">
        <v>17</v>
      </c>
      <c r="V110" s="400" t="s">
        <v>15</v>
      </c>
      <c r="W110" s="401"/>
      <c r="X110" s="402"/>
      <c r="Y110" s="398" t="s">
        <v>17</v>
      </c>
      <c r="Z110" s="398" t="s">
        <v>253</v>
      </c>
    </row>
    <row r="111" spans="1:26" ht="28.25" customHeight="1" x14ac:dyDescent="0.15">
      <c r="A111" s="87" t="str">
        <f>Interview!A161</f>
        <v>V-RT-A-1-1</v>
      </c>
      <c r="B111" s="618" t="str">
        <f>INDEX('imp-questions'!D:D, MATCH(A111, 'imp-questions'!A:A, 0))</f>
        <v>Control Verification</v>
      </c>
      <c r="C111" s="248">
        <f>INDEX('imp-questions'!E:E, MATCH(A111, 'imp-questions'!A:A, 0))</f>
        <v>1</v>
      </c>
      <c r="D111" s="300" t="str">
        <f>INDEX('imp-questions'!F:F, MATCH(A111, 'imp-questions'!A:A, 0))</f>
        <v>Do you test applications for the correct functioning of standard security controls?</v>
      </c>
      <c r="E111" s="329" t="str">
        <f>CHAR(65+INDEX('imp-questions'!H:H, MATCH(A111, 'imp-questions'!A:A, 0)))</f>
        <v>B</v>
      </c>
      <c r="F111" s="287" t="str">
        <f>IF(ISBLANK(Interview!F161),"",Interview!F161)</f>
        <v/>
      </c>
      <c r="G111" s="343">
        <f ca="1">IFERROR(INDEX(INDIRECT("Ans" &amp; E111 &amp; "TBL"), MATCH(F111, INDEX(INDIRECT("Ans" &amp; E111 &amp; "TBL"), 0, 1), 0), 2), 0)</f>
        <v>0</v>
      </c>
      <c r="H111" s="358">
        <f ca="1">IFERROR(AVERAGE(G111,G115),0)</f>
        <v>0</v>
      </c>
      <c r="I111" s="610">
        <f ca="1">SUM(H111:H113)</f>
        <v>0</v>
      </c>
      <c r="J111" s="387" t="str">
        <f>F111</f>
        <v/>
      </c>
      <c r="K111" s="343">
        <f ca="1">IFERROR(INDEX(INDIRECT("Ans" &amp; E111 &amp; "TBL"), MATCH(J111, INDEX(INDIRECT("Ans" &amp; E111 &amp; "TBL"), 0, 1), 0), 2), 0)</f>
        <v>0</v>
      </c>
      <c r="L111" s="358">
        <f ca="1">IFERROR(AVERAGE(K111,K115),0)</f>
        <v>0</v>
      </c>
      <c r="M111" s="610">
        <f ca="1">SUM(L111:L113)</f>
        <v>0</v>
      </c>
      <c r="N111" s="387" t="str">
        <f>J111</f>
        <v/>
      </c>
      <c r="O111" s="341">
        <f ca="1">IFERROR(INDEX(INDIRECT("Ans" &amp; E111 &amp; "TBL"), MATCH(N111, INDEX(INDIRECT("Ans" &amp; E111 &amp; "TBL"), 0, 1), 0), 2), 0)</f>
        <v>0</v>
      </c>
      <c r="P111" s="358">
        <f ca="1">IFERROR(AVERAGE(O111,O115),0)</f>
        <v>0</v>
      </c>
      <c r="Q111" s="610">
        <f ca="1">SUM(P111:P113)</f>
        <v>0</v>
      </c>
      <c r="R111" s="387" t="str">
        <f>N111</f>
        <v/>
      </c>
      <c r="S111" s="135">
        <f ca="1">IFERROR(INDEX(INDIRECT("Ans" &amp; E111 &amp; "TBL"), MATCH(R111, INDEX(INDIRECT("Ans" &amp; E111 &amp; "TBL"), 0, 1), 0), 2), 0)</f>
        <v>0</v>
      </c>
      <c r="T111" s="359">
        <f ca="1">IFERROR(AVERAGE(S111,S115),0)</f>
        <v>0</v>
      </c>
      <c r="U111" s="610">
        <f ca="1">SUM(T111:T113)</f>
        <v>0</v>
      </c>
      <c r="V111" s="387" t="str">
        <f>R111</f>
        <v/>
      </c>
      <c r="W111" s="343">
        <f ca="1">IFERROR(INDEX(INDIRECT("Ans" &amp; E111 &amp; "TBL"), MATCH(V111, INDEX(INDIRECT("Ans" &amp; E111 &amp; "TBL"), 0, 1), 0), 2), 0)</f>
        <v>0</v>
      </c>
      <c r="X111" s="358">
        <f ca="1">IFERROR(AVERAGE(W111,W115),0)</f>
        <v>0</v>
      </c>
      <c r="Y111" s="610">
        <f ca="1">SUM(X111:X113)</f>
        <v>0</v>
      </c>
      <c r="Z111" s="610">
        <f ca="1">IFERROR(Y111-I111,Y111-LEFT(I111,1))</f>
        <v>0</v>
      </c>
    </row>
    <row r="112" spans="1:26" ht="28.25" customHeight="1" x14ac:dyDescent="0.15">
      <c r="A112" s="87" t="str">
        <f>Interview!A163</f>
        <v>V-RT-A-2-1</v>
      </c>
      <c r="B112" s="577"/>
      <c r="C112" s="248">
        <f>INDEX('imp-questions'!E:E, MATCH(A112, 'imp-questions'!A:A, 0))</f>
        <v>2</v>
      </c>
      <c r="D112" s="300" t="str">
        <f>INDEX('imp-questions'!F:F, MATCH(A112, 'imp-questions'!A:A, 0))</f>
        <v>Do you consistently write and execute test scripts to verify the functionality of security requirements?</v>
      </c>
      <c r="E112" s="329" t="str">
        <f>CHAR(65+INDEX('imp-questions'!H:H, MATCH(A112, 'imp-questions'!A:A, 0)))</f>
        <v>B</v>
      </c>
      <c r="F112" s="287" t="str">
        <f>IF(ISBLANK(Interview!F163),"",Interview!F163)</f>
        <v/>
      </c>
      <c r="G112" s="346">
        <f ca="1">IFERROR(INDEX(INDIRECT("Ans" &amp; E112 &amp; "TBL"), MATCH(F112, INDEX(INDIRECT("Ans" &amp; E112 &amp; "TBL"), 0, 1), 0), 2), 0)</f>
        <v>0</v>
      </c>
      <c r="H112" s="360">
        <f ca="1">IFERROR(AVERAGE(G112,G116),0)</f>
        <v>0</v>
      </c>
      <c r="I112" s="587"/>
      <c r="J112" s="387" t="str">
        <f>F112</f>
        <v/>
      </c>
      <c r="K112" s="346">
        <f ca="1">IFERROR(INDEX(INDIRECT("Ans" &amp; E112 &amp; "TBL"), MATCH(J112, INDEX(INDIRECT("Ans" &amp; E112 &amp; "TBL"), 0, 1), 0), 2), 0)</f>
        <v>0</v>
      </c>
      <c r="L112" s="360">
        <f ca="1">IFERROR(AVERAGE(K112,K116),0)</f>
        <v>0</v>
      </c>
      <c r="M112" s="587"/>
      <c r="N112" s="387" t="str">
        <f>J112</f>
        <v/>
      </c>
      <c r="O112" s="344">
        <f ca="1">IFERROR(INDEX(INDIRECT("Ans" &amp; E112 &amp; "TBL"), MATCH(N112, INDEX(INDIRECT("Ans" &amp; E112 &amp; "TBL"), 0, 1), 0), 2), 0)</f>
        <v>0</v>
      </c>
      <c r="P112" s="360">
        <f ca="1">IFERROR(AVERAGE(O112,O116),0)</f>
        <v>0</v>
      </c>
      <c r="Q112" s="587"/>
      <c r="R112" s="387" t="str">
        <f>N112</f>
        <v/>
      </c>
      <c r="S112" s="135">
        <f ca="1">IFERROR(INDEX(INDIRECT("Ans" &amp; E112 &amp; "TBL"), MATCH(R112, INDEX(INDIRECT("Ans" &amp; E112 &amp; "TBL"), 0, 1), 0), 2), 0)</f>
        <v>0</v>
      </c>
      <c r="T112" s="361">
        <f ca="1">IFERROR(AVERAGE(S112,S116),0)</f>
        <v>0</v>
      </c>
      <c r="U112" s="587"/>
      <c r="V112" s="387" t="str">
        <f>R112</f>
        <v/>
      </c>
      <c r="W112" s="346">
        <f ca="1">IFERROR(INDEX(INDIRECT("Ans" &amp; E112 &amp; "TBL"), MATCH(V112, INDEX(INDIRECT("Ans" &amp; E112 &amp; "TBL"), 0, 1), 0), 2), 0)</f>
        <v>0</v>
      </c>
      <c r="X112" s="360">
        <f ca="1">IFERROR(AVERAGE(W112,W116),0)</f>
        <v>0</v>
      </c>
      <c r="Y112" s="587"/>
      <c r="Z112" s="587"/>
    </row>
    <row r="113" spans="1:26" ht="28.25" customHeight="1" x14ac:dyDescent="0.15">
      <c r="A113" s="87" t="str">
        <f>Interview!A165</f>
        <v>V-RT-A-3-1</v>
      </c>
      <c r="B113" s="578"/>
      <c r="C113" s="248">
        <f>INDEX('imp-questions'!E:E, MATCH(A113, 'imp-questions'!A:A, 0))</f>
        <v>3</v>
      </c>
      <c r="D113" s="296" t="str">
        <f>INDEX('imp-questions'!F:F, MATCH(A113, 'imp-questions'!A:A, 0))</f>
        <v>Do you automatically test applications for security regressions?</v>
      </c>
      <c r="E113" s="329" t="str">
        <f>CHAR(65+INDEX('imp-questions'!H:H, MATCH(A113, 'imp-questions'!A:A, 0)))</f>
        <v>A</v>
      </c>
      <c r="F113" s="287" t="str">
        <f>IF(ISBLANK(Interview!F165),"",Interview!F165)</f>
        <v/>
      </c>
      <c r="G113" s="349">
        <f ca="1">IFERROR(INDEX(INDIRECT("Ans" &amp; E113 &amp; "TBL"), MATCH(F113, INDEX(INDIRECT("Ans" &amp; E113 &amp; "TBL"), 0, 1), 0), 2), 0)</f>
        <v>0</v>
      </c>
      <c r="H113" s="364">
        <f ca="1">IFERROR(AVERAGE(G113,G117),0)</f>
        <v>0</v>
      </c>
      <c r="I113" s="587"/>
      <c r="J113" s="387" t="str">
        <f>F113</f>
        <v/>
      </c>
      <c r="K113" s="349">
        <f ca="1">IFERROR(INDEX(INDIRECT("Ans" &amp; E113 &amp; "TBL"), MATCH(J113, INDEX(INDIRECT("Ans" &amp; E113 &amp; "TBL"), 0, 1), 0), 2), 0)</f>
        <v>0</v>
      </c>
      <c r="L113" s="364">
        <f ca="1">IFERROR(AVERAGE(K113,K117),0)</f>
        <v>0</v>
      </c>
      <c r="M113" s="587"/>
      <c r="N113" s="387" t="str">
        <f>J113</f>
        <v/>
      </c>
      <c r="O113" s="347">
        <f ca="1">IFERROR(INDEX(INDIRECT("Ans" &amp; E113 &amp; "TBL"), MATCH(N113, INDEX(INDIRECT("Ans" &amp; E113 &amp; "TBL"), 0, 1), 0), 2), 0)</f>
        <v>0</v>
      </c>
      <c r="P113" s="364">
        <f ca="1">IFERROR(AVERAGE(O113,O117),0)</f>
        <v>0</v>
      </c>
      <c r="Q113" s="587"/>
      <c r="R113" s="387" t="str">
        <f>N113</f>
        <v/>
      </c>
      <c r="S113" s="135">
        <f ca="1">IFERROR(INDEX(INDIRECT("Ans" &amp; E113 &amp; "TBL"), MATCH(R113, INDEX(INDIRECT("Ans" &amp; E113 &amp; "TBL"), 0, 1), 0), 2), 0)</f>
        <v>0</v>
      </c>
      <c r="T113" s="365">
        <f ca="1">IFERROR(AVERAGE(S113,S117),0)</f>
        <v>0</v>
      </c>
      <c r="U113" s="587"/>
      <c r="V113" s="387" t="str">
        <f>R113</f>
        <v/>
      </c>
      <c r="W113" s="349">
        <f ca="1">IFERROR(INDEX(INDIRECT("Ans" &amp; E113 &amp; "TBL"), MATCH(V113, INDEX(INDIRECT("Ans" &amp; E113 &amp; "TBL"), 0, 1), 0), 2), 0)</f>
        <v>0</v>
      </c>
      <c r="X113" s="364">
        <f ca="1">IFERROR(AVERAGE(W113,W117),0)</f>
        <v>0</v>
      </c>
      <c r="Y113" s="587"/>
      <c r="Z113" s="587"/>
    </row>
    <row r="114" spans="1:26" ht="13" customHeight="1" x14ac:dyDescent="0.15">
      <c r="B114" s="235"/>
      <c r="C114" s="236"/>
      <c r="D114" s="125"/>
      <c r="E114" s="153"/>
      <c r="F114" s="125"/>
      <c r="G114" s="153"/>
      <c r="H114" s="153"/>
      <c r="I114" s="587"/>
      <c r="J114" s="125"/>
      <c r="K114" s="153"/>
      <c r="L114" s="153"/>
      <c r="M114" s="587"/>
      <c r="N114" s="125"/>
      <c r="O114" s="153"/>
      <c r="P114" s="153"/>
      <c r="Q114" s="587"/>
      <c r="R114" s="125"/>
      <c r="S114" s="153"/>
      <c r="T114" s="153"/>
      <c r="U114" s="587"/>
      <c r="V114" s="125"/>
      <c r="W114" s="153"/>
      <c r="X114" s="153"/>
      <c r="Y114" s="587"/>
      <c r="Z114" s="587"/>
    </row>
    <row r="115" spans="1:26" ht="28.25" customHeight="1" x14ac:dyDescent="0.15">
      <c r="A115" s="87" t="str">
        <f>Interview!A168</f>
        <v>V-RT-B-1-1</v>
      </c>
      <c r="B115" s="618" t="str">
        <f>INDEX('imp-questions'!D:D, MATCH(A115, 'imp-questions'!A:A, 0))</f>
        <v>Misuse/Abuse Testing</v>
      </c>
      <c r="C115" s="248">
        <f>INDEX('imp-questions'!E:E, MATCH(A115, 'imp-questions'!A:A, 0))</f>
        <v>1</v>
      </c>
      <c r="D115" s="300" t="str">
        <f>INDEX('imp-questions'!F:F, MATCH(A115, 'imp-questions'!A:A, 0))</f>
        <v>Do you test applications using randomization or fuzzing techniques?</v>
      </c>
      <c r="E115" s="329" t="str">
        <f>CHAR(65+INDEX('imp-questions'!H:H, MATCH(A115, 'imp-questions'!A:A, 0)))</f>
        <v>A</v>
      </c>
      <c r="F115" s="287" t="str">
        <f>IF(ISBLANK(Interview!F168),"",Interview!F168)</f>
        <v/>
      </c>
      <c r="G115" s="343">
        <f ca="1">IFERROR(INDEX(INDIRECT("Ans" &amp; E115 &amp; "TBL"), MATCH(F115, INDEX(INDIRECT("Ans" &amp; E115 &amp; "TBL"), 0, 1), 0), 2), 0)</f>
        <v>0</v>
      </c>
      <c r="H115" s="342"/>
      <c r="I115" s="587"/>
      <c r="J115" s="387" t="str">
        <f>F115</f>
        <v/>
      </c>
      <c r="K115" s="343">
        <f ca="1">IFERROR(INDEX(INDIRECT("Ans" &amp; E115 &amp; "TBL"), MATCH(J115, INDEX(INDIRECT("Ans" &amp; E115 &amp; "TBL"), 0, 1), 0), 2), 0)</f>
        <v>0</v>
      </c>
      <c r="L115" s="342"/>
      <c r="M115" s="587"/>
      <c r="N115" s="387" t="str">
        <f>J115</f>
        <v/>
      </c>
      <c r="O115" s="341">
        <f ca="1">IFERROR(INDEX(INDIRECT("Ans" &amp; E115 &amp; "TBL"), MATCH(N115, INDEX(INDIRECT("Ans" &amp; E115 &amp; "TBL"), 0, 1), 0), 2), 0)</f>
        <v>0</v>
      </c>
      <c r="P115" s="342"/>
      <c r="Q115" s="587"/>
      <c r="R115" s="387" t="str">
        <f>N115</f>
        <v/>
      </c>
      <c r="S115" s="135">
        <f ca="1">IFERROR(INDEX(INDIRECT("Ans" &amp; E115 &amp; "TBL"), MATCH(R115, INDEX(INDIRECT("Ans" &amp; E115 &amp; "TBL"), 0, 1), 0), 2), 0)</f>
        <v>0</v>
      </c>
      <c r="T115" s="326"/>
      <c r="U115" s="587"/>
      <c r="V115" s="387" t="str">
        <f>R115</f>
        <v/>
      </c>
      <c r="W115" s="343">
        <f ca="1">IFERROR(INDEX(INDIRECT("Ans" &amp; E115 &amp; "TBL"), MATCH(V115, INDEX(INDIRECT("Ans" &amp; E115 &amp; "TBL"), 0, 1), 0), 2), 0)</f>
        <v>0</v>
      </c>
      <c r="X115" s="342"/>
      <c r="Y115" s="587"/>
      <c r="Z115" s="587"/>
    </row>
    <row r="116" spans="1:26" ht="28.25" customHeight="1" x14ac:dyDescent="0.15">
      <c r="A116" s="87" t="str">
        <f>Interview!A170</f>
        <v>V-RT-B-2-1</v>
      </c>
      <c r="B116" s="577"/>
      <c r="C116" s="248">
        <f>INDEX('imp-questions'!E:E, MATCH(A116, 'imp-questions'!A:A, 0))</f>
        <v>2</v>
      </c>
      <c r="D116" s="300" t="str">
        <f>INDEX('imp-questions'!F:F, MATCH(A116, 'imp-questions'!A:A, 0))</f>
        <v>Do you create abuse cases from functional requirements and use them to drive security tests?</v>
      </c>
      <c r="E116" s="329" t="str">
        <f>CHAR(65+INDEX('imp-questions'!H:H, MATCH(A116, 'imp-questions'!A:A, 0)))</f>
        <v>E</v>
      </c>
      <c r="F116" s="287" t="str">
        <f>IF(ISBLANK(Interview!F170),"",Interview!F170)</f>
        <v/>
      </c>
      <c r="G116" s="346">
        <f ca="1">IFERROR(INDEX(INDIRECT("Ans" &amp; E116 &amp; "TBL"), MATCH(F116, INDEX(INDIRECT("Ans" &amp; E116 &amp; "TBL"), 0, 1), 0), 2), 0)</f>
        <v>0</v>
      </c>
      <c r="H116" s="345"/>
      <c r="I116" s="587"/>
      <c r="J116" s="387" t="str">
        <f>F116</f>
        <v/>
      </c>
      <c r="K116" s="346">
        <f ca="1">IFERROR(INDEX(INDIRECT("Ans" &amp; E116 &amp; "TBL"), MATCH(J116, INDEX(INDIRECT("Ans" &amp; E116 &amp; "TBL"), 0, 1), 0), 2), 0)</f>
        <v>0</v>
      </c>
      <c r="L116" s="345"/>
      <c r="M116" s="587"/>
      <c r="N116" s="387" t="str">
        <f>J116</f>
        <v/>
      </c>
      <c r="O116" s="344">
        <f ca="1">IFERROR(INDEX(INDIRECT("Ans" &amp; E116 &amp; "TBL"), MATCH(N116, INDEX(INDIRECT("Ans" &amp; E116 &amp; "TBL"), 0, 1), 0), 2), 0)</f>
        <v>0</v>
      </c>
      <c r="P116" s="345"/>
      <c r="Q116" s="587"/>
      <c r="R116" s="387" t="str">
        <f>N116</f>
        <v/>
      </c>
      <c r="S116" s="135">
        <f ca="1">IFERROR(INDEX(INDIRECT("Ans" &amp; E116 &amp; "TBL"), MATCH(R116, INDEX(INDIRECT("Ans" &amp; E116 &amp; "TBL"), 0, 1), 0), 2), 0)</f>
        <v>0</v>
      </c>
      <c r="T116" s="309"/>
      <c r="U116" s="587"/>
      <c r="V116" s="387" t="str">
        <f>R116</f>
        <v/>
      </c>
      <c r="W116" s="346">
        <f ca="1">IFERROR(INDEX(INDIRECT("Ans" &amp; E116 &amp; "TBL"), MATCH(V116, INDEX(INDIRECT("Ans" &amp; E116 &amp; "TBL"), 0, 1), 0), 2), 0)</f>
        <v>0</v>
      </c>
      <c r="X116" s="345"/>
      <c r="Y116" s="587"/>
      <c r="Z116" s="587"/>
    </row>
    <row r="117" spans="1:26" ht="28.25" customHeight="1" x14ac:dyDescent="0.15">
      <c r="A117" s="87" t="str">
        <f>Interview!A172</f>
        <v>V-RT-B-3-1</v>
      </c>
      <c r="B117" s="578"/>
      <c r="C117" s="248">
        <f>INDEX('imp-questions'!E:E, MATCH(A117, 'imp-questions'!A:A, 0))</f>
        <v>3</v>
      </c>
      <c r="D117" s="296" t="str">
        <f>INDEX('imp-questions'!F:F, MATCH(A117, 'imp-questions'!A:A, 0))</f>
        <v>Do you perform denial of service and security stress testing?</v>
      </c>
      <c r="E117" s="329" t="str">
        <f>CHAR(65+INDEX('imp-questions'!H:H, MATCH(A117, 'imp-questions'!A:A, 0)))</f>
        <v>E</v>
      </c>
      <c r="F117" s="287" t="str">
        <f>IF(ISBLANK(Interview!F172),"",Interview!F172)</f>
        <v/>
      </c>
      <c r="G117" s="349">
        <f ca="1">IFERROR(INDEX(INDIRECT("Ans" &amp; E117 &amp; "TBL"), MATCH(F117, INDEX(INDIRECT("Ans" &amp; E117 &amp; "TBL"), 0, 1), 0), 2), 0)</f>
        <v>0</v>
      </c>
      <c r="H117" s="348"/>
      <c r="I117" s="588"/>
      <c r="J117" s="387" t="str">
        <f>F117</f>
        <v/>
      </c>
      <c r="K117" s="349">
        <f ca="1">IFERROR(INDEX(INDIRECT("Ans" &amp; E117 &amp; "TBL"), MATCH(J117, INDEX(INDIRECT("Ans" &amp; E117 &amp; "TBL"), 0, 1), 0), 2), 0)</f>
        <v>0</v>
      </c>
      <c r="L117" s="348"/>
      <c r="M117" s="588"/>
      <c r="N117" s="387" t="str">
        <f>J117</f>
        <v/>
      </c>
      <c r="O117" s="347">
        <f ca="1">IFERROR(INDEX(INDIRECT("Ans" &amp; E117 &amp; "TBL"), MATCH(N117, INDEX(INDIRECT("Ans" &amp; E117 &amp; "TBL"), 0, 1), 0), 2), 0)</f>
        <v>0</v>
      </c>
      <c r="P117" s="348"/>
      <c r="Q117" s="588"/>
      <c r="R117" s="387" t="str">
        <f>N117</f>
        <v/>
      </c>
      <c r="S117" s="135">
        <f ca="1">IFERROR(INDEX(INDIRECT("Ans" &amp; E117 &amp; "TBL"), MATCH(R117, INDEX(INDIRECT("Ans" &amp; E117 &amp; "TBL"), 0, 1), 0), 2), 0)</f>
        <v>0</v>
      </c>
      <c r="T117" s="312"/>
      <c r="U117" s="588"/>
      <c r="V117" s="387" t="str">
        <f>R117</f>
        <v/>
      </c>
      <c r="W117" s="349">
        <f ca="1">IFERROR(INDEX(INDIRECT("Ans" &amp; E117 &amp; "TBL"), MATCH(V117, INDEX(INDIRECT("Ans" &amp; E117 &amp; "TBL"), 0, 1), 0), 2), 0)</f>
        <v>0</v>
      </c>
      <c r="X117" s="348"/>
      <c r="Y117" s="588"/>
      <c r="Z117" s="588"/>
    </row>
    <row r="118" spans="1:26" ht="13" customHeight="1" x14ac:dyDescent="0.15">
      <c r="B118" s="235"/>
      <c r="C118" s="236"/>
      <c r="D118" s="125"/>
      <c r="E118" s="125"/>
      <c r="F118" s="125"/>
      <c r="G118" s="125"/>
      <c r="H118" s="125"/>
      <c r="I118" s="125"/>
      <c r="J118" s="125"/>
      <c r="K118" s="125"/>
      <c r="L118" s="125"/>
      <c r="M118" s="125"/>
      <c r="N118" s="125"/>
      <c r="O118" s="125"/>
      <c r="P118" s="125"/>
      <c r="Q118" s="125"/>
      <c r="R118" s="125"/>
      <c r="S118" s="313"/>
      <c r="T118" s="125"/>
      <c r="U118" s="125"/>
      <c r="V118" s="125"/>
      <c r="W118" s="125"/>
      <c r="X118" s="125"/>
      <c r="Y118" s="125"/>
      <c r="Z118" s="125"/>
    </row>
    <row r="119" spans="1:26" ht="16.25" customHeight="1" x14ac:dyDescent="0.15">
      <c r="B119" s="246" t="s">
        <v>12</v>
      </c>
      <c r="C119" s="417" t="s">
        <v>13</v>
      </c>
      <c r="D119" s="249" t="s">
        <v>97</v>
      </c>
      <c r="E119" s="399"/>
      <c r="F119" s="401" t="s">
        <v>15</v>
      </c>
      <c r="G119" s="401"/>
      <c r="H119" s="402"/>
      <c r="I119" s="398" t="s">
        <v>17</v>
      </c>
      <c r="J119" s="400" t="s">
        <v>15</v>
      </c>
      <c r="K119" s="401"/>
      <c r="L119" s="402"/>
      <c r="M119" s="398" t="s">
        <v>17</v>
      </c>
      <c r="N119" s="400" t="s">
        <v>15</v>
      </c>
      <c r="O119" s="401"/>
      <c r="P119" s="402"/>
      <c r="Q119" s="398" t="s">
        <v>17</v>
      </c>
      <c r="R119" s="400" t="s">
        <v>15</v>
      </c>
      <c r="S119" s="401"/>
      <c r="T119" s="402"/>
      <c r="U119" s="398" t="s">
        <v>17</v>
      </c>
      <c r="V119" s="401" t="s">
        <v>15</v>
      </c>
      <c r="W119" s="401"/>
      <c r="X119" s="402"/>
      <c r="Y119" s="398" t="s">
        <v>17</v>
      </c>
      <c r="Z119" s="398" t="s">
        <v>253</v>
      </c>
    </row>
    <row r="120" spans="1:26" ht="28.25" customHeight="1" x14ac:dyDescent="0.15">
      <c r="A120" s="87" t="str">
        <f>Interview!A175</f>
        <v>V-ST-A-1-1</v>
      </c>
      <c r="B120" s="618" t="str">
        <f>INDEX('imp-questions'!D:D, MATCH(A120, 'imp-questions'!A:A, 0))</f>
        <v>Scalable Baseline</v>
      </c>
      <c r="C120" s="248">
        <f>INDEX('imp-questions'!E:E, MATCH(A120, 'imp-questions'!A:A, 0))</f>
        <v>1</v>
      </c>
      <c r="D120" s="300" t="str">
        <f>INDEX('imp-questions'!F:F, MATCH(A120, 'imp-questions'!A:A, 0))</f>
        <v>Do you scan applications with automated security testing tools?</v>
      </c>
      <c r="E120" s="329" t="str">
        <f>CHAR(65+INDEX('imp-questions'!H:H, MATCH(A120, 'imp-questions'!A:A, 0)))</f>
        <v>B</v>
      </c>
      <c r="F120" s="287" t="str">
        <f>IF(ISBLANK(Interview!F175),"",Interview!F175)</f>
        <v/>
      </c>
      <c r="G120" s="343">
        <f ca="1">IFERROR(INDEX(INDIRECT("Ans" &amp; E120 &amp; "TBL"), MATCH(F120, INDEX(INDIRECT("Ans" &amp; E120 &amp; "TBL"), 0, 1), 0), 2), 0)</f>
        <v>0</v>
      </c>
      <c r="H120" s="358">
        <f ca="1">IFERROR(AVERAGE(G120,G124),0)</f>
        <v>0</v>
      </c>
      <c r="I120" s="611">
        <f ca="1">SUM(H120:H122)</f>
        <v>0</v>
      </c>
      <c r="J120" s="387" t="str">
        <f>F120</f>
        <v/>
      </c>
      <c r="K120" s="343">
        <f ca="1">IFERROR(INDEX(INDIRECT("Ans" &amp; E120 &amp; "TBL"), MATCH(J120, INDEX(INDIRECT("Ans" &amp; E120 &amp; "TBL"), 0, 1), 0), 2), 0)</f>
        <v>0</v>
      </c>
      <c r="L120" s="358">
        <f ca="1">IFERROR(AVERAGE(K120,K124),0)</f>
        <v>0</v>
      </c>
      <c r="M120" s="611">
        <f ca="1">SUM(L120:L122)</f>
        <v>0</v>
      </c>
      <c r="N120" s="387" t="str">
        <f>J120</f>
        <v/>
      </c>
      <c r="O120" s="341">
        <f ca="1">IFERROR(INDEX(INDIRECT("Ans" &amp; E120 &amp; "TBL"), MATCH(N120, INDEX(INDIRECT("Ans" &amp; E120 &amp; "TBL"), 0, 1), 0), 2), 0)</f>
        <v>0</v>
      </c>
      <c r="P120" s="358">
        <f ca="1">IFERROR(AVERAGE(O120,O124),0)</f>
        <v>0</v>
      </c>
      <c r="Q120" s="611">
        <f ca="1">SUM(P120:P122)</f>
        <v>0</v>
      </c>
      <c r="R120" s="387" t="str">
        <f>N120</f>
        <v/>
      </c>
      <c r="S120" s="135">
        <f ca="1">IFERROR(INDEX(INDIRECT("Ans" &amp; E120 &amp; "TBL"), MATCH(R120, INDEX(INDIRECT("Ans" &amp; E120 &amp; "TBL"), 0, 1), 0), 2), 0)</f>
        <v>0</v>
      </c>
      <c r="T120" s="359">
        <f ca="1">IFERROR(AVERAGE(S120,S124),0)</f>
        <v>0</v>
      </c>
      <c r="U120" s="611">
        <f ca="1">SUM(T120:T122)</f>
        <v>0</v>
      </c>
      <c r="V120" s="387" t="str">
        <f>R120</f>
        <v/>
      </c>
      <c r="W120" s="341">
        <f ca="1">IFERROR(INDEX(INDIRECT("Ans" &amp; E120 &amp; "TBL"), MATCH(V120, INDEX(INDIRECT("Ans" &amp; E120 &amp; "TBL"), 0, 1), 0), 2), 0)</f>
        <v>0</v>
      </c>
      <c r="X120" s="358">
        <f ca="1">IFERROR(AVERAGE(W120,W124),0)</f>
        <v>0</v>
      </c>
      <c r="Y120" s="611">
        <f ca="1">SUM(X120:X122)</f>
        <v>0</v>
      </c>
      <c r="Z120" s="611">
        <f ca="1">IFERROR(Y120-I120,Y120-LEFT(I120,1))</f>
        <v>0</v>
      </c>
    </row>
    <row r="121" spans="1:26" ht="28.25" customHeight="1" x14ac:dyDescent="0.15">
      <c r="A121" s="87" t="str">
        <f>Interview!A177</f>
        <v>V-ST-A-2-1</v>
      </c>
      <c r="B121" s="577"/>
      <c r="C121" s="248">
        <f>INDEX('imp-questions'!E:E, MATCH(A121, 'imp-questions'!A:A, 0))</f>
        <v>2</v>
      </c>
      <c r="D121" s="300" t="str">
        <f>INDEX('imp-questions'!F:F, MATCH(A121, 'imp-questions'!A:A, 0))</f>
        <v>Do you customize the automated security tools to your applications and technology stacks?</v>
      </c>
      <c r="E121" s="329" t="str">
        <f>CHAR(65+INDEX('imp-questions'!H:H, MATCH(A121, 'imp-questions'!A:A, 0)))</f>
        <v>B</v>
      </c>
      <c r="F121" s="287" t="str">
        <f>IF(ISBLANK(Interview!F177),"",Interview!F177)</f>
        <v/>
      </c>
      <c r="G121" s="346">
        <f ca="1">IFERROR(INDEX(INDIRECT("Ans" &amp; E121 &amp; "TBL"), MATCH(F121, INDEX(INDIRECT("Ans" &amp; E121 &amp; "TBL"), 0, 1), 0), 2), 0)</f>
        <v>0</v>
      </c>
      <c r="H121" s="360">
        <f ca="1">IFERROR(AVERAGE(G121,G125),0)</f>
        <v>0</v>
      </c>
      <c r="I121" s="587"/>
      <c r="J121" s="387" t="str">
        <f>F121</f>
        <v/>
      </c>
      <c r="K121" s="346">
        <f ca="1">IFERROR(INDEX(INDIRECT("Ans" &amp; E121 &amp; "TBL"), MATCH(J121, INDEX(INDIRECT("Ans" &amp; E121 &amp; "TBL"), 0, 1), 0), 2), 0)</f>
        <v>0</v>
      </c>
      <c r="L121" s="360">
        <f ca="1">IFERROR(AVERAGE(K121,K125),0)</f>
        <v>0</v>
      </c>
      <c r="M121" s="587"/>
      <c r="N121" s="387" t="str">
        <f>J121</f>
        <v/>
      </c>
      <c r="O121" s="344">
        <f ca="1">IFERROR(INDEX(INDIRECT("Ans" &amp; E121 &amp; "TBL"), MATCH(N121, INDEX(INDIRECT("Ans" &amp; E121 &amp; "TBL"), 0, 1), 0), 2), 0)</f>
        <v>0</v>
      </c>
      <c r="P121" s="360">
        <f ca="1">IFERROR(AVERAGE(O121,O125),0)</f>
        <v>0</v>
      </c>
      <c r="Q121" s="587"/>
      <c r="R121" s="387" t="str">
        <f>N121</f>
        <v/>
      </c>
      <c r="S121" s="135">
        <f ca="1">IFERROR(INDEX(INDIRECT("Ans" &amp; E121 &amp; "TBL"), MATCH(R121, INDEX(INDIRECT("Ans" &amp; E121 &amp; "TBL"), 0, 1), 0), 2), 0)</f>
        <v>0</v>
      </c>
      <c r="T121" s="361">
        <f ca="1">IFERROR(AVERAGE(S121,S125),0)</f>
        <v>0</v>
      </c>
      <c r="U121" s="587"/>
      <c r="V121" s="387" t="str">
        <f>R121</f>
        <v/>
      </c>
      <c r="W121" s="344">
        <f ca="1">IFERROR(INDEX(INDIRECT("Ans" &amp; E121 &amp; "TBL"), MATCH(V121, INDEX(INDIRECT("Ans" &amp; E121 &amp; "TBL"), 0, 1), 0), 2), 0)</f>
        <v>0</v>
      </c>
      <c r="X121" s="360">
        <f ca="1">IFERROR(AVERAGE(W121,W125),0)</f>
        <v>0</v>
      </c>
      <c r="Y121" s="587"/>
      <c r="Z121" s="587"/>
    </row>
    <row r="122" spans="1:26" ht="28.25" customHeight="1" x14ac:dyDescent="0.15">
      <c r="A122" s="87" t="str">
        <f>Interview!A179</f>
        <v>V-ST-A-3-1</v>
      </c>
      <c r="B122" s="578"/>
      <c r="C122" s="248">
        <f>INDEX('imp-questions'!E:E, MATCH(A122, 'imp-questions'!A:A, 0))</f>
        <v>3</v>
      </c>
      <c r="D122" s="296" t="str">
        <f>INDEX('imp-questions'!F:F, MATCH(A122, 'imp-questions'!A:A, 0))</f>
        <v>Do you integrate automated security testing into the build and deploy process?</v>
      </c>
      <c r="E122" s="329" t="str">
        <f>CHAR(65+INDEX('imp-questions'!H:H, MATCH(A122, 'imp-questions'!A:A, 0)))</f>
        <v>W</v>
      </c>
      <c r="F122" s="287" t="str">
        <f>IF(ISBLANK(Interview!F179),"",Interview!F179)</f>
        <v/>
      </c>
      <c r="G122" s="349">
        <f ca="1">IFERROR(INDEX(INDIRECT("Ans" &amp; E122 &amp; "TBL"), MATCH(F122, INDEX(INDIRECT("Ans" &amp; E122 &amp; "TBL"), 0, 1), 0), 2), 0)</f>
        <v>0</v>
      </c>
      <c r="H122" s="364">
        <f ca="1">IFERROR(AVERAGE(G122,G126),0)</f>
        <v>0</v>
      </c>
      <c r="I122" s="587"/>
      <c r="J122" s="387" t="str">
        <f>F122</f>
        <v/>
      </c>
      <c r="K122" s="349">
        <f ca="1">IFERROR(INDEX(INDIRECT("Ans" &amp; E122 &amp; "TBL"), MATCH(J122, INDEX(INDIRECT("Ans" &amp; E122 &amp; "TBL"), 0, 1), 0), 2), 0)</f>
        <v>0</v>
      </c>
      <c r="L122" s="364">
        <f ca="1">IFERROR(AVERAGE(K122,K126),0)</f>
        <v>0</v>
      </c>
      <c r="M122" s="587"/>
      <c r="N122" s="387" t="str">
        <f>J122</f>
        <v/>
      </c>
      <c r="O122" s="347">
        <f ca="1">IFERROR(INDEX(INDIRECT("Ans" &amp; E122 &amp; "TBL"), MATCH(N122, INDEX(INDIRECT("Ans" &amp; E122 &amp; "TBL"), 0, 1), 0), 2), 0)</f>
        <v>0</v>
      </c>
      <c r="P122" s="364">
        <f ca="1">IFERROR(AVERAGE(O122,O126),0)</f>
        <v>0</v>
      </c>
      <c r="Q122" s="587"/>
      <c r="R122" s="387" t="str">
        <f>N122</f>
        <v/>
      </c>
      <c r="S122" s="135">
        <f ca="1">IFERROR(INDEX(INDIRECT("Ans" &amp; E122 &amp; "TBL"), MATCH(R122, INDEX(INDIRECT("Ans" &amp; E122 &amp; "TBL"), 0, 1), 0), 2), 0)</f>
        <v>0</v>
      </c>
      <c r="T122" s="365">
        <f ca="1">IFERROR(AVERAGE(S122,S126),0)</f>
        <v>0</v>
      </c>
      <c r="U122" s="587"/>
      <c r="V122" s="387" t="str">
        <f>R122</f>
        <v/>
      </c>
      <c r="W122" s="347">
        <f ca="1">IFERROR(INDEX(INDIRECT("Ans" &amp; E122 &amp; "TBL"), MATCH(V122, INDEX(INDIRECT("Ans" &amp; E122 &amp; "TBL"), 0, 1), 0), 2), 0)</f>
        <v>0</v>
      </c>
      <c r="X122" s="364">
        <f ca="1">IFERROR(AVERAGE(W122,W126),0)</f>
        <v>0</v>
      </c>
      <c r="Y122" s="587"/>
      <c r="Z122" s="587"/>
    </row>
    <row r="123" spans="1:26" ht="13" customHeight="1" x14ac:dyDescent="0.15">
      <c r="B123" s="235"/>
      <c r="C123" s="236"/>
      <c r="D123" s="125"/>
      <c r="E123" s="153"/>
      <c r="F123" s="153"/>
      <c r="G123" s="153"/>
      <c r="H123" s="153"/>
      <c r="I123" s="587"/>
      <c r="J123" s="125"/>
      <c r="K123" s="153"/>
      <c r="L123" s="153"/>
      <c r="M123" s="587"/>
      <c r="N123" s="125"/>
      <c r="O123" s="153"/>
      <c r="P123" s="153"/>
      <c r="Q123" s="587"/>
      <c r="R123" s="125"/>
      <c r="S123" s="153"/>
      <c r="T123" s="153"/>
      <c r="U123" s="587"/>
      <c r="V123" s="125"/>
      <c r="W123" s="153"/>
      <c r="X123" s="153"/>
      <c r="Y123" s="587"/>
      <c r="Z123" s="587"/>
    </row>
    <row r="124" spans="1:26" ht="28.25" customHeight="1" x14ac:dyDescent="0.15">
      <c r="A124" s="87" t="str">
        <f>Interview!A182</f>
        <v>V-ST-B-1-1</v>
      </c>
      <c r="B124" s="618" t="str">
        <f>INDEX('imp-questions'!D:D, MATCH(A124, 'imp-questions'!A:A, 0))</f>
        <v>Deep Understanding</v>
      </c>
      <c r="C124" s="248">
        <f>INDEX('imp-questions'!E:E, MATCH(A124, 'imp-questions'!A:A, 0))</f>
        <v>1</v>
      </c>
      <c r="D124" s="300" t="str">
        <f>INDEX('imp-questions'!F:F, MATCH(A124, 'imp-questions'!A:A, 0))</f>
        <v>Do you manually review the security quality of selected high-risk components?</v>
      </c>
      <c r="E124" s="329" t="str">
        <f>CHAR(65+INDEX('imp-questions'!H:H, MATCH(A124, 'imp-questions'!A:A, 0)))</f>
        <v>G</v>
      </c>
      <c r="F124" s="287" t="str">
        <f>IF(ISBLANK(Interview!F182),"",Interview!F182)</f>
        <v/>
      </c>
      <c r="G124" s="343">
        <f ca="1">IFERROR(INDEX(INDIRECT("Ans" &amp; E124 &amp; "TBL"), MATCH(F124, INDEX(INDIRECT("Ans" &amp; E124 &amp; "TBL"), 0, 1), 0), 2), 0)</f>
        <v>0</v>
      </c>
      <c r="H124" s="342"/>
      <c r="I124" s="587"/>
      <c r="J124" s="387" t="str">
        <f>F124</f>
        <v/>
      </c>
      <c r="K124" s="343">
        <f ca="1">IFERROR(INDEX(INDIRECT("Ans" &amp; E124 &amp; "TBL"), MATCH(J124, INDEX(INDIRECT("Ans" &amp; E124 &amp; "TBL"), 0, 1), 0), 2), 0)</f>
        <v>0</v>
      </c>
      <c r="L124" s="342"/>
      <c r="M124" s="587"/>
      <c r="N124" s="387" t="str">
        <f>J124</f>
        <v/>
      </c>
      <c r="O124" s="341">
        <f ca="1">IFERROR(INDEX(INDIRECT("Ans" &amp; E124 &amp; "TBL"), MATCH(N124, INDEX(INDIRECT("Ans" &amp; E124 &amp; "TBL"), 0, 1), 0), 2), 0)</f>
        <v>0</v>
      </c>
      <c r="P124" s="342"/>
      <c r="Q124" s="587"/>
      <c r="R124" s="387" t="str">
        <f>N124</f>
        <v/>
      </c>
      <c r="S124" s="135">
        <f ca="1">IFERROR(INDEX(INDIRECT("Ans" &amp; E124 &amp; "TBL"), MATCH(R124, INDEX(INDIRECT("Ans" &amp; E124 &amp; "TBL"), 0, 1), 0), 2), 0)</f>
        <v>0</v>
      </c>
      <c r="T124" s="326"/>
      <c r="U124" s="587"/>
      <c r="V124" s="387" t="str">
        <f>R124</f>
        <v/>
      </c>
      <c r="W124" s="343">
        <f ca="1">IFERROR(INDEX(INDIRECT("Ans" &amp; E124 &amp; "TBL"), MATCH(V124, INDEX(INDIRECT("Ans" &amp; E124 &amp; "TBL"), 0, 1), 0), 2), 0)</f>
        <v>0</v>
      </c>
      <c r="X124" s="342"/>
      <c r="Y124" s="587"/>
      <c r="Z124" s="587"/>
    </row>
    <row r="125" spans="1:26" ht="28.25" customHeight="1" x14ac:dyDescent="0.15">
      <c r="A125" s="87" t="str">
        <f>Interview!A184</f>
        <v>V-ST-B-2-1</v>
      </c>
      <c r="B125" s="577"/>
      <c r="C125" s="248">
        <f>INDEX('imp-questions'!E:E, MATCH(A125, 'imp-questions'!A:A, 0))</f>
        <v>2</v>
      </c>
      <c r="D125" s="300" t="str">
        <f>INDEX('imp-questions'!F:F, MATCH(A125, 'imp-questions'!A:A, 0))</f>
        <v>Do you perform penetration testing for your applications at regular intervals?</v>
      </c>
      <c r="E125" s="329" t="str">
        <f>CHAR(65+INDEX('imp-questions'!H:H, MATCH(A125, 'imp-questions'!A:A, 0)))</f>
        <v>A</v>
      </c>
      <c r="F125" s="287" t="str">
        <f>IF(ISBLANK(Interview!F184),"",Interview!F184)</f>
        <v/>
      </c>
      <c r="G125" s="346">
        <f ca="1">IFERROR(INDEX(INDIRECT("Ans" &amp; E125 &amp; "TBL"), MATCH(F125, INDEX(INDIRECT("Ans" &amp; E125 &amp; "TBL"), 0, 1), 0), 2), 0)</f>
        <v>0</v>
      </c>
      <c r="H125" s="345"/>
      <c r="I125" s="587"/>
      <c r="J125" s="387" t="str">
        <f>F125</f>
        <v/>
      </c>
      <c r="K125" s="346">
        <f ca="1">IFERROR(INDEX(INDIRECT("Ans" &amp; E125 &amp; "TBL"), MATCH(J125, INDEX(INDIRECT("Ans" &amp; E125 &amp; "TBL"), 0, 1), 0), 2), 0)</f>
        <v>0</v>
      </c>
      <c r="L125" s="345"/>
      <c r="M125" s="587"/>
      <c r="N125" s="387" t="str">
        <f>J125</f>
        <v/>
      </c>
      <c r="O125" s="344">
        <f ca="1">IFERROR(INDEX(INDIRECT("Ans" &amp; E125 &amp; "TBL"), MATCH(N125, INDEX(INDIRECT("Ans" &amp; E125 &amp; "TBL"), 0, 1), 0), 2), 0)</f>
        <v>0</v>
      </c>
      <c r="P125" s="345"/>
      <c r="Q125" s="587"/>
      <c r="R125" s="387" t="str">
        <f>N125</f>
        <v/>
      </c>
      <c r="S125" s="135">
        <f ca="1">IFERROR(INDEX(INDIRECT("Ans" &amp; E125 &amp; "TBL"), MATCH(R125, INDEX(INDIRECT("Ans" &amp; E125 &amp; "TBL"), 0, 1), 0), 2), 0)</f>
        <v>0</v>
      </c>
      <c r="T125" s="309"/>
      <c r="U125" s="587"/>
      <c r="V125" s="387" t="str">
        <f>R125</f>
        <v/>
      </c>
      <c r="W125" s="346">
        <f ca="1">IFERROR(INDEX(INDIRECT("Ans" &amp; E125 &amp; "TBL"), MATCH(V125, INDEX(INDIRECT("Ans" &amp; E125 &amp; "TBL"), 0, 1), 0), 2), 0)</f>
        <v>0</v>
      </c>
      <c r="X125" s="345"/>
      <c r="Y125" s="587"/>
      <c r="Z125" s="587"/>
    </row>
    <row r="126" spans="1:26" ht="28.25" customHeight="1" x14ac:dyDescent="0.15">
      <c r="A126" s="87" t="str">
        <f>Interview!A186</f>
        <v>V-ST-B-3-1</v>
      </c>
      <c r="B126" s="578"/>
      <c r="C126" s="248">
        <f>INDEX('imp-questions'!E:E, MATCH(A126, 'imp-questions'!A:A, 0))</f>
        <v>3</v>
      </c>
      <c r="D126" s="296" t="str">
        <f>INDEX('imp-questions'!F:F, MATCH(A126, 'imp-questions'!A:A, 0))</f>
        <v>Do you use the results of security testing to improve the development lifecycle?</v>
      </c>
      <c r="E126" s="329" t="str">
        <f>CHAR(65+INDEX('imp-questions'!H:H, MATCH(A126, 'imp-questions'!A:A, 0)))</f>
        <v>X</v>
      </c>
      <c r="F126" s="287" t="str">
        <f>IF(ISBLANK(Interview!F186),"",Interview!F186)</f>
        <v/>
      </c>
      <c r="G126" s="349">
        <f ca="1">IFERROR(INDEX(INDIRECT("Ans" &amp; E126 &amp; "TBL"), MATCH(F126, INDEX(INDIRECT("Ans" &amp; E126 &amp; "TBL"), 0, 1), 0), 2), 0)</f>
        <v>0</v>
      </c>
      <c r="H126" s="348"/>
      <c r="I126" s="492"/>
      <c r="J126" s="387" t="str">
        <f>F126</f>
        <v/>
      </c>
      <c r="K126" s="349">
        <f ca="1">IFERROR(INDEX(INDIRECT("Ans" &amp; E126 &amp; "TBL"), MATCH(J126, INDEX(INDIRECT("Ans" &amp; E126 &amp; "TBL"), 0, 1), 0), 2), 0)</f>
        <v>0</v>
      </c>
      <c r="L126" s="348"/>
      <c r="M126" s="492"/>
      <c r="N126" s="387" t="str">
        <f>J126</f>
        <v/>
      </c>
      <c r="O126" s="347">
        <f ca="1">IFERROR(INDEX(INDIRECT("Ans" &amp; E126 &amp; "TBL"), MATCH(N126, INDEX(INDIRECT("Ans" &amp; E126 &amp; "TBL"), 0, 1), 0), 2), 0)</f>
        <v>0</v>
      </c>
      <c r="P126" s="348"/>
      <c r="Q126" s="492"/>
      <c r="R126" s="387" t="str">
        <f>N126</f>
        <v/>
      </c>
      <c r="S126" s="135">
        <f ca="1">IFERROR(INDEX(INDIRECT("Ans" &amp; E126 &amp; "TBL"), MATCH(R126, INDEX(INDIRECT("Ans" &amp; E126 &amp; "TBL"), 0, 1), 0), 2), 0)</f>
        <v>0</v>
      </c>
      <c r="T126" s="312"/>
      <c r="U126" s="492"/>
      <c r="V126" s="387" t="str">
        <f>R126</f>
        <v/>
      </c>
      <c r="W126" s="349">
        <f ca="1">IFERROR(INDEX(INDIRECT("Ans" &amp; E126 &amp; "TBL"), MATCH(V126, INDEX(INDIRECT("Ans" &amp; E126 &amp; "TBL"), 0, 1), 0), 2), 0)</f>
        <v>0</v>
      </c>
      <c r="X126" s="348"/>
      <c r="Y126" s="492"/>
      <c r="Z126" s="492"/>
    </row>
    <row r="127" spans="1:26" ht="13" customHeight="1" x14ac:dyDescent="0.15">
      <c r="B127" s="235"/>
      <c r="C127" s="236"/>
      <c r="D127" s="125"/>
      <c r="E127" s="125"/>
      <c r="F127" s="125"/>
      <c r="G127" s="125"/>
      <c r="H127" s="125"/>
      <c r="I127" s="125"/>
      <c r="J127" s="125"/>
      <c r="K127" s="125"/>
      <c r="L127" s="125"/>
      <c r="M127" s="125"/>
      <c r="N127" s="125"/>
      <c r="O127" s="125"/>
      <c r="P127" s="125"/>
      <c r="Q127" s="125"/>
      <c r="R127" s="125"/>
      <c r="S127" s="313"/>
      <c r="T127" s="125"/>
      <c r="U127" s="125"/>
      <c r="V127" s="125"/>
      <c r="W127" s="125"/>
      <c r="X127" s="125"/>
      <c r="Y127" s="125"/>
      <c r="Z127" s="125"/>
    </row>
    <row r="128" spans="1:26" ht="21.75" customHeight="1" x14ac:dyDescent="0.15">
      <c r="B128" s="583" t="s">
        <v>104</v>
      </c>
      <c r="C128" s="524"/>
      <c r="D128" s="524"/>
      <c r="E128" s="403"/>
      <c r="F128" s="622" t="s">
        <v>248</v>
      </c>
      <c r="G128" s="524"/>
      <c r="H128" s="524"/>
      <c r="I128" s="524"/>
      <c r="J128" s="614" t="s">
        <v>249</v>
      </c>
      <c r="K128" s="524"/>
      <c r="L128" s="524"/>
      <c r="M128" s="585"/>
      <c r="N128" s="614" t="s">
        <v>250</v>
      </c>
      <c r="O128" s="524"/>
      <c r="P128" s="524"/>
      <c r="Q128" s="585"/>
      <c r="R128" s="614" t="s">
        <v>251</v>
      </c>
      <c r="S128" s="524"/>
      <c r="T128" s="524"/>
      <c r="U128" s="585"/>
      <c r="V128" s="624" t="s">
        <v>252</v>
      </c>
      <c r="W128" s="524"/>
      <c r="X128" s="524"/>
      <c r="Y128" s="524"/>
      <c r="Z128" s="524"/>
    </row>
    <row r="129" spans="1:26" ht="14" x14ac:dyDescent="0.15">
      <c r="B129" s="250" t="s">
        <v>12</v>
      </c>
      <c r="C129" s="418" t="s">
        <v>13</v>
      </c>
      <c r="D129" s="251" t="s">
        <v>105</v>
      </c>
      <c r="E129" s="404"/>
      <c r="F129" s="405" t="s">
        <v>15</v>
      </c>
      <c r="G129" s="406"/>
      <c r="H129" s="407"/>
      <c r="I129" s="408" t="s">
        <v>17</v>
      </c>
      <c r="J129" s="405" t="s">
        <v>15</v>
      </c>
      <c r="K129" s="406"/>
      <c r="L129" s="407"/>
      <c r="M129" s="408" t="s">
        <v>17</v>
      </c>
      <c r="N129" s="405" t="s">
        <v>15</v>
      </c>
      <c r="O129" s="406"/>
      <c r="P129" s="407"/>
      <c r="Q129" s="408" t="s">
        <v>17</v>
      </c>
      <c r="R129" s="405" t="s">
        <v>15</v>
      </c>
      <c r="S129" s="406"/>
      <c r="T129" s="407"/>
      <c r="U129" s="408" t="s">
        <v>17</v>
      </c>
      <c r="V129" s="405" t="s">
        <v>15</v>
      </c>
      <c r="W129" s="406"/>
      <c r="X129" s="407"/>
      <c r="Y129" s="408" t="s">
        <v>17</v>
      </c>
      <c r="Z129" s="408" t="s">
        <v>253</v>
      </c>
    </row>
    <row r="130" spans="1:26" ht="28.25" customHeight="1" x14ac:dyDescent="0.15">
      <c r="A130" s="87" t="str">
        <f>Interview!A190</f>
        <v>O-IM-A-1-1</v>
      </c>
      <c r="B130" s="616" t="str">
        <f>INDEX('imp-questions'!D:D, MATCH(A130, 'imp-questions'!A:A, 0))</f>
        <v>Incident Detection</v>
      </c>
      <c r="C130" s="252">
        <f>INDEX('imp-questions'!E:E, MATCH(A130, 'imp-questions'!A:A, 0))</f>
        <v>1</v>
      </c>
      <c r="D130" s="300" t="str">
        <f>INDEX('imp-questions'!F:F, MATCH(A130, 'imp-questions'!A:A, 0))</f>
        <v>Do you analyze log data for security incidents periodically?</v>
      </c>
      <c r="E130" s="329" t="str">
        <f>CHAR(65+INDEX('imp-questions'!H:H, MATCH(A130, 'imp-questions'!A:A, 0)))</f>
        <v>A</v>
      </c>
      <c r="F130" s="287" t="str">
        <f>IF(ISBLANK(Interview!F190),"",Interview!F190)</f>
        <v/>
      </c>
      <c r="G130" s="343">
        <f ca="1">IFERROR(INDEX(INDIRECT("Ans" &amp; E130 &amp; "TBL"), MATCH(F130, INDEX(INDIRECT("Ans" &amp; E130 &amp; "TBL"), 0, 1), 0), 2), 0)</f>
        <v>0</v>
      </c>
      <c r="H130" s="358">
        <f ca="1">IFERROR(AVERAGE(G130,G134),0)</f>
        <v>0</v>
      </c>
      <c r="I130" s="612">
        <f ca="1">SUM(H130:H132)</f>
        <v>0</v>
      </c>
      <c r="J130" s="287" t="str">
        <f>F130</f>
        <v/>
      </c>
      <c r="K130" s="343">
        <f ca="1">IFERROR(INDEX(INDIRECT("Ans" &amp; E130 &amp; "TBL"), MATCH(J130, INDEX(INDIRECT("Ans" &amp; E130 &amp; "TBL"), 0, 1), 0), 2), 0)</f>
        <v>0</v>
      </c>
      <c r="L130" s="358">
        <f ca="1">IFERROR(AVERAGE(K130,K134),0)</f>
        <v>0</v>
      </c>
      <c r="M130" s="612">
        <f ca="1">SUM(L130:L132)</f>
        <v>0</v>
      </c>
      <c r="N130" s="287" t="str">
        <f>J130</f>
        <v/>
      </c>
      <c r="O130" s="341">
        <f ca="1">IFERROR(INDEX(INDIRECT("Ans" &amp; E130 &amp; "TBL"), MATCH(N130, INDEX(INDIRECT("Ans" &amp; E130 &amp; "TBL"), 0, 1), 0), 2), 0)</f>
        <v>0</v>
      </c>
      <c r="P130" s="358">
        <f ca="1">IFERROR(AVERAGE(O130,O134),0)</f>
        <v>0</v>
      </c>
      <c r="Q130" s="612">
        <f ca="1">SUM(P130:P132)</f>
        <v>0</v>
      </c>
      <c r="R130" s="287" t="str">
        <f>N130</f>
        <v/>
      </c>
      <c r="S130" s="135">
        <f ca="1">IFERROR(INDEX(INDIRECT("Ans" &amp; E130 &amp; "TBL"), MATCH(R130, INDEX(INDIRECT("Ans" &amp; E130 &amp; "TBL"), 0, 1), 0), 2), 0)</f>
        <v>0</v>
      </c>
      <c r="T130" s="359">
        <f ca="1">IFERROR(AVERAGE(S130,S134),0)</f>
        <v>0</v>
      </c>
      <c r="U130" s="612">
        <f ca="1">SUM(T130:T132)</f>
        <v>0</v>
      </c>
      <c r="V130" s="287" t="str">
        <f>R130</f>
        <v/>
      </c>
      <c r="W130" s="343">
        <f ca="1">IFERROR(INDEX(INDIRECT("Ans" &amp; E130 &amp; "TBL"), MATCH(V130, INDEX(INDIRECT("Ans" &amp; E130 &amp; "TBL"), 0, 1), 0), 2), 0)</f>
        <v>0</v>
      </c>
      <c r="X130" s="358">
        <f ca="1">IFERROR(AVERAGE(W130,W134),0)</f>
        <v>0</v>
      </c>
      <c r="Y130" s="612">
        <f ca="1">SUM(X130:X132)</f>
        <v>0</v>
      </c>
      <c r="Z130" s="612">
        <f ca="1">IFERROR(Y130-I130,Y130-LEFT(I130,1))</f>
        <v>0</v>
      </c>
    </row>
    <row r="131" spans="1:26" ht="28.25" customHeight="1" x14ac:dyDescent="0.15">
      <c r="A131" s="87" t="str">
        <f>Interview!A192</f>
        <v>O-IM-A-2-1</v>
      </c>
      <c r="B131" s="577"/>
      <c r="C131" s="252">
        <f>INDEX('imp-questions'!E:E, MATCH(A131, 'imp-questions'!A:A, 0))</f>
        <v>2</v>
      </c>
      <c r="D131" s="300" t="str">
        <f>INDEX('imp-questions'!F:F, MATCH(A131, 'imp-questions'!A:A, 0))</f>
        <v>Do you follow a documented process for incident detection?</v>
      </c>
      <c r="E131" s="329" t="str">
        <f>CHAR(65+INDEX('imp-questions'!H:H, MATCH(A131, 'imp-questions'!A:A, 0)))</f>
        <v>A</v>
      </c>
      <c r="F131" s="287" t="str">
        <f>IF(ISBLANK(Interview!F192),"",Interview!F192)</f>
        <v/>
      </c>
      <c r="G131" s="346">
        <f ca="1">IFERROR(INDEX(INDIRECT("Ans" &amp; E131 &amp; "TBL"), MATCH(F131, INDEX(INDIRECT("Ans" &amp; E131 &amp; "TBL"), 0, 1), 0), 2), 0)</f>
        <v>0</v>
      </c>
      <c r="H131" s="360">
        <f ca="1">IFERROR(AVERAGE(G131,G135),0)</f>
        <v>0</v>
      </c>
      <c r="I131" s="587"/>
      <c r="J131" s="287" t="str">
        <f>F131</f>
        <v/>
      </c>
      <c r="K131" s="346">
        <f ca="1">IFERROR(INDEX(INDIRECT("Ans" &amp; E131 &amp; "TBL"), MATCH(J131, INDEX(INDIRECT("Ans" &amp; E131 &amp; "TBL"), 0, 1), 0), 2), 0)</f>
        <v>0</v>
      </c>
      <c r="L131" s="360">
        <f ca="1">IFERROR(AVERAGE(K131,K135),0)</f>
        <v>0</v>
      </c>
      <c r="M131" s="587"/>
      <c r="N131" s="287" t="str">
        <f>J131</f>
        <v/>
      </c>
      <c r="O131" s="344">
        <f ca="1">IFERROR(INDEX(INDIRECT("Ans" &amp; E131 &amp; "TBL"), MATCH(N131, INDEX(INDIRECT("Ans" &amp; E131 &amp; "TBL"), 0, 1), 0), 2), 0)</f>
        <v>0</v>
      </c>
      <c r="P131" s="360">
        <f ca="1">IFERROR(AVERAGE(O131,O135),0)</f>
        <v>0</v>
      </c>
      <c r="Q131" s="587"/>
      <c r="R131" s="287" t="str">
        <f>N131</f>
        <v/>
      </c>
      <c r="S131" s="135">
        <f ca="1">IFERROR(INDEX(INDIRECT("Ans" &amp; E131 &amp; "TBL"), MATCH(R131, INDEX(INDIRECT("Ans" &amp; E131 &amp; "TBL"), 0, 1), 0), 2), 0)</f>
        <v>0</v>
      </c>
      <c r="T131" s="361">
        <f ca="1">IFERROR(AVERAGE(S131,S135),0)</f>
        <v>0</v>
      </c>
      <c r="U131" s="587"/>
      <c r="V131" s="287" t="str">
        <f>R131</f>
        <v/>
      </c>
      <c r="W131" s="346">
        <f ca="1">IFERROR(INDEX(INDIRECT("Ans" &amp; E131 &amp; "TBL"), MATCH(V131, INDEX(INDIRECT("Ans" &amp; E131 &amp; "TBL"), 0, 1), 0), 2), 0)</f>
        <v>0</v>
      </c>
      <c r="X131" s="360">
        <f ca="1">IFERROR(AVERAGE(W131,W135),0)</f>
        <v>0</v>
      </c>
      <c r="Y131" s="587"/>
      <c r="Z131" s="587"/>
    </row>
    <row r="132" spans="1:26" ht="28.25" customHeight="1" x14ac:dyDescent="0.15">
      <c r="A132" s="87" t="str">
        <f>Interview!A194</f>
        <v>O-IM-A-3-1</v>
      </c>
      <c r="B132" s="596"/>
      <c r="C132" s="252">
        <f>INDEX('imp-questions'!E:E, MATCH(A132, 'imp-questions'!A:A, 0))</f>
        <v>3</v>
      </c>
      <c r="D132" s="296" t="str">
        <f>INDEX('imp-questions'!F:F, MATCH(A132, 'imp-questions'!A:A, 0))</f>
        <v>Do you review and update the incident detection process regularly?</v>
      </c>
      <c r="E132" s="329" t="str">
        <f>CHAR(65+INDEX('imp-questions'!H:H, MATCH(A132, 'imp-questions'!A:A, 0)))</f>
        <v>A</v>
      </c>
      <c r="F132" s="287" t="str">
        <f>IF(ISBLANK(Interview!F194),"",Interview!F194)</f>
        <v/>
      </c>
      <c r="G132" s="349">
        <f ca="1">IFERROR(INDEX(INDIRECT("Ans" &amp; E132 &amp; "TBL"), MATCH(F132, INDEX(INDIRECT("Ans" &amp; E132 &amp; "TBL"), 0, 1), 0), 2), 0)</f>
        <v>0</v>
      </c>
      <c r="H132" s="364">
        <f ca="1">IFERROR(AVERAGE(G132,G136),0)</f>
        <v>0</v>
      </c>
      <c r="I132" s="587"/>
      <c r="J132" s="287" t="str">
        <f>F132</f>
        <v/>
      </c>
      <c r="K132" s="349">
        <f ca="1">IFERROR(INDEX(INDIRECT("Ans" &amp; E132 &amp; "TBL"), MATCH(J132, INDEX(INDIRECT("Ans" &amp; E132 &amp; "TBL"), 0, 1), 0), 2), 0)</f>
        <v>0</v>
      </c>
      <c r="L132" s="364">
        <f ca="1">IFERROR(AVERAGE(K132,K136),0)</f>
        <v>0</v>
      </c>
      <c r="M132" s="587"/>
      <c r="N132" s="287" t="str">
        <f>J132</f>
        <v/>
      </c>
      <c r="O132" s="347">
        <f ca="1">IFERROR(INDEX(INDIRECT("Ans" &amp; E132 &amp; "TBL"), MATCH(N132, INDEX(INDIRECT("Ans" &amp; E132 &amp; "TBL"), 0, 1), 0), 2), 0)</f>
        <v>0</v>
      </c>
      <c r="P132" s="364">
        <f ca="1">IFERROR(AVERAGE(O132,O136),0)</f>
        <v>0</v>
      </c>
      <c r="Q132" s="587"/>
      <c r="R132" s="287" t="str">
        <f>N132</f>
        <v/>
      </c>
      <c r="S132" s="135">
        <f ca="1">IFERROR(INDEX(INDIRECT("Ans" &amp; E132 &amp; "TBL"), MATCH(R132, INDEX(INDIRECT("Ans" &amp; E132 &amp; "TBL"), 0, 1), 0), 2), 0)</f>
        <v>0</v>
      </c>
      <c r="T132" s="365">
        <f ca="1">IFERROR(AVERAGE(S132,S136),0)</f>
        <v>0</v>
      </c>
      <c r="U132" s="587"/>
      <c r="V132" s="287" t="str">
        <f>R132</f>
        <v/>
      </c>
      <c r="W132" s="349">
        <f ca="1">IFERROR(INDEX(INDIRECT("Ans" &amp; E132 &amp; "TBL"), MATCH(V132, INDEX(INDIRECT("Ans" &amp; E132 &amp; "TBL"), 0, 1), 0), 2), 0)</f>
        <v>0</v>
      </c>
      <c r="X132" s="364">
        <f ca="1">IFERROR(AVERAGE(W132,W136),0)</f>
        <v>0</v>
      </c>
      <c r="Y132" s="587"/>
      <c r="Z132" s="587"/>
    </row>
    <row r="133" spans="1:26" ht="13" customHeight="1" x14ac:dyDescent="0.15">
      <c r="B133" s="242"/>
      <c r="C133" s="236"/>
      <c r="D133" s="125"/>
      <c r="E133" s="153"/>
      <c r="F133" s="125"/>
      <c r="G133" s="153"/>
      <c r="H133" s="153"/>
      <c r="I133" s="587"/>
      <c r="J133" s="125"/>
      <c r="K133" s="153"/>
      <c r="L133" s="153"/>
      <c r="M133" s="587"/>
      <c r="N133" s="125"/>
      <c r="O133" s="153"/>
      <c r="P133" s="153"/>
      <c r="Q133" s="587"/>
      <c r="R133" s="125"/>
      <c r="S133" s="153"/>
      <c r="T133" s="153"/>
      <c r="U133" s="587"/>
      <c r="V133" s="125"/>
      <c r="W133" s="153"/>
      <c r="X133" s="153"/>
      <c r="Y133" s="587"/>
      <c r="Z133" s="587"/>
    </row>
    <row r="134" spans="1:26" ht="28.25" customHeight="1" x14ac:dyDescent="0.15">
      <c r="A134" s="87" t="str">
        <f>Interview!A197</f>
        <v>O-IM-B-1-1</v>
      </c>
      <c r="B134" s="607" t="str">
        <f>INDEX('imp-questions'!D:D, MATCH(A134, 'imp-questions'!A:A, 0))</f>
        <v>Incident Response</v>
      </c>
      <c r="C134" s="252">
        <f>INDEX('imp-questions'!E:E, MATCH(A134, 'imp-questions'!A:A, 0))</f>
        <v>1</v>
      </c>
      <c r="D134" s="300" t="str">
        <f>INDEX('imp-questions'!F:F, MATCH(A134, 'imp-questions'!A:A, 0))</f>
        <v>Do you respond to detected incidents?</v>
      </c>
      <c r="E134" s="329" t="str">
        <f>CHAR(65+INDEX('imp-questions'!H:H, MATCH(A134, 'imp-questions'!A:A, 0)))</f>
        <v>H</v>
      </c>
      <c r="F134" s="287" t="str">
        <f>IF(ISBLANK(Interview!F197),"",Interview!F197)</f>
        <v/>
      </c>
      <c r="G134" s="343">
        <f ca="1">IFERROR(INDEX(INDIRECT("Ans" &amp; E134 &amp; "TBL"), MATCH(F134, INDEX(INDIRECT("Ans" &amp; E134 &amp; "TBL"), 0, 1), 0), 2), 0)</f>
        <v>0</v>
      </c>
      <c r="H134" s="342"/>
      <c r="I134" s="587"/>
      <c r="J134" s="287" t="str">
        <f>F134</f>
        <v/>
      </c>
      <c r="K134" s="343">
        <f ca="1">IFERROR(INDEX(INDIRECT("Ans" &amp; E134 &amp; "TBL"), MATCH(J134, INDEX(INDIRECT("Ans" &amp; E134 &amp; "TBL"), 0, 1), 0), 2), 0)</f>
        <v>0</v>
      </c>
      <c r="L134" s="342"/>
      <c r="M134" s="587"/>
      <c r="N134" s="287" t="str">
        <f>J134</f>
        <v/>
      </c>
      <c r="O134" s="341">
        <f ca="1">IFERROR(INDEX(INDIRECT("Ans" &amp; E134 &amp; "TBL"), MATCH(N134, INDEX(INDIRECT("Ans" &amp; E134 &amp; "TBL"), 0, 1), 0), 2), 0)</f>
        <v>0</v>
      </c>
      <c r="P134" s="342"/>
      <c r="Q134" s="587"/>
      <c r="R134" s="287" t="str">
        <f>N134</f>
        <v/>
      </c>
      <c r="S134" s="135">
        <f ca="1">IFERROR(INDEX(INDIRECT("Ans" &amp; E134 &amp; "TBL"), MATCH(R134, INDEX(INDIRECT("Ans" &amp; E134 &amp; "TBL"), 0, 1), 0), 2), 0)</f>
        <v>0</v>
      </c>
      <c r="T134" s="326"/>
      <c r="U134" s="587"/>
      <c r="V134" s="287" t="str">
        <f>R134</f>
        <v/>
      </c>
      <c r="W134" s="343">
        <f ca="1">IFERROR(INDEX(INDIRECT("Ans" &amp; E134 &amp; "TBL"), MATCH(V134, INDEX(INDIRECT("Ans" &amp; E134 &amp; "TBL"), 0, 1), 0), 2), 0)</f>
        <v>0</v>
      </c>
      <c r="X134" s="342"/>
      <c r="Y134" s="587"/>
      <c r="Z134" s="587"/>
    </row>
    <row r="135" spans="1:26" ht="28.25" customHeight="1" x14ac:dyDescent="0.15">
      <c r="A135" s="87" t="str">
        <f>Interview!A199</f>
        <v>O-IM-B-2-1</v>
      </c>
      <c r="B135" s="577"/>
      <c r="C135" s="252">
        <f>INDEX('imp-questions'!E:E, MATCH(A135, 'imp-questions'!A:A, 0))</f>
        <v>2</v>
      </c>
      <c r="D135" s="300" t="str">
        <f>INDEX('imp-questions'!F:F, MATCH(A135, 'imp-questions'!A:A, 0))</f>
        <v>Do you use a repeatable process for incident handling?</v>
      </c>
      <c r="E135" s="329" t="str">
        <f>CHAR(65+INDEX('imp-questions'!H:H, MATCH(A135, 'imp-questions'!A:A, 0)))</f>
        <v>I</v>
      </c>
      <c r="F135" s="297" t="str">
        <f>IF(ISBLANK(Interview!F199),"",Interview!F199)</f>
        <v/>
      </c>
      <c r="G135" s="346">
        <f ca="1">IFERROR(INDEX(INDIRECT("Ans" &amp; E135 &amp; "TBL"), MATCH(F135, INDEX(INDIRECT("Ans" &amp; E135 &amp; "TBL"), 0, 1), 0), 2), 0)</f>
        <v>0</v>
      </c>
      <c r="H135" s="345"/>
      <c r="I135" s="587"/>
      <c r="J135" s="287" t="str">
        <f>F135</f>
        <v/>
      </c>
      <c r="K135" s="346">
        <f ca="1">IFERROR(INDEX(INDIRECT("Ans" &amp; E135 &amp; "TBL"), MATCH(J135, INDEX(INDIRECT("Ans" &amp; E135 &amp; "TBL"), 0, 1), 0), 2), 0)</f>
        <v>0</v>
      </c>
      <c r="L135" s="345"/>
      <c r="M135" s="587"/>
      <c r="N135" s="287" t="str">
        <f>J135</f>
        <v/>
      </c>
      <c r="O135" s="344">
        <f ca="1">IFERROR(INDEX(INDIRECT("Ans" &amp; E135 &amp; "TBL"), MATCH(N135, INDEX(INDIRECT("Ans" &amp; E135 &amp; "TBL"), 0, 1), 0), 2), 0)</f>
        <v>0</v>
      </c>
      <c r="P135" s="345"/>
      <c r="Q135" s="587"/>
      <c r="R135" s="287" t="str">
        <f>N135</f>
        <v/>
      </c>
      <c r="S135" s="135">
        <f ca="1">IFERROR(INDEX(INDIRECT("Ans" &amp; E135 &amp; "TBL"), MATCH(R135, INDEX(INDIRECT("Ans" &amp; E135 &amp; "TBL"), 0, 1), 0), 2), 0)</f>
        <v>0</v>
      </c>
      <c r="T135" s="309"/>
      <c r="U135" s="587"/>
      <c r="V135" s="287" t="str">
        <f>R135</f>
        <v/>
      </c>
      <c r="W135" s="346">
        <f ca="1">IFERROR(INDEX(INDIRECT("Ans" &amp; E135 &amp; "TBL"), MATCH(V135, INDEX(INDIRECT("Ans" &amp; E135 &amp; "TBL"), 0, 1), 0), 2), 0)</f>
        <v>0</v>
      </c>
      <c r="X135" s="345"/>
      <c r="Y135" s="587"/>
      <c r="Z135" s="587"/>
    </row>
    <row r="136" spans="1:26" ht="28.25" customHeight="1" x14ac:dyDescent="0.15">
      <c r="A136" s="87" t="str">
        <f>Interview!A201</f>
        <v>O-IM-B-3-1</v>
      </c>
      <c r="B136" s="577"/>
      <c r="C136" s="252">
        <f>INDEX('imp-questions'!E:E, MATCH(A136, 'imp-questions'!A:A, 0))</f>
        <v>3</v>
      </c>
      <c r="D136" s="296" t="str">
        <f>INDEX('imp-questions'!F:F, MATCH(A136, 'imp-questions'!A:A, 0))</f>
        <v>Do you have a dedicated incident response team available?</v>
      </c>
      <c r="E136" s="329" t="str">
        <f>CHAR(65+INDEX('imp-questions'!H:H, MATCH(A136, 'imp-questions'!A:A, 0)))</f>
        <v>E</v>
      </c>
      <c r="F136" s="297" t="str">
        <f>IF(ISBLANK(Interview!F201),"",Interview!F201)</f>
        <v/>
      </c>
      <c r="G136" s="349">
        <f ca="1">IFERROR(INDEX(INDIRECT("Ans" &amp; E136 &amp; "TBL"), MATCH(F136, INDEX(INDIRECT("Ans" &amp; E136 &amp; "TBL"), 0, 1), 0), 2), 0)</f>
        <v>0</v>
      </c>
      <c r="H136" s="348"/>
      <c r="I136" s="588"/>
      <c r="J136" s="287" t="str">
        <f>F136</f>
        <v/>
      </c>
      <c r="K136" s="349">
        <f ca="1">IFERROR(INDEX(INDIRECT("Ans" &amp; E136 &amp; "TBL"), MATCH(J136, INDEX(INDIRECT("Ans" &amp; E136 &amp; "TBL"), 0, 1), 0), 2), 0)</f>
        <v>0</v>
      </c>
      <c r="L136" s="348"/>
      <c r="M136" s="588"/>
      <c r="N136" s="287" t="str">
        <f>J136</f>
        <v/>
      </c>
      <c r="O136" s="347">
        <f ca="1">IFERROR(INDEX(INDIRECT("Ans" &amp; E136 &amp; "TBL"), MATCH(N136, INDEX(INDIRECT("Ans" &amp; E136 &amp; "TBL"), 0, 1), 0), 2), 0)</f>
        <v>0</v>
      </c>
      <c r="P136" s="348"/>
      <c r="Q136" s="588"/>
      <c r="R136" s="287" t="str">
        <f>N136</f>
        <v/>
      </c>
      <c r="S136" s="135">
        <f ca="1">IFERROR(INDEX(INDIRECT("Ans" &amp; E136 &amp; "TBL"), MATCH(R136, INDEX(INDIRECT("Ans" &amp; E136 &amp; "TBL"), 0, 1), 0), 2), 0)</f>
        <v>0</v>
      </c>
      <c r="T136" s="312"/>
      <c r="U136" s="588"/>
      <c r="V136" s="287" t="str">
        <f>R136</f>
        <v/>
      </c>
      <c r="W136" s="349">
        <f ca="1">IFERROR(INDEX(INDIRECT("Ans" &amp; E136 &amp; "TBL"), MATCH(V136, INDEX(INDIRECT("Ans" &amp; E136 &amp; "TBL"), 0, 1), 0), 2), 0)</f>
        <v>0</v>
      </c>
      <c r="X136" s="348"/>
      <c r="Y136" s="588"/>
      <c r="Z136" s="588"/>
    </row>
    <row r="137" spans="1:26" ht="13" customHeight="1" x14ac:dyDescent="0.15">
      <c r="B137" s="242"/>
      <c r="C137" s="236"/>
      <c r="D137" s="125"/>
      <c r="E137" s="125"/>
      <c r="F137" s="125"/>
      <c r="G137" s="125"/>
      <c r="H137" s="125"/>
      <c r="I137" s="125"/>
      <c r="J137" s="125"/>
      <c r="K137" s="125"/>
      <c r="L137" s="125"/>
      <c r="M137" s="125"/>
      <c r="N137" s="125"/>
      <c r="O137" s="125"/>
      <c r="P137" s="125"/>
      <c r="Q137" s="125"/>
      <c r="R137" s="125"/>
      <c r="S137" s="313"/>
      <c r="T137" s="125"/>
      <c r="U137" s="125"/>
      <c r="V137" s="125"/>
      <c r="W137" s="125"/>
      <c r="X137" s="125"/>
      <c r="Y137" s="125"/>
      <c r="Z137" s="125"/>
    </row>
    <row r="138" spans="1:26" ht="16.25" customHeight="1" x14ac:dyDescent="0.15">
      <c r="B138" s="250" t="s">
        <v>12</v>
      </c>
      <c r="C138" s="418" t="s">
        <v>13</v>
      </c>
      <c r="D138" s="253" t="s">
        <v>112</v>
      </c>
      <c r="E138" s="409"/>
      <c r="F138" s="410" t="s">
        <v>15</v>
      </c>
      <c r="G138" s="411"/>
      <c r="H138" s="412"/>
      <c r="I138" s="408" t="s">
        <v>17</v>
      </c>
      <c r="J138" s="410" t="s">
        <v>15</v>
      </c>
      <c r="K138" s="411"/>
      <c r="L138" s="412"/>
      <c r="M138" s="408" t="s">
        <v>17</v>
      </c>
      <c r="N138" s="410" t="s">
        <v>15</v>
      </c>
      <c r="O138" s="411"/>
      <c r="P138" s="412"/>
      <c r="Q138" s="408" t="s">
        <v>17</v>
      </c>
      <c r="R138" s="410" t="s">
        <v>15</v>
      </c>
      <c r="S138" s="411"/>
      <c r="T138" s="412"/>
      <c r="U138" s="408" t="s">
        <v>17</v>
      </c>
      <c r="V138" s="410" t="s">
        <v>15</v>
      </c>
      <c r="W138" s="411"/>
      <c r="X138" s="412"/>
      <c r="Y138" s="408" t="s">
        <v>17</v>
      </c>
      <c r="Z138" s="408" t="s">
        <v>253</v>
      </c>
    </row>
    <row r="139" spans="1:26" ht="28.25" customHeight="1" x14ac:dyDescent="0.15">
      <c r="A139" s="87" t="str">
        <f>Interview!A204</f>
        <v>O-EM-A-1-1</v>
      </c>
      <c r="B139" s="616" t="str">
        <f>INDEX('imp-questions'!D:D, MATCH(A139, 'imp-questions'!A:A, 0))</f>
        <v>Configuration Hardening</v>
      </c>
      <c r="C139" s="252">
        <f>INDEX('imp-questions'!E:E, MATCH(A139, 'imp-questions'!A:A, 0))</f>
        <v>1</v>
      </c>
      <c r="D139" s="300" t="str">
        <f>INDEX('imp-questions'!F:F, MATCH(A139, 'imp-questions'!A:A, 0))</f>
        <v>Do you harden configurations for key components of your technology stacks?</v>
      </c>
      <c r="E139" s="329" t="str">
        <f>CHAR(65+INDEX('imp-questions'!H:H, MATCH(A139, 'imp-questions'!A:A, 0)))</f>
        <v>G</v>
      </c>
      <c r="F139" s="287" t="str">
        <f>IF(ISBLANK(Interview!F204),"",Interview!F204)</f>
        <v/>
      </c>
      <c r="G139" s="343">
        <f ca="1">IFERROR(INDEX(INDIRECT("Ans" &amp; E139 &amp; "TBL"), MATCH(F139, INDEX(INDIRECT("Ans" &amp; E139 &amp; "TBL"), 0, 1), 0), 2), 0)</f>
        <v>0</v>
      </c>
      <c r="H139" s="358">
        <f ca="1">IFERROR(AVERAGE(G139,G143),0)</f>
        <v>0</v>
      </c>
      <c r="I139" s="612">
        <f ca="1">SUM(H139:H141)</f>
        <v>0</v>
      </c>
      <c r="J139" s="287" t="str">
        <f>F139</f>
        <v/>
      </c>
      <c r="K139" s="343">
        <f ca="1">IFERROR(INDEX(INDIRECT("Ans" &amp; E139 &amp; "TBL"), MATCH(J139, INDEX(INDIRECT("Ans" &amp; E139 &amp; "TBL"), 0, 1), 0), 2), 0)</f>
        <v>0</v>
      </c>
      <c r="L139" s="358">
        <f ca="1">IFERROR(AVERAGE(K139,K143),0)</f>
        <v>0</v>
      </c>
      <c r="M139" s="612">
        <f ca="1">SUM(L139:L141)</f>
        <v>0</v>
      </c>
      <c r="N139" s="287" t="str">
        <f>J139</f>
        <v/>
      </c>
      <c r="O139" s="341">
        <f ca="1">IFERROR(INDEX(INDIRECT("Ans" &amp; E139 &amp; "TBL"), MATCH(N139, INDEX(INDIRECT("Ans" &amp; E139 &amp; "TBL"), 0, 1), 0), 2), 0)</f>
        <v>0</v>
      </c>
      <c r="P139" s="358">
        <f ca="1">IFERROR(AVERAGE(O139,O143),0)</f>
        <v>0</v>
      </c>
      <c r="Q139" s="612">
        <f ca="1">SUM(P139:P141)</f>
        <v>0</v>
      </c>
      <c r="R139" s="287" t="str">
        <f>N139</f>
        <v/>
      </c>
      <c r="S139" s="135">
        <f ca="1">IFERROR(INDEX(INDIRECT("Ans" &amp; E139 &amp; "TBL"), MATCH(R139, INDEX(INDIRECT("Ans" &amp; E139 &amp; "TBL"), 0, 1), 0), 2), 0)</f>
        <v>0</v>
      </c>
      <c r="T139" s="359">
        <f ca="1">IFERROR(AVERAGE(S139,S143),0)</f>
        <v>0</v>
      </c>
      <c r="U139" s="612">
        <f ca="1">SUM(T139:T141)</f>
        <v>0</v>
      </c>
      <c r="V139" s="287" t="str">
        <f>R139</f>
        <v/>
      </c>
      <c r="W139" s="343">
        <f ca="1">IFERROR(INDEX(INDIRECT("Ans" &amp; E139 &amp; "TBL"), MATCH(V139, INDEX(INDIRECT("Ans" &amp; E139 &amp; "TBL"), 0, 1), 0), 2), 0)</f>
        <v>0</v>
      </c>
      <c r="X139" s="358">
        <f ca="1">IFERROR(AVERAGE(W139,W143),0)</f>
        <v>0</v>
      </c>
      <c r="Y139" s="612">
        <f ca="1">SUM(X139:X141)</f>
        <v>0</v>
      </c>
      <c r="Z139" s="612">
        <f ca="1">IFERROR(Y139-I139,Y139-LEFT(I139,1))</f>
        <v>0</v>
      </c>
    </row>
    <row r="140" spans="1:26" ht="28.25" customHeight="1" x14ac:dyDescent="0.15">
      <c r="A140" s="87" t="str">
        <f>Interview!A206</f>
        <v>O-EM-A-2-1</v>
      </c>
      <c r="B140" s="577"/>
      <c r="C140" s="252">
        <f>INDEX('imp-questions'!E:E, MATCH(A140, 'imp-questions'!A:A, 0))</f>
        <v>2</v>
      </c>
      <c r="D140" s="300" t="str">
        <f>INDEX('imp-questions'!F:F, MATCH(A140, 'imp-questions'!A:A, 0))</f>
        <v>Do you have hardening baselines for your components?</v>
      </c>
      <c r="E140" s="329" t="str">
        <f>CHAR(65+INDEX('imp-questions'!H:H, MATCH(A140, 'imp-questions'!A:A, 0)))</f>
        <v>G</v>
      </c>
      <c r="F140" s="88" t="str">
        <f>IF(ISBLANK(Interview!F206),"",Interview!F206)</f>
        <v/>
      </c>
      <c r="G140" s="346">
        <f ca="1">IFERROR(INDEX(INDIRECT("Ans" &amp; E140 &amp; "TBL"), MATCH(F140, INDEX(INDIRECT("Ans" &amp; E140 &amp; "TBL"), 0, 1), 0), 2), 0)</f>
        <v>0</v>
      </c>
      <c r="H140" s="360">
        <f ca="1">IFERROR(AVERAGE(G140,G144),0)</f>
        <v>0</v>
      </c>
      <c r="I140" s="587"/>
      <c r="J140" s="287" t="str">
        <f>F140</f>
        <v/>
      </c>
      <c r="K140" s="346">
        <f ca="1">IFERROR(INDEX(INDIRECT("Ans" &amp; E140 &amp; "TBL"), MATCH(J140, INDEX(INDIRECT("Ans" &amp; E140 &amp; "TBL"), 0, 1), 0), 2), 0)</f>
        <v>0</v>
      </c>
      <c r="L140" s="360">
        <f ca="1">IFERROR(AVERAGE(K140,K144),0)</f>
        <v>0</v>
      </c>
      <c r="M140" s="587"/>
      <c r="N140" s="287" t="str">
        <f>J140</f>
        <v/>
      </c>
      <c r="O140" s="344">
        <f ca="1">IFERROR(INDEX(INDIRECT("Ans" &amp; E140 &amp; "TBL"), MATCH(N140, INDEX(INDIRECT("Ans" &amp; E140 &amp; "TBL"), 0, 1), 0), 2), 0)</f>
        <v>0</v>
      </c>
      <c r="P140" s="360">
        <f ca="1">IFERROR(AVERAGE(O140,O144),0)</f>
        <v>0</v>
      </c>
      <c r="Q140" s="587"/>
      <c r="R140" s="287" t="str">
        <f>N140</f>
        <v/>
      </c>
      <c r="S140" s="135">
        <f ca="1">IFERROR(INDEX(INDIRECT("Ans" &amp; E140 &amp; "TBL"), MATCH(R140, INDEX(INDIRECT("Ans" &amp; E140 &amp; "TBL"), 0, 1), 0), 2), 0)</f>
        <v>0</v>
      </c>
      <c r="T140" s="361">
        <f ca="1">IFERROR(AVERAGE(S140,S144),0)</f>
        <v>0</v>
      </c>
      <c r="U140" s="587"/>
      <c r="V140" s="287" t="str">
        <f>R140</f>
        <v/>
      </c>
      <c r="W140" s="346">
        <f ca="1">IFERROR(INDEX(INDIRECT("Ans" &amp; E140 &amp; "TBL"), MATCH(V140, INDEX(INDIRECT("Ans" &amp; E140 &amp; "TBL"), 0, 1), 0), 2), 0)</f>
        <v>0</v>
      </c>
      <c r="X140" s="360">
        <f ca="1">IFERROR(AVERAGE(W140,W144),0)</f>
        <v>0</v>
      </c>
      <c r="Y140" s="587"/>
      <c r="Z140" s="587"/>
    </row>
    <row r="141" spans="1:26" ht="28.25" customHeight="1" x14ac:dyDescent="0.15">
      <c r="A141" s="87" t="str">
        <f>Interview!A208</f>
        <v>O-EM-A-3-1</v>
      </c>
      <c r="B141" s="596"/>
      <c r="C141" s="252">
        <f>INDEX('imp-questions'!E:E, MATCH(A141, 'imp-questions'!A:A, 0))</f>
        <v>3</v>
      </c>
      <c r="D141" s="296" t="str">
        <f>INDEX('imp-questions'!F:F, MATCH(A141, 'imp-questions'!A:A, 0))</f>
        <v>Do you monitor and enforce conformity with hardening baselines?</v>
      </c>
      <c r="E141" s="329" t="str">
        <f>CHAR(65+INDEX('imp-questions'!H:H, MATCH(A141, 'imp-questions'!A:A, 0)))</f>
        <v>G</v>
      </c>
      <c r="F141" s="287" t="str">
        <f>IF(ISBLANK(Interview!F208),"",Interview!F208)</f>
        <v/>
      </c>
      <c r="G141" s="349">
        <f ca="1">IFERROR(INDEX(INDIRECT("Ans" &amp; E141 &amp; "TBL"), MATCH(F141, INDEX(INDIRECT("Ans" &amp; E141 &amp; "TBL"), 0, 1), 0), 2), 0)</f>
        <v>0</v>
      </c>
      <c r="H141" s="364">
        <f ca="1">IFERROR(AVERAGE(G141,G145),0)</f>
        <v>0</v>
      </c>
      <c r="I141" s="587"/>
      <c r="J141" s="287" t="str">
        <f>F141</f>
        <v/>
      </c>
      <c r="K141" s="349">
        <f ca="1">IFERROR(INDEX(INDIRECT("Ans" &amp; E141 &amp; "TBL"), MATCH(J141, INDEX(INDIRECT("Ans" &amp; E141 &amp; "TBL"), 0, 1), 0), 2), 0)</f>
        <v>0</v>
      </c>
      <c r="L141" s="364">
        <f ca="1">IFERROR(AVERAGE(K141,K145),0)</f>
        <v>0</v>
      </c>
      <c r="M141" s="587"/>
      <c r="N141" s="287" t="str">
        <f>J141</f>
        <v/>
      </c>
      <c r="O141" s="347">
        <f ca="1">IFERROR(INDEX(INDIRECT("Ans" &amp; E141 &amp; "TBL"), MATCH(N141, INDEX(INDIRECT("Ans" &amp; E141 &amp; "TBL"), 0, 1), 0), 2), 0)</f>
        <v>0</v>
      </c>
      <c r="P141" s="364">
        <f ca="1">IFERROR(AVERAGE(O141,O145),0)</f>
        <v>0</v>
      </c>
      <c r="Q141" s="587"/>
      <c r="R141" s="287" t="str">
        <f>N141</f>
        <v/>
      </c>
      <c r="S141" s="135">
        <f ca="1">IFERROR(INDEX(INDIRECT("Ans" &amp; E141 &amp; "TBL"), MATCH(R141, INDEX(INDIRECT("Ans" &amp; E141 &amp; "TBL"), 0, 1), 0), 2), 0)</f>
        <v>0</v>
      </c>
      <c r="T141" s="365">
        <f ca="1">IFERROR(AVERAGE(S141,S145),0)</f>
        <v>0</v>
      </c>
      <c r="U141" s="587"/>
      <c r="V141" s="287" t="str">
        <f>R141</f>
        <v/>
      </c>
      <c r="W141" s="349">
        <f ca="1">IFERROR(INDEX(INDIRECT("Ans" &amp; E141 &amp; "TBL"), MATCH(V141, INDEX(INDIRECT("Ans" &amp; E141 &amp; "TBL"), 0, 1), 0), 2), 0)</f>
        <v>0</v>
      </c>
      <c r="X141" s="364">
        <f ca="1">IFERROR(AVERAGE(W141,W145),0)</f>
        <v>0</v>
      </c>
      <c r="Y141" s="587"/>
      <c r="Z141" s="587"/>
    </row>
    <row r="142" spans="1:26" ht="13" customHeight="1" x14ac:dyDescent="0.15">
      <c r="B142" s="242"/>
      <c r="C142" s="236"/>
      <c r="D142" s="125"/>
      <c r="E142" s="153"/>
      <c r="F142" s="125"/>
      <c r="G142" s="153"/>
      <c r="H142" s="153"/>
      <c r="I142" s="587"/>
      <c r="J142" s="125"/>
      <c r="K142" s="153"/>
      <c r="L142" s="153"/>
      <c r="M142" s="587"/>
      <c r="N142" s="125"/>
      <c r="O142" s="153"/>
      <c r="P142" s="153"/>
      <c r="Q142" s="587"/>
      <c r="R142" s="125"/>
      <c r="S142" s="153"/>
      <c r="T142" s="153"/>
      <c r="U142" s="587"/>
      <c r="V142" s="125"/>
      <c r="W142" s="153"/>
      <c r="X142" s="153"/>
      <c r="Y142" s="587"/>
      <c r="Z142" s="587"/>
    </row>
    <row r="143" spans="1:26" ht="28.25" customHeight="1" x14ac:dyDescent="0.15">
      <c r="A143" s="87" t="str">
        <f>Interview!A211</f>
        <v>O-EM-B-1-1</v>
      </c>
      <c r="B143" s="607" t="str">
        <f>INDEX('imp-questions'!D:D, MATCH(A143, 'imp-questions'!A:A, 0))</f>
        <v>Patching and Updating</v>
      </c>
      <c r="C143" s="252">
        <f>INDEX('imp-questions'!E:E, MATCH(A143, 'imp-questions'!A:A, 0))</f>
        <v>1</v>
      </c>
      <c r="D143" s="300" t="str">
        <f>INDEX('imp-questions'!F:F, MATCH(A143, 'imp-questions'!A:A, 0))</f>
        <v>Do you identify and patch vulnerable components?</v>
      </c>
      <c r="E143" s="329" t="str">
        <f>CHAR(65+INDEX('imp-questions'!H:H, MATCH(A143, 'imp-questions'!A:A, 0)))</f>
        <v>G</v>
      </c>
      <c r="F143" s="287" t="str">
        <f>IF(ISBLANK(Interview!F211),"",Interview!F211)</f>
        <v/>
      </c>
      <c r="G143" s="343">
        <f ca="1">IFERROR(INDEX(INDIRECT("Ans" &amp; E143 &amp; "TBL"), MATCH(F143, INDEX(INDIRECT("Ans" &amp; E143 &amp; "TBL"), 0, 1), 0), 2), 0)</f>
        <v>0</v>
      </c>
      <c r="H143" s="342"/>
      <c r="I143" s="587"/>
      <c r="J143" s="287" t="str">
        <f>F143</f>
        <v/>
      </c>
      <c r="K143" s="343">
        <f ca="1">IFERROR(INDEX(INDIRECT("Ans" &amp; E143 &amp; "TBL"), MATCH(J143, INDEX(INDIRECT("Ans" &amp; E143 &amp; "TBL"), 0, 1), 0), 2), 0)</f>
        <v>0</v>
      </c>
      <c r="L143" s="342"/>
      <c r="M143" s="587"/>
      <c r="N143" s="287" t="str">
        <f>J143</f>
        <v/>
      </c>
      <c r="O143" s="343">
        <f ca="1">IFERROR(INDEX(INDIRECT("Ans" &amp; E143 &amp; "TBL"), MATCH(N143, INDEX(INDIRECT("Ans" &amp; E143 &amp; "TBL"), 0, 1), 0), 2), 0)</f>
        <v>0</v>
      </c>
      <c r="P143" s="342"/>
      <c r="Q143" s="587"/>
      <c r="R143" s="287" t="str">
        <f>N143</f>
        <v/>
      </c>
      <c r="S143" s="135">
        <f ca="1">IFERROR(INDEX(INDIRECT("Ans" &amp; E143 &amp; "TBL"), MATCH(R143, INDEX(INDIRECT("Ans" &amp; E143 &amp; "TBL"), 0, 1), 0), 2), 0)</f>
        <v>0</v>
      </c>
      <c r="T143" s="326"/>
      <c r="U143" s="587"/>
      <c r="V143" s="287" t="str">
        <f>R143</f>
        <v/>
      </c>
      <c r="W143" s="343">
        <f ca="1">IFERROR(INDEX(INDIRECT("Ans" &amp; E143 &amp; "TBL"), MATCH(V143, INDEX(INDIRECT("Ans" &amp; E143 &amp; "TBL"), 0, 1), 0), 2), 0)</f>
        <v>0</v>
      </c>
      <c r="X143" s="342"/>
      <c r="Y143" s="587"/>
      <c r="Z143" s="587"/>
    </row>
    <row r="144" spans="1:26" ht="28.25" customHeight="1" x14ac:dyDescent="0.15">
      <c r="A144" s="87" t="str">
        <f>Interview!A213</f>
        <v>O-EM-B-2-1</v>
      </c>
      <c r="B144" s="577"/>
      <c r="C144" s="252">
        <f>INDEX('imp-questions'!E:E, MATCH(A144, 'imp-questions'!A:A, 0))</f>
        <v>2</v>
      </c>
      <c r="D144" s="300" t="str">
        <f>INDEX('imp-questions'!F:F, MATCH(A144, 'imp-questions'!A:A, 0))</f>
        <v>Do you follow an established process for updating components of your technology stacks?</v>
      </c>
      <c r="E144" s="329" t="str">
        <f>CHAR(65+INDEX('imp-questions'!H:H, MATCH(A144, 'imp-questions'!A:A, 0)))</f>
        <v>G</v>
      </c>
      <c r="F144" s="297" t="str">
        <f>IF(ISBLANK(Interview!F213),"",Interview!F213)</f>
        <v/>
      </c>
      <c r="G144" s="346">
        <f ca="1">IFERROR(INDEX(INDIRECT("Ans" &amp; E144 &amp; "TBL"), MATCH(F144, INDEX(INDIRECT("Ans" &amp; E144 &amp; "TBL"), 0, 1), 0), 2), 0)</f>
        <v>0</v>
      </c>
      <c r="H144" s="345"/>
      <c r="I144" s="587"/>
      <c r="J144" s="287" t="str">
        <f>F144</f>
        <v/>
      </c>
      <c r="K144" s="346">
        <f ca="1">IFERROR(INDEX(INDIRECT("Ans" &amp; E144 &amp; "TBL"), MATCH(J144, INDEX(INDIRECT("Ans" &amp; E144 &amp; "TBL"), 0, 1), 0), 2), 0)</f>
        <v>0</v>
      </c>
      <c r="L144" s="345"/>
      <c r="M144" s="587"/>
      <c r="N144" s="287" t="str">
        <f>J144</f>
        <v/>
      </c>
      <c r="O144" s="346">
        <f ca="1">IFERROR(INDEX(INDIRECT("Ans" &amp; E144 &amp; "TBL"), MATCH(N144, INDEX(INDIRECT("Ans" &amp; E144 &amp; "TBL"), 0, 1), 0), 2), 0)</f>
        <v>0</v>
      </c>
      <c r="P144" s="345"/>
      <c r="Q144" s="587"/>
      <c r="R144" s="287" t="str">
        <f>N144</f>
        <v/>
      </c>
      <c r="S144" s="135">
        <f ca="1">IFERROR(INDEX(INDIRECT("Ans" &amp; E144 &amp; "TBL"), MATCH(R144, INDEX(INDIRECT("Ans" &amp; E144 &amp; "TBL"), 0, 1), 0), 2), 0)</f>
        <v>0</v>
      </c>
      <c r="T144" s="309"/>
      <c r="U144" s="587"/>
      <c r="V144" s="287" t="str">
        <f>R144</f>
        <v/>
      </c>
      <c r="W144" s="346">
        <f ca="1">IFERROR(INDEX(INDIRECT("Ans" &amp; E144 &amp; "TBL"), MATCH(V144, INDEX(INDIRECT("Ans" &amp; E144 &amp; "TBL"), 0, 1), 0), 2), 0)</f>
        <v>0</v>
      </c>
      <c r="X144" s="345"/>
      <c r="Y144" s="587"/>
      <c r="Z144" s="587"/>
    </row>
    <row r="145" spans="1:26" ht="28.25" customHeight="1" x14ac:dyDescent="0.15">
      <c r="A145" s="87" t="str">
        <f>Interview!A215</f>
        <v>O-EM-B-3-1</v>
      </c>
      <c r="B145" s="577"/>
      <c r="C145" s="252">
        <f>INDEX('imp-questions'!E:E, MATCH(A145, 'imp-questions'!A:A, 0))</f>
        <v>3</v>
      </c>
      <c r="D145" s="296" t="str">
        <f>INDEX('imp-questions'!F:F, MATCH(A145, 'imp-questions'!A:A, 0))</f>
        <v>Do you regularly evaluate components and review patch level status?</v>
      </c>
      <c r="E145" s="329" t="str">
        <f>CHAR(65+INDEX('imp-questions'!H:H, MATCH(A145, 'imp-questions'!A:A, 0)))</f>
        <v>G</v>
      </c>
      <c r="F145" s="297" t="str">
        <f>IF(ISBLANK(Interview!F215),"",Interview!F215)</f>
        <v/>
      </c>
      <c r="G145" s="349">
        <f ca="1">IFERROR(INDEX(INDIRECT("Ans" &amp; E145 &amp; "TBL"), MATCH(F145, INDEX(INDIRECT("Ans" &amp; E145 &amp; "TBL"), 0, 1), 0), 2), 0)</f>
        <v>0</v>
      </c>
      <c r="H145" s="348"/>
      <c r="I145" s="588"/>
      <c r="J145" s="287" t="str">
        <f>F145</f>
        <v/>
      </c>
      <c r="K145" s="349">
        <f ca="1">IFERROR(INDEX(INDIRECT("Ans" &amp; E145 &amp; "TBL"), MATCH(J145, INDEX(INDIRECT("Ans" &amp; E145 &amp; "TBL"), 0, 1), 0), 2), 0)</f>
        <v>0</v>
      </c>
      <c r="L145" s="348"/>
      <c r="M145" s="588"/>
      <c r="N145" s="287" t="str">
        <f>J145</f>
        <v/>
      </c>
      <c r="O145" s="349">
        <f ca="1">IFERROR(INDEX(INDIRECT("Ans" &amp; E145 &amp; "TBL"), MATCH(N145, INDEX(INDIRECT("Ans" &amp; E145 &amp; "TBL"), 0, 1), 0), 2), 0)</f>
        <v>0</v>
      </c>
      <c r="P145" s="348"/>
      <c r="Q145" s="588"/>
      <c r="R145" s="287" t="str">
        <f>N145</f>
        <v/>
      </c>
      <c r="S145" s="135">
        <f ca="1">IFERROR(INDEX(INDIRECT("Ans" &amp; E145 &amp; "TBL"), MATCH(R145, INDEX(INDIRECT("Ans" &amp; E145 &amp; "TBL"), 0, 1), 0), 2), 0)</f>
        <v>0</v>
      </c>
      <c r="T145" s="312"/>
      <c r="U145" s="588"/>
      <c r="V145" s="287" t="str">
        <f>R145</f>
        <v/>
      </c>
      <c r="W145" s="349">
        <f ca="1">IFERROR(INDEX(INDIRECT("Ans" &amp; E145 &amp; "TBL"), MATCH(V145, INDEX(INDIRECT("Ans" &amp; E145 &amp; "TBL"), 0, 1), 0), 2), 0)</f>
        <v>0</v>
      </c>
      <c r="X145" s="348"/>
      <c r="Y145" s="588"/>
      <c r="Z145" s="588"/>
    </row>
    <row r="146" spans="1:26" ht="13" customHeight="1" x14ac:dyDescent="0.15">
      <c r="B146" s="242"/>
      <c r="C146" s="236"/>
      <c r="D146" s="125"/>
      <c r="E146" s="125"/>
      <c r="F146" s="125"/>
      <c r="G146" s="125"/>
      <c r="H146" s="125"/>
      <c r="I146" s="125"/>
      <c r="J146" s="125"/>
      <c r="K146" s="125"/>
      <c r="L146" s="125"/>
      <c r="M146" s="125"/>
      <c r="N146" s="125"/>
      <c r="O146" s="376"/>
      <c r="P146" s="376"/>
      <c r="Q146" s="125"/>
      <c r="R146" s="125"/>
      <c r="S146" s="313"/>
      <c r="T146" s="125"/>
      <c r="U146" s="125"/>
      <c r="V146" s="125"/>
      <c r="W146" s="125"/>
      <c r="X146" s="125"/>
      <c r="Y146" s="125"/>
      <c r="Z146" s="125"/>
    </row>
    <row r="147" spans="1:26" ht="16.25" customHeight="1" x14ac:dyDescent="0.15">
      <c r="B147" s="250" t="s">
        <v>12</v>
      </c>
      <c r="C147" s="418" t="s">
        <v>13</v>
      </c>
      <c r="D147" s="253" t="s">
        <v>119</v>
      </c>
      <c r="E147" s="409"/>
      <c r="F147" s="410" t="s">
        <v>15</v>
      </c>
      <c r="G147" s="411"/>
      <c r="H147" s="412"/>
      <c r="I147" s="408" t="s">
        <v>17</v>
      </c>
      <c r="J147" s="410" t="s">
        <v>15</v>
      </c>
      <c r="K147" s="411"/>
      <c r="L147" s="412"/>
      <c r="M147" s="408" t="s">
        <v>17</v>
      </c>
      <c r="N147" s="410" t="s">
        <v>15</v>
      </c>
      <c r="O147" s="411"/>
      <c r="P147" s="412"/>
      <c r="Q147" s="408" t="s">
        <v>17</v>
      </c>
      <c r="R147" s="410" t="s">
        <v>15</v>
      </c>
      <c r="S147" s="410"/>
      <c r="T147" s="413"/>
      <c r="U147" s="408" t="s">
        <v>17</v>
      </c>
      <c r="V147" s="410" t="s">
        <v>15</v>
      </c>
      <c r="W147" s="411"/>
      <c r="X147" s="412"/>
      <c r="Y147" s="408" t="s">
        <v>17</v>
      </c>
      <c r="Z147" s="408" t="s">
        <v>253</v>
      </c>
    </row>
    <row r="148" spans="1:26" ht="28.25" customHeight="1" x14ac:dyDescent="0.15">
      <c r="A148" s="87" t="str">
        <f>Interview!A218</f>
        <v>O-OM-A-1-1</v>
      </c>
      <c r="B148" s="616" t="str">
        <f>INDEX('imp-questions'!D:D, MATCH(A148, 'imp-questions'!A:A, 0))</f>
        <v>Data Protection</v>
      </c>
      <c r="C148" s="252">
        <f>INDEX('imp-questions'!E:E, MATCH(A148, 'imp-questions'!A:A, 0))</f>
        <v>1</v>
      </c>
      <c r="D148" s="300" t="str">
        <f>INDEX('imp-questions'!F:F, MATCH(A148, 'imp-questions'!A:A, 0))</f>
        <v>Do you protect and handle information according to protection requirements for data stored and processed on each application?</v>
      </c>
      <c r="E148" s="329" t="str">
        <f>CHAR(65+INDEX('imp-questions'!H:H, MATCH(A148, 'imp-questions'!A:A, 0)))</f>
        <v>A</v>
      </c>
      <c r="F148" s="287" t="str">
        <f>IF(ISBLANK(Interview!F218),"",Interview!F218)</f>
        <v/>
      </c>
      <c r="G148" s="343">
        <f ca="1">IFERROR(INDEX(INDIRECT("Ans" &amp; E148 &amp; "TBL"), MATCH(F148, INDEX(INDIRECT("Ans" &amp; E148 &amp; "TBL"), 0, 1), 0), 2), 0)</f>
        <v>0</v>
      </c>
      <c r="H148" s="358">
        <f ca="1">IFERROR(AVERAGE(G148,G152),0)</f>
        <v>0</v>
      </c>
      <c r="I148" s="620">
        <f ca="1">SUM(H148:H150)</f>
        <v>0</v>
      </c>
      <c r="J148" s="287" t="str">
        <f>F148</f>
        <v/>
      </c>
      <c r="K148" s="343">
        <f ca="1">IFERROR(INDEX(INDIRECT("Ans" &amp; E148 &amp; "TBL"), MATCH(J148, INDEX(INDIRECT("Ans" &amp; E148 &amp; "TBL"), 0, 1), 0), 2), 0)</f>
        <v>0</v>
      </c>
      <c r="L148" s="358">
        <f ca="1">IFERROR(AVERAGE(K148,K152),0)</f>
        <v>0</v>
      </c>
      <c r="M148" s="620">
        <f ca="1">SUM(L148:L150)</f>
        <v>0</v>
      </c>
      <c r="N148" s="287" t="str">
        <f>J148</f>
        <v/>
      </c>
      <c r="O148" s="343">
        <f ca="1">IFERROR(INDEX(INDIRECT("Ans" &amp; E148 &amp; "TBL"), MATCH(N148, INDEX(INDIRECT("Ans" &amp; E148 &amp; "TBL"), 0, 1), 0), 2), 0)</f>
        <v>0</v>
      </c>
      <c r="P148" s="358">
        <f ca="1">IFERROR(AVERAGE(O148,O152),0)</f>
        <v>0</v>
      </c>
      <c r="Q148" s="620">
        <f ca="1">SUM(P148:P150)</f>
        <v>0</v>
      </c>
      <c r="R148" s="287" t="str">
        <f>N148</f>
        <v/>
      </c>
      <c r="S148" s="135">
        <f ca="1">IFERROR(INDEX(INDIRECT("Ans" &amp; E148 &amp; "TBL"), MATCH(R148, INDEX(INDIRECT("Ans" &amp; E148 &amp; "TBL"), 0, 1), 0), 2), 0)</f>
        <v>0</v>
      </c>
      <c r="T148" s="414">
        <f ca="1">IFERROR(AVERAGE(S148,S152),0)</f>
        <v>0</v>
      </c>
      <c r="U148" s="620">
        <f ca="1">SUM(T148:T150)</f>
        <v>0</v>
      </c>
      <c r="V148" s="287" t="str">
        <f>R148</f>
        <v/>
      </c>
      <c r="W148" s="343">
        <f ca="1">IFERROR(INDEX(INDIRECT("Ans" &amp; E148 &amp; "TBL"), MATCH(V148, INDEX(INDIRECT("Ans" &amp; E148 &amp; "TBL"), 0, 1), 0), 2), 0)</f>
        <v>0</v>
      </c>
      <c r="X148" s="358">
        <f ca="1">IFERROR(AVERAGE(W148,W152),0)</f>
        <v>0</v>
      </c>
      <c r="Y148" s="620">
        <f ca="1">SUM(X148:X150)</f>
        <v>0</v>
      </c>
      <c r="Z148" s="620">
        <f ca="1">IFERROR(Y148-I148,Y148-LEFT(I148,1))</f>
        <v>0</v>
      </c>
    </row>
    <row r="149" spans="1:26" ht="28.25" customHeight="1" x14ac:dyDescent="0.15">
      <c r="A149" s="87" t="str">
        <f>Interview!A220</f>
        <v>O-OM-A-2-1</v>
      </c>
      <c r="B149" s="577"/>
      <c r="C149" s="252">
        <f>INDEX('imp-questions'!E:E, MATCH(A149, 'imp-questions'!A:A, 0))</f>
        <v>2</v>
      </c>
      <c r="D149" s="300" t="str">
        <f>INDEX('imp-questions'!F:F, MATCH(A149, 'imp-questions'!A:A, 0))</f>
        <v>Do you maintain a data catalog, including types, sensitivity levels, and processing and storage locations?</v>
      </c>
      <c r="E149" s="329" t="str">
        <f>CHAR(65+INDEX('imp-questions'!H:H, MATCH(A149, 'imp-questions'!A:A, 0)))</f>
        <v>J</v>
      </c>
      <c r="F149" s="284" t="str">
        <f>IF(ISBLANK(Interview!F220),"",Interview!F220)</f>
        <v/>
      </c>
      <c r="G149" s="346">
        <f ca="1">IFERROR(INDEX(INDIRECT("Ans" &amp; E149 &amp; "TBL"), MATCH(F149, INDEX(INDIRECT("Ans" &amp; E149 &amp; "TBL"), 0, 1), 0), 2), 0)</f>
        <v>0</v>
      </c>
      <c r="H149" s="360">
        <f ca="1">IFERROR(AVERAGE(G149,G153),0)</f>
        <v>0</v>
      </c>
      <c r="I149" s="587"/>
      <c r="J149" s="287" t="str">
        <f>F149</f>
        <v/>
      </c>
      <c r="K149" s="346">
        <f ca="1">IFERROR(INDEX(INDIRECT("Ans" &amp; E149 &amp; "TBL"), MATCH(J149, INDEX(INDIRECT("Ans" &amp; E149 &amp; "TBL"), 0, 1), 0), 2), 0)</f>
        <v>0</v>
      </c>
      <c r="L149" s="360">
        <f ca="1">IFERROR(AVERAGE(K149,K153),0)</f>
        <v>0</v>
      </c>
      <c r="M149" s="587"/>
      <c r="N149" s="287" t="str">
        <f>J149</f>
        <v/>
      </c>
      <c r="O149" s="346">
        <f ca="1">IFERROR(INDEX(INDIRECT("Ans" &amp; E149 &amp; "TBL"), MATCH(N149, INDEX(INDIRECT("Ans" &amp; E149 &amp; "TBL"), 0, 1), 0), 2), 0)</f>
        <v>0</v>
      </c>
      <c r="P149" s="360">
        <f ca="1">IFERROR(AVERAGE(O149,O153),0)</f>
        <v>0</v>
      </c>
      <c r="Q149" s="587"/>
      <c r="R149" s="287" t="str">
        <f>N149</f>
        <v/>
      </c>
      <c r="S149" s="135">
        <f ca="1">IFERROR(INDEX(INDIRECT("Ans" &amp; E149 &amp; "TBL"), MATCH(R149, INDEX(INDIRECT("Ans" &amp; E149 &amp; "TBL"), 0, 1), 0), 2), 0)</f>
        <v>0</v>
      </c>
      <c r="T149" s="414">
        <f ca="1">IFERROR(AVERAGE(S149,S153),0)</f>
        <v>0</v>
      </c>
      <c r="U149" s="587"/>
      <c r="V149" s="287" t="str">
        <f>R149</f>
        <v/>
      </c>
      <c r="W149" s="346">
        <f ca="1">IFERROR(INDEX(INDIRECT("Ans" &amp; E149 &amp; "TBL"), MATCH(V149, INDEX(INDIRECT("Ans" &amp; E149 &amp; "TBL"), 0, 1), 0), 2), 0)</f>
        <v>0</v>
      </c>
      <c r="X149" s="360">
        <f ca="1">IFERROR(AVERAGE(W149,W153),0)</f>
        <v>0</v>
      </c>
      <c r="Y149" s="587"/>
      <c r="Z149" s="587"/>
    </row>
    <row r="150" spans="1:26" ht="28.25" customHeight="1" x14ac:dyDescent="0.15">
      <c r="A150" s="87" t="str">
        <f>Interview!A222</f>
        <v>O-OM-A-3-1</v>
      </c>
      <c r="B150" s="596"/>
      <c r="C150" s="252">
        <f>INDEX('imp-questions'!E:E, MATCH(A150, 'imp-questions'!A:A, 0))</f>
        <v>3</v>
      </c>
      <c r="D150" s="296" t="str">
        <f>INDEX('imp-questions'!F:F, MATCH(A150, 'imp-questions'!A:A, 0))</f>
        <v>Do you regularly review and update the data catalog and your data protection policies and procedures?</v>
      </c>
      <c r="E150" s="329" t="str">
        <f>CHAR(65+INDEX('imp-questions'!H:H, MATCH(A150, 'imp-questions'!A:A, 0)))</f>
        <v>K</v>
      </c>
      <c r="F150" s="297" t="str">
        <f>IF(ISBLANK(Interview!F222),"",Interview!F222)</f>
        <v/>
      </c>
      <c r="G150" s="349">
        <f ca="1">IFERROR(INDEX(INDIRECT("Ans" &amp; E150 &amp; "TBL"), MATCH(F150, INDEX(INDIRECT("Ans" &amp; E150 &amp; "TBL"), 0, 1), 0), 2), 0)</f>
        <v>0</v>
      </c>
      <c r="H150" s="364">
        <f ca="1">IFERROR(AVERAGE(G150,G154),0)</f>
        <v>0</v>
      </c>
      <c r="I150" s="587"/>
      <c r="J150" s="287" t="str">
        <f>F150</f>
        <v/>
      </c>
      <c r="K150" s="349">
        <f ca="1">IFERROR(INDEX(INDIRECT("Ans" &amp; E150 &amp; "TBL"), MATCH(J150, INDEX(INDIRECT("Ans" &amp; E150 &amp; "TBL"), 0, 1), 0), 2), 0)</f>
        <v>0</v>
      </c>
      <c r="L150" s="364">
        <f ca="1">IFERROR(AVERAGE(K150,K154),0)</f>
        <v>0</v>
      </c>
      <c r="M150" s="587"/>
      <c r="N150" s="287" t="str">
        <f>J150</f>
        <v/>
      </c>
      <c r="O150" s="349">
        <f ca="1">IFERROR(INDEX(INDIRECT("Ans" &amp; E150 &amp; "TBL"), MATCH(N150, INDEX(INDIRECT("Ans" &amp; E150 &amp; "TBL"), 0, 1), 0), 2), 0)</f>
        <v>0</v>
      </c>
      <c r="P150" s="364">
        <f ca="1">IFERROR(AVERAGE(O150,O154),0)</f>
        <v>0</v>
      </c>
      <c r="Q150" s="587"/>
      <c r="R150" s="287" t="str">
        <f>N150</f>
        <v/>
      </c>
      <c r="S150" s="135">
        <f ca="1">IFERROR(INDEX(INDIRECT("Ans" &amp; E150 &amp; "TBL"), MATCH(R150, INDEX(INDIRECT("Ans" &amp; E150 &amp; "TBL"), 0, 1), 0), 2), 0)</f>
        <v>0</v>
      </c>
      <c r="T150" s="414">
        <f ca="1">IFERROR(AVERAGE(S150,S154),0)</f>
        <v>0</v>
      </c>
      <c r="U150" s="587"/>
      <c r="V150" s="287" t="str">
        <f>R150</f>
        <v/>
      </c>
      <c r="W150" s="349">
        <f ca="1">IFERROR(INDEX(INDIRECT("Ans" &amp; E150 &amp; "TBL"), MATCH(V150, INDEX(INDIRECT("Ans" &amp; E150 &amp; "TBL"), 0, 1), 0), 2), 0)</f>
        <v>0</v>
      </c>
      <c r="X150" s="364">
        <f ca="1">IFERROR(AVERAGE(W150,W154),0)</f>
        <v>0</v>
      </c>
      <c r="Y150" s="587"/>
      <c r="Z150" s="587"/>
    </row>
    <row r="151" spans="1:26" ht="13" customHeight="1" x14ac:dyDescent="0.15">
      <c r="B151" s="242"/>
      <c r="C151" s="236"/>
      <c r="D151" s="125"/>
      <c r="E151" s="153"/>
      <c r="F151" s="125"/>
      <c r="G151" s="153"/>
      <c r="H151" s="153"/>
      <c r="I151" s="587"/>
      <c r="J151" s="125"/>
      <c r="K151" s="153"/>
      <c r="L151" s="153"/>
      <c r="M151" s="587"/>
      <c r="N151" s="125"/>
      <c r="O151" s="125"/>
      <c r="P151" s="153"/>
      <c r="Q151" s="587"/>
      <c r="R151" s="125"/>
      <c r="S151" s="153"/>
      <c r="T151" s="153"/>
      <c r="U151" s="587"/>
      <c r="V151" s="125"/>
      <c r="W151" s="125"/>
      <c r="X151" s="153"/>
      <c r="Y151" s="587"/>
      <c r="Z151" s="587"/>
    </row>
    <row r="152" spans="1:26" ht="40.25" customHeight="1" x14ac:dyDescent="0.15">
      <c r="A152" s="87" t="str">
        <f>Interview!A225</f>
        <v>O-OM-B-1-1</v>
      </c>
      <c r="B152" s="617" t="str">
        <f>INDEX('imp-questions'!D:D, MATCH(A152, 'imp-questions'!A:A, 0))</f>
        <v>System Decommissioning / Legacy Management</v>
      </c>
      <c r="C152" s="252">
        <f>INDEX('imp-questions'!E:E, MATCH(A152, 'imp-questions'!A:A, 0))</f>
        <v>1</v>
      </c>
      <c r="D152" s="300" t="str">
        <f>INDEX('imp-questions'!F:F, MATCH(A152, 'imp-questions'!A:A, 0))</f>
        <v>Do you identify and remove systems, applications, application dependencies, or services that are no longer used, have reached end of life, or are no longer actively developed or supported?</v>
      </c>
      <c r="E152" s="329" t="str">
        <f>CHAR(65+INDEX('imp-questions'!H:H, MATCH(A152, 'imp-questions'!A:A, 0)))</f>
        <v>A</v>
      </c>
      <c r="F152" s="287" t="str">
        <f>IF(ISBLANK(Interview!F225),"",Interview!F225)</f>
        <v/>
      </c>
      <c r="G152" s="343">
        <f ca="1">IFERROR(INDEX(INDIRECT("Ans" &amp; E152 &amp; "TBL"), MATCH(F152, INDEX(INDIRECT("Ans" &amp; E152 &amp; "TBL"), 0, 1), 0), 2), 0)</f>
        <v>0</v>
      </c>
      <c r="H152" s="342"/>
      <c r="I152" s="587"/>
      <c r="J152" s="287" t="str">
        <f>F152</f>
        <v/>
      </c>
      <c r="K152" s="343">
        <f ca="1">IFERROR(INDEX(INDIRECT("Ans" &amp; E152 &amp; "TBL"), MATCH(J152, INDEX(INDIRECT("Ans" &amp; E152 &amp; "TBL"), 0, 1), 0), 2), 0)</f>
        <v>0</v>
      </c>
      <c r="L152" s="342"/>
      <c r="M152" s="587"/>
      <c r="N152" s="287" t="str">
        <f>J152</f>
        <v/>
      </c>
      <c r="O152" s="305">
        <f ca="1">IFERROR(INDEX(INDIRECT("Ans" &amp; E152 &amp; "TBL"), MATCH(N152, INDEX(INDIRECT("Ans" &amp; E152 &amp; "TBL"), 0, 1), 0), 2), 0)</f>
        <v>0</v>
      </c>
      <c r="P152" s="323"/>
      <c r="Q152" s="587"/>
      <c r="R152" s="287" t="str">
        <f>N152</f>
        <v/>
      </c>
      <c r="S152" s="135">
        <f ca="1">IFERROR(INDEX(INDIRECT("Ans" &amp; E152 &amp; "TBL"), MATCH(R152, INDEX(INDIRECT("Ans" &amp; E152 &amp; "TBL"), 0, 1), 0), 2), 0)</f>
        <v>0</v>
      </c>
      <c r="T152" s="326"/>
      <c r="U152" s="587"/>
      <c r="V152" s="287" t="str">
        <f>R152</f>
        <v/>
      </c>
      <c r="W152" s="305">
        <f ca="1">IFERROR(INDEX(INDIRECT("Ans" &amp; E152 &amp; "TBL"), MATCH(V152, INDEX(INDIRECT("Ans" &amp; E152 &amp; "TBL"), 0, 1), 0), 2), 0)</f>
        <v>0</v>
      </c>
      <c r="X152" s="323"/>
      <c r="Y152" s="587"/>
      <c r="Z152" s="587"/>
    </row>
    <row r="153" spans="1:26" ht="40.25" customHeight="1" x14ac:dyDescent="0.15">
      <c r="A153" s="87" t="str">
        <f>Interview!A227</f>
        <v>O-OM-B-2-1</v>
      </c>
      <c r="B153" s="577"/>
      <c r="C153" s="252">
        <f>INDEX('imp-questions'!E:E, MATCH(A153, 'imp-questions'!A:A, 0))</f>
        <v>2</v>
      </c>
      <c r="D153" s="300" t="str">
        <f>INDEX('imp-questions'!F:F, MATCH(A153, 'imp-questions'!A:A, 0))</f>
        <v>Do you follow an established process for removing all associated resources, as part of decommissioning of unused systems, applications, application dependencies, or services?</v>
      </c>
      <c r="E153" s="329" t="str">
        <f>CHAR(65+INDEX('imp-questions'!H:H, MATCH(A153, 'imp-questions'!A:A, 0)))</f>
        <v>E</v>
      </c>
      <c r="F153" s="284" t="str">
        <f>IF(ISBLANK(Interview!F227),"",Interview!F227)</f>
        <v/>
      </c>
      <c r="G153" s="346">
        <f ca="1">IFERROR(INDEX(INDIRECT("Ans" &amp; E153 &amp; "TBL"), MATCH(F153, INDEX(INDIRECT("Ans" &amp; E153 &amp; "TBL"), 0, 1), 0), 2), 0)</f>
        <v>0</v>
      </c>
      <c r="H153" s="345"/>
      <c r="I153" s="587"/>
      <c r="J153" s="287" t="str">
        <f>F153</f>
        <v/>
      </c>
      <c r="K153" s="346">
        <f ca="1">IFERROR(INDEX(INDIRECT("Ans" &amp; E153 &amp; "TBL"), MATCH(J153, INDEX(INDIRECT("Ans" &amp; E153 &amp; "TBL"), 0, 1), 0), 2), 0)</f>
        <v>0</v>
      </c>
      <c r="L153" s="345"/>
      <c r="M153" s="587"/>
      <c r="N153" s="287" t="str">
        <f>J153</f>
        <v/>
      </c>
      <c r="O153" s="305">
        <f ca="1">IFERROR(INDEX(INDIRECT("Ans" &amp; E153 &amp; "TBL"), MATCH(N153, INDEX(INDIRECT("Ans" &amp; E153 &amp; "TBL"), 0, 1), 0), 2), 0)</f>
        <v>0</v>
      </c>
      <c r="P153" s="308"/>
      <c r="Q153" s="587"/>
      <c r="R153" s="287" t="str">
        <f>N153</f>
        <v/>
      </c>
      <c r="S153" s="135">
        <f ca="1">IFERROR(INDEX(INDIRECT("Ans" &amp; E153 &amp; "TBL"), MATCH(R153, INDEX(INDIRECT("Ans" &amp; E153 &amp; "TBL"), 0, 1), 0), 2), 0)</f>
        <v>0</v>
      </c>
      <c r="T153" s="309"/>
      <c r="U153" s="587"/>
      <c r="V153" s="287" t="str">
        <f>R153</f>
        <v/>
      </c>
      <c r="W153" s="305">
        <f ca="1">IFERROR(INDEX(INDIRECT("Ans" &amp; E153 &amp; "TBL"), MATCH(V153, INDEX(INDIRECT("Ans" &amp; E153 &amp; "TBL"), 0, 1), 0), 2), 0)</f>
        <v>0</v>
      </c>
      <c r="X153" s="308"/>
      <c r="Y153" s="587"/>
      <c r="Z153" s="587"/>
    </row>
    <row r="154" spans="1:26" ht="28.25" customHeight="1" x14ac:dyDescent="0.15">
      <c r="A154" s="87" t="str">
        <f>Interview!A229</f>
        <v>O-OM-B-3-1</v>
      </c>
      <c r="B154" s="578"/>
      <c r="C154" s="252">
        <f>INDEX('imp-questions'!E:E, MATCH(A154, 'imp-questions'!A:A, 0))</f>
        <v>3</v>
      </c>
      <c r="D154" s="296" t="str">
        <f>INDEX('imp-questions'!F:F, MATCH(A154, 'imp-questions'!A:A, 0))</f>
        <v>Do you regularly evaluate the lifecycle state and support status of every software asset and underlying infrastructure component, and estimate their end of life?</v>
      </c>
      <c r="E154" s="329" t="str">
        <f>CHAR(65+INDEX('imp-questions'!H:H, MATCH(A154, 'imp-questions'!A:A, 0)))</f>
        <v>L</v>
      </c>
      <c r="F154" s="284" t="str">
        <f>IF(ISBLANK(Interview!F229),"",Interview!F229)</f>
        <v/>
      </c>
      <c r="G154" s="349">
        <f ca="1">IFERROR(INDEX(INDIRECT("Ans" &amp; E154 &amp; "TBL"), MATCH(F154, INDEX(INDIRECT("Ans" &amp; E154 &amp; "TBL"), 0, 1), 0), 2), 0)</f>
        <v>0</v>
      </c>
      <c r="H154" s="348"/>
      <c r="I154" s="587"/>
      <c r="J154" s="287" t="str">
        <f>F154</f>
        <v/>
      </c>
      <c r="K154" s="349">
        <f ca="1">IFERROR(INDEX(INDIRECT("Ans" &amp; E154 &amp; "TBL"), MATCH(J154, INDEX(INDIRECT("Ans" &amp; E154 &amp; "TBL"), 0, 1), 0), 2), 0)</f>
        <v>0</v>
      </c>
      <c r="L154" s="348"/>
      <c r="M154" s="587"/>
      <c r="N154" s="287" t="str">
        <f>J154</f>
        <v/>
      </c>
      <c r="O154" s="415">
        <f ca="1">IFERROR(INDEX(INDIRECT("Ans" &amp; E154 &amp; "TBL"), MATCH(N154, INDEX(INDIRECT("Ans" &amp; E154 &amp; "TBL"), 0, 1), 0), 2), 0)</f>
        <v>0</v>
      </c>
      <c r="P154" s="311"/>
      <c r="Q154" s="587"/>
      <c r="R154" s="287" t="str">
        <f>N154</f>
        <v/>
      </c>
      <c r="S154" s="135">
        <f ca="1">IFERROR(INDEX(INDIRECT("Ans" &amp; E154 &amp; "TBL"), MATCH(R154, INDEX(INDIRECT("Ans" &amp; E154 &amp; "TBL"), 0, 1), 0), 2), 0)</f>
        <v>0</v>
      </c>
      <c r="T154" s="312"/>
      <c r="U154" s="587"/>
      <c r="V154" s="287" t="str">
        <f>R154</f>
        <v/>
      </c>
      <c r="W154" s="135">
        <f ca="1">IFERROR(INDEX(INDIRECT("Ans" &amp; E154 &amp; "TBL"), MATCH(V154, INDEX(INDIRECT("Ans" &amp; E154 &amp; "TBL"), 0, 1), 0), 2), 0)</f>
        <v>0</v>
      </c>
      <c r="X154" s="311"/>
      <c r="Y154" s="587"/>
      <c r="Z154" s="587"/>
    </row>
  </sheetData>
  <mergeCells count="155">
    <mergeCell ref="V16:Z16"/>
    <mergeCell ref="Z102:Z108"/>
    <mergeCell ref="Z111:Z117"/>
    <mergeCell ref="Z120:Z126"/>
    <mergeCell ref="Z130:Z136"/>
    <mergeCell ref="Z139:Z145"/>
    <mergeCell ref="Z148:Z154"/>
    <mergeCell ref="V128:Z128"/>
    <mergeCell ref="V100:Z100"/>
    <mergeCell ref="Z18:Z24"/>
    <mergeCell ref="Z27:Z33"/>
    <mergeCell ref="Z36:Z42"/>
    <mergeCell ref="Z46:Z52"/>
    <mergeCell ref="Z55:Z61"/>
    <mergeCell ref="Z64:Z70"/>
    <mergeCell ref="Z74:Z80"/>
    <mergeCell ref="Z83:Z89"/>
    <mergeCell ref="Z92:Z98"/>
    <mergeCell ref="V72:Z72"/>
    <mergeCell ref="V44:Z44"/>
    <mergeCell ref="Y148:Y154"/>
    <mergeCell ref="U148:U154"/>
    <mergeCell ref="Y18:Y24"/>
    <mergeCell ref="Y27:Y33"/>
    <mergeCell ref="Y36:Y42"/>
    <mergeCell ref="Y46:Y52"/>
    <mergeCell ref="Y55:Y61"/>
    <mergeCell ref="Y64:Y70"/>
    <mergeCell ref="Y74:Y80"/>
    <mergeCell ref="Y83:Y89"/>
    <mergeCell ref="Y92:Y98"/>
    <mergeCell ref="U92:U98"/>
    <mergeCell ref="U102:U108"/>
    <mergeCell ref="U111:U117"/>
    <mergeCell ref="U120:U126"/>
    <mergeCell ref="U130:U136"/>
    <mergeCell ref="U139:U145"/>
    <mergeCell ref="Y102:Y108"/>
    <mergeCell ref="Y111:Y117"/>
    <mergeCell ref="Y120:Y126"/>
    <mergeCell ref="Y130:Y136"/>
    <mergeCell ref="R44:U44"/>
    <mergeCell ref="R128:U128"/>
    <mergeCell ref="R100:U100"/>
    <mergeCell ref="Y139:Y145"/>
    <mergeCell ref="Q148:Q154"/>
    <mergeCell ref="U18:U24"/>
    <mergeCell ref="U27:U33"/>
    <mergeCell ref="U36:U42"/>
    <mergeCell ref="U46:U52"/>
    <mergeCell ref="U55:U61"/>
    <mergeCell ref="U64:U70"/>
    <mergeCell ref="U74:U80"/>
    <mergeCell ref="U83:U89"/>
    <mergeCell ref="Q18:Q24"/>
    <mergeCell ref="Q27:Q33"/>
    <mergeCell ref="Q36:Q42"/>
    <mergeCell ref="Q46:Q52"/>
    <mergeCell ref="Q55:Q61"/>
    <mergeCell ref="Q64:Q70"/>
    <mergeCell ref="Q74:Q80"/>
    <mergeCell ref="Q83:Q89"/>
    <mergeCell ref="Q92:Q98"/>
    <mergeCell ref="Q102:Q108"/>
    <mergeCell ref="Q111:Q117"/>
    <mergeCell ref="Q120:Q126"/>
    <mergeCell ref="Q130:Q136"/>
    <mergeCell ref="R72:U72"/>
    <mergeCell ref="N44:Q44"/>
    <mergeCell ref="M148:M154"/>
    <mergeCell ref="M83:M89"/>
    <mergeCell ref="M92:M98"/>
    <mergeCell ref="M102:M108"/>
    <mergeCell ref="M111:M117"/>
    <mergeCell ref="M120:M126"/>
    <mergeCell ref="M130:M136"/>
    <mergeCell ref="I148:I154"/>
    <mergeCell ref="I139:I145"/>
    <mergeCell ref="I130:I136"/>
    <mergeCell ref="J100:M100"/>
    <mergeCell ref="J128:M128"/>
    <mergeCell ref="M139:M145"/>
    <mergeCell ref="F100:I100"/>
    <mergeCell ref="F128:I128"/>
    <mergeCell ref="B148:B150"/>
    <mergeCell ref="B130:B132"/>
    <mergeCell ref="B134:B136"/>
    <mergeCell ref="B87:B89"/>
    <mergeCell ref="B92:B94"/>
    <mergeCell ref="B96:B98"/>
    <mergeCell ref="B152:B154"/>
    <mergeCell ref="I18:I24"/>
    <mergeCell ref="I27:I33"/>
    <mergeCell ref="I36:I42"/>
    <mergeCell ref="I46:I52"/>
    <mergeCell ref="I55:I61"/>
    <mergeCell ref="I64:I70"/>
    <mergeCell ref="B102:B104"/>
    <mergeCell ref="B106:B108"/>
    <mergeCell ref="B111:B113"/>
    <mergeCell ref="B115:B117"/>
    <mergeCell ref="B120:B122"/>
    <mergeCell ref="B124:B126"/>
    <mergeCell ref="B59:B61"/>
    <mergeCell ref="B64:B66"/>
    <mergeCell ref="B68:B70"/>
    <mergeCell ref="B74:B76"/>
    <mergeCell ref="B78:B80"/>
    <mergeCell ref="B143:B145"/>
    <mergeCell ref="I74:I80"/>
    <mergeCell ref="I83:I89"/>
    <mergeCell ref="I92:I98"/>
    <mergeCell ref="I102:I108"/>
    <mergeCell ref="I111:I117"/>
    <mergeCell ref="I120:I126"/>
    <mergeCell ref="Q139:Q145"/>
    <mergeCell ref="N100:Q100"/>
    <mergeCell ref="N128:Q128"/>
    <mergeCell ref="B83:B85"/>
    <mergeCell ref="M74:M80"/>
    <mergeCell ref="B139:B141"/>
    <mergeCell ref="B10:C10"/>
    <mergeCell ref="B11:C11"/>
    <mergeCell ref="B12:C12"/>
    <mergeCell ref="B13:C13"/>
    <mergeCell ref="B14:C14"/>
    <mergeCell ref="J16:M16"/>
    <mergeCell ref="B18:B20"/>
    <mergeCell ref="B22:B24"/>
    <mergeCell ref="B27:B29"/>
    <mergeCell ref="M18:M24"/>
    <mergeCell ref="M27:M33"/>
    <mergeCell ref="N16:Q16"/>
    <mergeCell ref="R16:U16"/>
    <mergeCell ref="B46:B48"/>
    <mergeCell ref="F16:I16"/>
    <mergeCell ref="B72:D72"/>
    <mergeCell ref="B16:D16"/>
    <mergeCell ref="B44:D44"/>
    <mergeCell ref="B100:D100"/>
    <mergeCell ref="B128:D128"/>
    <mergeCell ref="J44:M44"/>
    <mergeCell ref="M46:M52"/>
    <mergeCell ref="M55:M61"/>
    <mergeCell ref="M64:M70"/>
    <mergeCell ref="F44:I44"/>
    <mergeCell ref="F72:I72"/>
    <mergeCell ref="B31:B33"/>
    <mergeCell ref="B40:B42"/>
    <mergeCell ref="B36:B38"/>
    <mergeCell ref="M36:M42"/>
    <mergeCell ref="N72:Q72"/>
    <mergeCell ref="B50:B52"/>
    <mergeCell ref="B55:B57"/>
    <mergeCell ref="J72:M72"/>
  </mergeCells>
  <conditionalFormatting sqref="F15">
    <cfRule type="expression" dxfId="240" priority="1575">
      <formula>$H$22=1</formula>
    </cfRule>
  </conditionalFormatting>
  <conditionalFormatting sqref="J18:J20">
    <cfRule type="expression" dxfId="239" priority="7">
      <formula>K18&lt;G18</formula>
    </cfRule>
    <cfRule type="expression" dxfId="238" priority="8">
      <formula>K18&gt;G18</formula>
    </cfRule>
  </conditionalFormatting>
  <conditionalFormatting sqref="J22:J24">
    <cfRule type="expression" dxfId="237" priority="284">
      <formula>K22&gt;G22</formula>
    </cfRule>
    <cfRule type="expression" dxfId="236" priority="283">
      <formula>K22&lt;G22</formula>
    </cfRule>
  </conditionalFormatting>
  <conditionalFormatting sqref="J27:J29">
    <cfRule type="expression" dxfId="235" priority="277">
      <formula>K27&lt;G27</formula>
    </cfRule>
    <cfRule type="expression" dxfId="234" priority="278">
      <formula>K27&gt;G27</formula>
    </cfRule>
  </conditionalFormatting>
  <conditionalFormatting sqref="J31:J33">
    <cfRule type="expression" dxfId="233" priority="261">
      <formula>K31&lt;G31</formula>
    </cfRule>
    <cfRule type="expression" dxfId="232" priority="262">
      <formula>K31&gt;G31</formula>
    </cfRule>
  </conditionalFormatting>
  <conditionalFormatting sqref="J36:J38">
    <cfRule type="expression" dxfId="231" priority="259">
      <formula>K36&lt;G36</formula>
    </cfRule>
    <cfRule type="expression" dxfId="230" priority="260">
      <formula>K36&gt;G36</formula>
    </cfRule>
  </conditionalFormatting>
  <conditionalFormatting sqref="J40:J42">
    <cfRule type="expression" dxfId="229" priority="258">
      <formula>K40&gt;G40</formula>
    </cfRule>
    <cfRule type="expression" dxfId="228" priority="257">
      <formula>K40&lt;G40</formula>
    </cfRule>
  </conditionalFormatting>
  <conditionalFormatting sqref="J46:J48">
    <cfRule type="expression" dxfId="227" priority="1534">
      <formula>K46&gt;G46</formula>
    </cfRule>
    <cfRule type="expression" dxfId="226" priority="1533">
      <formula>K46&lt;G46</formula>
    </cfRule>
  </conditionalFormatting>
  <conditionalFormatting sqref="J50:J52">
    <cfRule type="expression" dxfId="225" priority="238">
      <formula>K50&gt;G50</formula>
    </cfRule>
    <cfRule type="expression" dxfId="224" priority="237">
      <formula>K50&lt;G50</formula>
    </cfRule>
  </conditionalFormatting>
  <conditionalFormatting sqref="J55:J57">
    <cfRule type="expression" dxfId="223" priority="236">
      <formula>K55&gt;G55</formula>
    </cfRule>
    <cfRule type="expression" dxfId="222" priority="235">
      <formula>K55&lt;G55</formula>
    </cfRule>
  </conditionalFormatting>
  <conditionalFormatting sqref="J59:J61">
    <cfRule type="expression" dxfId="221" priority="233">
      <formula>K59&lt;G59</formula>
    </cfRule>
    <cfRule type="expression" dxfId="220" priority="234">
      <formula>K59&gt;G59</formula>
    </cfRule>
  </conditionalFormatting>
  <conditionalFormatting sqref="J64:J66">
    <cfRule type="expression" dxfId="219" priority="208">
      <formula>K64&gt;G64</formula>
    </cfRule>
    <cfRule type="expression" dxfId="218" priority="207">
      <formula>K64&lt;G64</formula>
    </cfRule>
  </conditionalFormatting>
  <conditionalFormatting sqref="J68:J70">
    <cfRule type="expression" dxfId="217" priority="206">
      <formula>K68&gt;G68</formula>
    </cfRule>
    <cfRule type="expression" dxfId="216" priority="205">
      <formula>K68&lt;G68</formula>
    </cfRule>
  </conditionalFormatting>
  <conditionalFormatting sqref="J74:J76">
    <cfRule type="expression" dxfId="215" priority="191">
      <formula>K74&lt;G74</formula>
    </cfRule>
    <cfRule type="expression" dxfId="214" priority="192">
      <formula>K74&gt;G74</formula>
    </cfRule>
  </conditionalFormatting>
  <conditionalFormatting sqref="J78:J80">
    <cfRule type="expression" dxfId="213" priority="145">
      <formula>K78&lt;G78</formula>
    </cfRule>
    <cfRule type="expression" dxfId="212" priority="146">
      <formula>K78&gt;G78</formula>
    </cfRule>
  </conditionalFormatting>
  <conditionalFormatting sqref="J83:J85">
    <cfRule type="expression" dxfId="211" priority="143">
      <formula>K83&lt;G83</formula>
    </cfRule>
    <cfRule type="expression" dxfId="210" priority="144">
      <formula>K83&gt;G83</formula>
    </cfRule>
  </conditionalFormatting>
  <conditionalFormatting sqref="J87:J89">
    <cfRule type="expression" dxfId="209" priority="141">
      <formula>K87&lt;G87</formula>
    </cfRule>
    <cfRule type="expression" dxfId="208" priority="142">
      <formula>K87&gt;G87</formula>
    </cfRule>
  </conditionalFormatting>
  <conditionalFormatting sqref="J92:J94">
    <cfRule type="expression" dxfId="207" priority="115">
      <formula>K92&lt;G92</formula>
    </cfRule>
    <cfRule type="expression" dxfId="206" priority="116">
      <formula>K92&gt;G92</formula>
    </cfRule>
  </conditionalFormatting>
  <conditionalFormatting sqref="J96:J98">
    <cfRule type="expression" dxfId="205" priority="114">
      <formula>K96&gt;G96</formula>
    </cfRule>
    <cfRule type="expression" dxfId="204" priority="113">
      <formula>K96&lt;G96</formula>
    </cfRule>
  </conditionalFormatting>
  <conditionalFormatting sqref="J102:J104">
    <cfRule type="expression" dxfId="203" priority="185">
      <formula>K102&gt;G102</formula>
    </cfRule>
    <cfRule type="expression" dxfId="202" priority="186">
      <formula>K102&lt;G102</formula>
    </cfRule>
  </conditionalFormatting>
  <conditionalFormatting sqref="J106:J108">
    <cfRule type="expression" dxfId="201" priority="100">
      <formula>K106&lt;G106</formula>
    </cfRule>
    <cfRule type="expression" dxfId="200" priority="99">
      <formula>K106&gt;G106</formula>
    </cfRule>
  </conditionalFormatting>
  <conditionalFormatting sqref="J111:J113">
    <cfRule type="expression" dxfId="199" priority="98">
      <formula>K111&lt;G111</formula>
    </cfRule>
    <cfRule type="expression" dxfId="198" priority="97">
      <formula>K111&gt;G111</formula>
    </cfRule>
  </conditionalFormatting>
  <conditionalFormatting sqref="J115:J117">
    <cfRule type="expression" dxfId="197" priority="95">
      <formula>K115&gt;G115</formula>
    </cfRule>
    <cfRule type="expression" dxfId="196" priority="96">
      <formula>K115&lt;G115</formula>
    </cfRule>
  </conditionalFormatting>
  <conditionalFormatting sqref="J120:J122">
    <cfRule type="expression" dxfId="195" priority="70">
      <formula>K120&lt;G120</formula>
    </cfRule>
    <cfRule type="expression" dxfId="194" priority="69">
      <formula>K120&gt;G120</formula>
    </cfRule>
  </conditionalFormatting>
  <conditionalFormatting sqref="J124:J126">
    <cfRule type="expression" dxfId="193" priority="68">
      <formula>K124&lt;G124</formula>
    </cfRule>
    <cfRule type="expression" dxfId="192" priority="67">
      <formula>K124&gt;G124</formula>
    </cfRule>
  </conditionalFormatting>
  <conditionalFormatting sqref="J130:J132">
    <cfRule type="expression" dxfId="191" priority="1427">
      <formula>K130&lt;G130</formula>
    </cfRule>
    <cfRule type="expression" dxfId="190" priority="1428">
      <formula>K130&gt;G130</formula>
    </cfRule>
  </conditionalFormatting>
  <conditionalFormatting sqref="J134:J136">
    <cfRule type="expression" dxfId="189" priority="53">
      <formula>K134&lt;G134</formula>
    </cfRule>
    <cfRule type="expression" dxfId="188" priority="54">
      <formula>K134&gt;G134</formula>
    </cfRule>
  </conditionalFormatting>
  <conditionalFormatting sqref="J139:J141">
    <cfRule type="expression" dxfId="187" priority="51">
      <formula>K139&lt;G139</formula>
    </cfRule>
    <cfRule type="expression" dxfId="186" priority="52">
      <formula>K139&gt;G139</formula>
    </cfRule>
  </conditionalFormatting>
  <conditionalFormatting sqref="J143:J145">
    <cfRule type="expression" dxfId="185" priority="50">
      <formula>K143&gt;G143</formula>
    </cfRule>
    <cfRule type="expression" dxfId="184" priority="49">
      <formula>K143&lt;G143</formula>
    </cfRule>
  </conditionalFormatting>
  <conditionalFormatting sqref="J148:J150">
    <cfRule type="expression" dxfId="183" priority="24">
      <formula>K148&gt;G148</formula>
    </cfRule>
    <cfRule type="expression" dxfId="182" priority="23">
      <formula>K148&lt;G148</formula>
    </cfRule>
  </conditionalFormatting>
  <conditionalFormatting sqref="J152:J154">
    <cfRule type="expression" dxfId="181" priority="22">
      <formula>K152&gt;G152</formula>
    </cfRule>
    <cfRule type="expression" dxfId="180" priority="21">
      <formula>K152&lt;G152</formula>
    </cfRule>
  </conditionalFormatting>
  <conditionalFormatting sqref="N18:N20">
    <cfRule type="expression" dxfId="179" priority="6">
      <formula>O18&gt;K18</formula>
    </cfRule>
    <cfRule type="expression" dxfId="178" priority="5">
      <formula>O18&lt;K18</formula>
    </cfRule>
  </conditionalFormatting>
  <conditionalFormatting sqref="N22:N24">
    <cfRule type="expression" dxfId="177" priority="280">
      <formula>O22&gt;K22</formula>
    </cfRule>
    <cfRule type="expression" dxfId="176" priority="279">
      <formula>O22&lt;K22</formula>
    </cfRule>
  </conditionalFormatting>
  <conditionalFormatting sqref="N27:N29">
    <cfRule type="expression" dxfId="175" priority="276">
      <formula>O27&gt;K27</formula>
    </cfRule>
    <cfRule type="expression" dxfId="174" priority="275">
      <formula>O27&lt;K27</formula>
    </cfRule>
  </conditionalFormatting>
  <conditionalFormatting sqref="N31:N33">
    <cfRule type="expression" dxfId="173" priority="255">
      <formula>O31&lt;K31</formula>
    </cfRule>
    <cfRule type="expression" dxfId="172" priority="256">
      <formula>O31&gt;K31</formula>
    </cfRule>
  </conditionalFormatting>
  <conditionalFormatting sqref="N36:N38">
    <cfRule type="expression" dxfId="171" priority="253">
      <formula>O36&lt;K36</formula>
    </cfRule>
    <cfRule type="expression" dxfId="170" priority="254">
      <formula>O36&gt;K36</formula>
    </cfRule>
  </conditionalFormatting>
  <conditionalFormatting sqref="N40:N42">
    <cfRule type="expression" dxfId="169" priority="251">
      <formula>O40&lt;K40</formula>
    </cfRule>
    <cfRule type="expression" dxfId="168" priority="252">
      <formula>O40&gt;K40</formula>
    </cfRule>
  </conditionalFormatting>
  <conditionalFormatting sqref="N46:N48">
    <cfRule type="expression" dxfId="167" priority="232">
      <formula>O46&gt;K46</formula>
    </cfRule>
    <cfRule type="expression" dxfId="166" priority="231">
      <formula>O46&lt;K46</formula>
    </cfRule>
  </conditionalFormatting>
  <conditionalFormatting sqref="N50:N52">
    <cfRule type="expression" dxfId="165" priority="230">
      <formula>O50&gt;K50</formula>
    </cfRule>
    <cfRule type="expression" dxfId="164" priority="229">
      <formula>O50&lt;K50</formula>
    </cfRule>
  </conditionalFormatting>
  <conditionalFormatting sqref="N55:N57">
    <cfRule type="expression" dxfId="163" priority="227">
      <formula>O55&lt;K55</formula>
    </cfRule>
    <cfRule type="expression" dxfId="162" priority="228">
      <formula>O55&gt;K55</formula>
    </cfRule>
  </conditionalFormatting>
  <conditionalFormatting sqref="N59:N61">
    <cfRule type="expression" dxfId="161" priority="225">
      <formula>O59&lt;K59</formula>
    </cfRule>
    <cfRule type="expression" dxfId="160" priority="226">
      <formula>O59&gt;K59</formula>
    </cfRule>
  </conditionalFormatting>
  <conditionalFormatting sqref="N64:N66">
    <cfRule type="expression" dxfId="159" priority="203">
      <formula>O64&lt;K64</formula>
    </cfRule>
    <cfRule type="expression" dxfId="158" priority="204">
      <formula>O64&gt;K64</formula>
    </cfRule>
  </conditionalFormatting>
  <conditionalFormatting sqref="N68:N70">
    <cfRule type="expression" dxfId="157" priority="201">
      <formula>O68&lt;K68</formula>
    </cfRule>
    <cfRule type="expression" dxfId="156" priority="202">
      <formula>O68&gt;K68</formula>
    </cfRule>
  </conditionalFormatting>
  <conditionalFormatting sqref="N74:N76">
    <cfRule type="expression" dxfId="155" priority="139">
      <formula>O74&lt;K74</formula>
    </cfRule>
    <cfRule type="expression" dxfId="154" priority="140">
      <formula>O74&gt;K74</formula>
    </cfRule>
  </conditionalFormatting>
  <conditionalFormatting sqref="N78:N80">
    <cfRule type="expression" dxfId="153" priority="137">
      <formula>O78&lt;K78</formula>
    </cfRule>
    <cfRule type="expression" dxfId="152" priority="138">
      <formula>O78&gt;K78</formula>
    </cfRule>
  </conditionalFormatting>
  <conditionalFormatting sqref="N83:N85">
    <cfRule type="expression" dxfId="151" priority="135">
      <formula>O83&lt;K83</formula>
    </cfRule>
    <cfRule type="expression" dxfId="150" priority="136">
      <formula>O83&gt;K83</formula>
    </cfRule>
  </conditionalFormatting>
  <conditionalFormatting sqref="N87:N89">
    <cfRule type="expression" dxfId="149" priority="134">
      <formula>O87&gt;K87</formula>
    </cfRule>
    <cfRule type="expression" dxfId="148" priority="133">
      <formula>O87&lt;K87</formula>
    </cfRule>
  </conditionalFormatting>
  <conditionalFormatting sqref="N92:N94">
    <cfRule type="expression" dxfId="147" priority="111">
      <formula>O92&lt;K92</formula>
    </cfRule>
    <cfRule type="expression" dxfId="146" priority="112">
      <formula>O92&gt;K92</formula>
    </cfRule>
  </conditionalFormatting>
  <conditionalFormatting sqref="N96:N98">
    <cfRule type="expression" dxfId="145" priority="109">
      <formula>O96&lt;K96</formula>
    </cfRule>
    <cfRule type="expression" dxfId="144" priority="110">
      <formula>O96&gt;K96</formula>
    </cfRule>
  </conditionalFormatting>
  <conditionalFormatting sqref="N102:N104">
    <cfRule type="expression" dxfId="143" priority="93">
      <formula>O102&gt;K102</formula>
    </cfRule>
    <cfRule type="expression" dxfId="142" priority="94">
      <formula>O102&lt;K102</formula>
    </cfRule>
  </conditionalFormatting>
  <conditionalFormatting sqref="N106:N108">
    <cfRule type="expression" dxfId="141" priority="91">
      <formula>O106&gt;K106</formula>
    </cfRule>
    <cfRule type="expression" dxfId="140" priority="92">
      <formula>O106&lt;K106</formula>
    </cfRule>
  </conditionalFormatting>
  <conditionalFormatting sqref="N111:N113">
    <cfRule type="expression" dxfId="139" priority="90">
      <formula>O111&lt;K111</formula>
    </cfRule>
    <cfRule type="expression" dxfId="138" priority="89">
      <formula>O111&gt;K111</formula>
    </cfRule>
  </conditionalFormatting>
  <conditionalFormatting sqref="N115:N117">
    <cfRule type="expression" dxfId="137" priority="87">
      <formula>O115&gt;K115</formula>
    </cfRule>
    <cfRule type="expression" dxfId="136" priority="88">
      <formula>O115&lt;K115</formula>
    </cfRule>
  </conditionalFormatting>
  <conditionalFormatting sqref="N120:N122">
    <cfRule type="expression" dxfId="135" priority="65">
      <formula>O120&gt;K120</formula>
    </cfRule>
    <cfRule type="expression" dxfId="134" priority="66">
      <formula>O120&lt;K120</formula>
    </cfRule>
  </conditionalFormatting>
  <conditionalFormatting sqref="N124:N126">
    <cfRule type="expression" dxfId="133" priority="63">
      <formula>O124&gt;K124</formula>
    </cfRule>
    <cfRule type="expression" dxfId="132" priority="64">
      <formula>O124&lt;K124</formula>
    </cfRule>
  </conditionalFormatting>
  <conditionalFormatting sqref="N130:N132">
    <cfRule type="expression" dxfId="131" priority="47">
      <formula>O130&lt;K130</formula>
    </cfRule>
    <cfRule type="expression" dxfId="130" priority="48">
      <formula>O130&gt;K130</formula>
    </cfRule>
  </conditionalFormatting>
  <conditionalFormatting sqref="N134:N136">
    <cfRule type="expression" dxfId="129" priority="45">
      <formula>O134&lt;K134</formula>
    </cfRule>
    <cfRule type="expression" dxfId="128" priority="46">
      <formula>O134&gt;K134</formula>
    </cfRule>
  </conditionalFormatting>
  <conditionalFormatting sqref="N139:N141">
    <cfRule type="expression" dxfId="127" priority="43">
      <formula>O139&lt;K139</formula>
    </cfRule>
    <cfRule type="expression" dxfId="126" priority="44">
      <formula>O139&gt;K139</formula>
    </cfRule>
  </conditionalFormatting>
  <conditionalFormatting sqref="N143:N145">
    <cfRule type="expression" dxfId="125" priority="41">
      <formula>O143&lt;K143</formula>
    </cfRule>
    <cfRule type="expression" dxfId="124" priority="42">
      <formula>O143&gt;K143</formula>
    </cfRule>
  </conditionalFormatting>
  <conditionalFormatting sqref="N148:N150">
    <cfRule type="expression" dxfId="123" priority="19">
      <formula>O148&lt;K148</formula>
    </cfRule>
    <cfRule type="expression" dxfId="122" priority="20">
      <formula>O148&gt;K148</formula>
    </cfRule>
  </conditionalFormatting>
  <conditionalFormatting sqref="N152:N154">
    <cfRule type="expression" dxfId="121" priority="18">
      <formula>O152&gt;K152</formula>
    </cfRule>
    <cfRule type="expression" dxfId="120" priority="17">
      <formula>O152&lt;K152</formula>
    </cfRule>
  </conditionalFormatting>
  <conditionalFormatting sqref="R18:R20">
    <cfRule type="expression" dxfId="119" priority="4">
      <formula>S18&gt;O18</formula>
    </cfRule>
    <cfRule type="expression" dxfId="118" priority="3">
      <formula>S18&lt;O18</formula>
    </cfRule>
  </conditionalFormatting>
  <conditionalFormatting sqref="R22:R24">
    <cfRule type="expression" dxfId="117" priority="272">
      <formula>S22&gt;O22</formula>
    </cfRule>
    <cfRule type="expression" dxfId="116" priority="271">
      <formula>S22&lt;O22</formula>
    </cfRule>
  </conditionalFormatting>
  <conditionalFormatting sqref="R27:R29">
    <cfRule type="expression" dxfId="115" priority="270">
      <formula>S27&gt;O27</formula>
    </cfRule>
    <cfRule type="expression" dxfId="114" priority="269">
      <formula>S27&lt;O27</formula>
    </cfRule>
  </conditionalFormatting>
  <conditionalFormatting sqref="R31:R33">
    <cfRule type="expression" dxfId="113" priority="250">
      <formula>S31&gt;O31</formula>
    </cfRule>
    <cfRule type="expression" dxfId="112" priority="249">
      <formula>S31&lt;O31</formula>
    </cfRule>
  </conditionalFormatting>
  <conditionalFormatting sqref="R36:R38">
    <cfRule type="expression" dxfId="111" priority="248">
      <formula>S36&gt;O36</formula>
    </cfRule>
    <cfRule type="expression" dxfId="110" priority="247">
      <formula>S36&lt;O36</formula>
    </cfRule>
  </conditionalFormatting>
  <conditionalFormatting sqref="R40:R42">
    <cfRule type="expression" dxfId="109" priority="245">
      <formula>S40&lt;O40</formula>
    </cfRule>
    <cfRule type="expression" dxfId="108" priority="246">
      <formula>S40&gt;O40</formula>
    </cfRule>
  </conditionalFormatting>
  <conditionalFormatting sqref="R46:R48">
    <cfRule type="expression" dxfId="107" priority="224">
      <formula>S46&gt;O46</formula>
    </cfRule>
    <cfRule type="expression" dxfId="106" priority="223">
      <formula>S46&lt;O46</formula>
    </cfRule>
  </conditionalFormatting>
  <conditionalFormatting sqref="R50:R52">
    <cfRule type="expression" dxfId="105" priority="222">
      <formula>S50&gt;O50</formula>
    </cfRule>
    <cfRule type="expression" dxfId="104" priority="221">
      <formula>S50&lt;O50</formula>
    </cfRule>
  </conditionalFormatting>
  <conditionalFormatting sqref="R55:R57">
    <cfRule type="expression" dxfId="103" priority="220">
      <formula>S55&gt;O55</formula>
    </cfRule>
    <cfRule type="expression" dxfId="102" priority="219">
      <formula>S55&lt;O55</formula>
    </cfRule>
  </conditionalFormatting>
  <conditionalFormatting sqref="R59:R61">
    <cfRule type="expression" dxfId="101" priority="218">
      <formula>S59&gt;O59</formula>
    </cfRule>
    <cfRule type="expression" dxfId="100" priority="217">
      <formula>S59&lt;O59</formula>
    </cfRule>
  </conditionalFormatting>
  <conditionalFormatting sqref="R64:R66">
    <cfRule type="expression" dxfId="99" priority="200">
      <formula>S64&gt;O64</formula>
    </cfRule>
    <cfRule type="expression" dxfId="98" priority="199">
      <formula>S64&lt;O64</formula>
    </cfRule>
  </conditionalFormatting>
  <conditionalFormatting sqref="R68:R70">
    <cfRule type="expression" dxfId="97" priority="197">
      <formula>S68&lt;O68</formula>
    </cfRule>
    <cfRule type="expression" dxfId="96" priority="198">
      <formula>S68&gt;O68</formula>
    </cfRule>
  </conditionalFormatting>
  <conditionalFormatting sqref="R74:R76">
    <cfRule type="expression" dxfId="95" priority="131">
      <formula>S74&lt;O74</formula>
    </cfRule>
    <cfRule type="expression" dxfId="94" priority="132">
      <formula>S74&gt;O74</formula>
    </cfRule>
  </conditionalFormatting>
  <conditionalFormatting sqref="R78:R80">
    <cfRule type="expression" dxfId="93" priority="129">
      <formula>S78&lt;O78</formula>
    </cfRule>
    <cfRule type="expression" dxfId="92" priority="130">
      <formula>S78&gt;O78</formula>
    </cfRule>
  </conditionalFormatting>
  <conditionalFormatting sqref="R83:R85">
    <cfRule type="expression" dxfId="91" priority="128">
      <formula>S83&gt;O83</formula>
    </cfRule>
    <cfRule type="expression" dxfId="90" priority="127">
      <formula>S83&lt;O83</formula>
    </cfRule>
  </conditionalFormatting>
  <conditionalFormatting sqref="R87:R89">
    <cfRule type="expression" dxfId="89" priority="126">
      <formula>S87&gt;O87</formula>
    </cfRule>
    <cfRule type="expression" dxfId="88" priority="125">
      <formula>S87&lt;O87</formula>
    </cfRule>
  </conditionalFormatting>
  <conditionalFormatting sqref="R92:R94">
    <cfRule type="expression" dxfId="87" priority="107">
      <formula>S92&lt;O92</formula>
    </cfRule>
    <cfRule type="expression" dxfId="86" priority="108">
      <formula>S92&gt;O92</formula>
    </cfRule>
  </conditionalFormatting>
  <conditionalFormatting sqref="R96:R98">
    <cfRule type="expression" dxfId="85" priority="105">
      <formula>S96&lt;O96</formula>
    </cfRule>
    <cfRule type="expression" dxfId="84" priority="106">
      <formula>S96&gt;O96</formula>
    </cfRule>
  </conditionalFormatting>
  <conditionalFormatting sqref="R102:R104">
    <cfRule type="expression" dxfId="83" priority="85">
      <formula>S102&gt;O102</formula>
    </cfRule>
    <cfRule type="expression" dxfId="82" priority="86">
      <formula>S102&lt;O102</formula>
    </cfRule>
  </conditionalFormatting>
  <conditionalFormatting sqref="R106:R108">
    <cfRule type="expression" dxfId="81" priority="83">
      <formula>S106&gt;O106</formula>
    </cfRule>
    <cfRule type="expression" dxfId="80" priority="84">
      <formula>S106&lt;O106</formula>
    </cfRule>
  </conditionalFormatting>
  <conditionalFormatting sqref="R111:R113">
    <cfRule type="expression" dxfId="79" priority="82">
      <formula>S111&lt;O111</formula>
    </cfRule>
    <cfRule type="expression" dxfId="78" priority="81">
      <formula>S111&gt;O111</formula>
    </cfRule>
  </conditionalFormatting>
  <conditionalFormatting sqref="R115:R117">
    <cfRule type="expression" dxfId="77" priority="79">
      <formula>S115&gt;O115</formula>
    </cfRule>
    <cfRule type="expression" dxfId="76" priority="80">
      <formula>S115&lt;O115</formula>
    </cfRule>
  </conditionalFormatting>
  <conditionalFormatting sqref="R120:R122">
    <cfRule type="expression" dxfId="75" priority="62">
      <formula>S120&lt;O120</formula>
    </cfRule>
    <cfRule type="expression" dxfId="74" priority="61">
      <formula>S120&gt;O120</formula>
    </cfRule>
  </conditionalFormatting>
  <conditionalFormatting sqref="R124:R126">
    <cfRule type="expression" dxfId="73" priority="60">
      <formula>S124&lt;O124</formula>
    </cfRule>
    <cfRule type="expression" dxfId="72" priority="59">
      <formula>S124&gt;O124</formula>
    </cfRule>
  </conditionalFormatting>
  <conditionalFormatting sqref="R130:R132">
    <cfRule type="expression" dxfId="71" priority="39">
      <formula>S130&lt;O130</formula>
    </cfRule>
    <cfRule type="expression" dxfId="70" priority="40">
      <formula>S130&gt;O130</formula>
    </cfRule>
  </conditionalFormatting>
  <conditionalFormatting sqref="R134:R136">
    <cfRule type="expression" dxfId="69" priority="37">
      <formula>S134&lt;O134</formula>
    </cfRule>
    <cfRule type="expression" dxfId="68" priority="38">
      <formula>S134&gt;O134</formula>
    </cfRule>
  </conditionalFormatting>
  <conditionalFormatting sqref="R139:R141">
    <cfRule type="expression" dxfId="67" priority="35">
      <formula>S139&lt;O139</formula>
    </cfRule>
    <cfRule type="expression" dxfId="66" priority="36">
      <formula>S139&gt;O139</formula>
    </cfRule>
  </conditionalFormatting>
  <conditionalFormatting sqref="R143:R145">
    <cfRule type="expression" dxfId="65" priority="34">
      <formula>S143&gt;O143</formula>
    </cfRule>
    <cfRule type="expression" dxfId="64" priority="33">
      <formula>S143&lt;O143</formula>
    </cfRule>
  </conditionalFormatting>
  <conditionalFormatting sqref="R148:R150">
    <cfRule type="expression" dxfId="63" priority="16">
      <formula>S148&gt;O148</formula>
    </cfRule>
    <cfRule type="expression" dxfId="62" priority="15">
      <formula>S148&lt;O148</formula>
    </cfRule>
  </conditionalFormatting>
  <conditionalFormatting sqref="R152:R154">
    <cfRule type="expression" dxfId="61" priority="14">
      <formula>S152&gt;O152</formula>
    </cfRule>
    <cfRule type="expression" dxfId="60" priority="13">
      <formula>S152&lt;O152</formula>
    </cfRule>
  </conditionalFormatting>
  <conditionalFormatting sqref="V18:V20">
    <cfRule type="expression" dxfId="59" priority="2">
      <formula>W18&gt;S18</formula>
    </cfRule>
    <cfRule type="expression" dxfId="58" priority="1">
      <formula>W18&lt;S18</formula>
    </cfRule>
  </conditionalFormatting>
  <conditionalFormatting sqref="V22:V24">
    <cfRule type="expression" dxfId="57" priority="265">
      <formula>W22&lt;S22</formula>
    </cfRule>
    <cfRule type="expression" dxfId="56" priority="266">
      <formula>W22&gt;S22</formula>
    </cfRule>
  </conditionalFormatting>
  <conditionalFormatting sqref="V27:V29">
    <cfRule type="expression" dxfId="55" priority="263">
      <formula>W27&lt;S27</formula>
    </cfRule>
    <cfRule type="expression" dxfId="54" priority="264">
      <formula>W27&gt;S27</formula>
    </cfRule>
  </conditionalFormatting>
  <conditionalFormatting sqref="V31:V33">
    <cfRule type="expression" dxfId="53" priority="244">
      <formula>W31&gt;S31</formula>
    </cfRule>
    <cfRule type="expression" dxfId="52" priority="243">
      <formula>W31&lt;S31</formula>
    </cfRule>
  </conditionalFormatting>
  <conditionalFormatting sqref="V36:V38">
    <cfRule type="expression" dxfId="51" priority="242">
      <formula>W36&gt;S36</formula>
    </cfRule>
    <cfRule type="expression" dxfId="50" priority="241">
      <formula>W36&lt;S36</formula>
    </cfRule>
  </conditionalFormatting>
  <conditionalFormatting sqref="V40:V42">
    <cfRule type="expression" dxfId="49" priority="240">
      <formula>W40&gt;S40</formula>
    </cfRule>
    <cfRule type="expression" dxfId="48" priority="239">
      <formula>W40&lt;S40</formula>
    </cfRule>
  </conditionalFormatting>
  <conditionalFormatting sqref="V46:V48">
    <cfRule type="expression" dxfId="47" priority="216">
      <formula>W46&gt;S46</formula>
    </cfRule>
    <cfRule type="expression" dxfId="46" priority="215">
      <formula>W46&lt;S46</formula>
    </cfRule>
  </conditionalFormatting>
  <conditionalFormatting sqref="V50:V52">
    <cfRule type="expression" dxfId="45" priority="213">
      <formula>W50&lt;S50</formula>
    </cfRule>
    <cfRule type="expression" dxfId="44" priority="214">
      <formula>W50&gt;S50</formula>
    </cfRule>
  </conditionalFormatting>
  <conditionalFormatting sqref="V55:V57">
    <cfRule type="expression" dxfId="43" priority="211">
      <formula>W55&lt;S55</formula>
    </cfRule>
    <cfRule type="expression" dxfId="42" priority="212">
      <formula>W55&gt;S55</formula>
    </cfRule>
  </conditionalFormatting>
  <conditionalFormatting sqref="V59:V61">
    <cfRule type="expression" dxfId="41" priority="209">
      <formula>W59&lt;S59</formula>
    </cfRule>
    <cfRule type="expression" dxfId="40" priority="210">
      <formula>W59&gt;S59</formula>
    </cfRule>
  </conditionalFormatting>
  <conditionalFormatting sqref="V64:V66">
    <cfRule type="expression" dxfId="39" priority="195">
      <formula>W64&lt;S64</formula>
    </cfRule>
    <cfRule type="expression" dxfId="38" priority="196">
      <formula>W64&gt;S64</formula>
    </cfRule>
  </conditionalFormatting>
  <conditionalFormatting sqref="V68:V70">
    <cfRule type="expression" dxfId="37" priority="193">
      <formula>W68&lt;S68</formula>
    </cfRule>
    <cfRule type="expression" dxfId="36" priority="194">
      <formula>W68&gt;S68</formula>
    </cfRule>
  </conditionalFormatting>
  <conditionalFormatting sqref="V74:V76">
    <cfRule type="expression" dxfId="35" priority="123">
      <formula>W74&lt;S74</formula>
    </cfRule>
    <cfRule type="expression" dxfId="34" priority="124">
      <formula>W74&gt;S74</formula>
    </cfRule>
  </conditionalFormatting>
  <conditionalFormatting sqref="V78:V80">
    <cfRule type="expression" dxfId="33" priority="121">
      <formula>W78&lt;S78</formula>
    </cfRule>
    <cfRule type="expression" dxfId="32" priority="122">
      <formula>W78&gt;S78</formula>
    </cfRule>
  </conditionalFormatting>
  <conditionalFormatting sqref="V83:V85">
    <cfRule type="expression" dxfId="31" priority="120">
      <formula>W83&gt;S83</formula>
    </cfRule>
    <cfRule type="expression" dxfId="30" priority="119">
      <formula>W83&lt;S83</formula>
    </cfRule>
  </conditionalFormatting>
  <conditionalFormatting sqref="V87:V89">
    <cfRule type="expression" dxfId="29" priority="118">
      <formula>W87&gt;S87</formula>
    </cfRule>
    <cfRule type="expression" dxfId="28" priority="117">
      <formula>W87&lt;S87</formula>
    </cfRule>
  </conditionalFormatting>
  <conditionalFormatting sqref="V92:V94">
    <cfRule type="expression" dxfId="27" priority="104">
      <formula>W92&gt;S92</formula>
    </cfRule>
    <cfRule type="expression" dxfId="26" priority="103">
      <formula>W92&lt;S92</formula>
    </cfRule>
  </conditionalFormatting>
  <conditionalFormatting sqref="V96:V98">
    <cfRule type="expression" dxfId="25" priority="101">
      <formula>W96&lt;S96</formula>
    </cfRule>
    <cfRule type="expression" dxfId="24" priority="102">
      <formula>W96&gt;S96</formula>
    </cfRule>
  </conditionalFormatting>
  <conditionalFormatting sqref="V102:V104">
    <cfRule type="expression" dxfId="23" priority="77">
      <formula>W102&gt;S102</formula>
    </cfRule>
    <cfRule type="expression" dxfId="22" priority="78">
      <formula>W102&lt;S102</formula>
    </cfRule>
  </conditionalFormatting>
  <conditionalFormatting sqref="V106:V108">
    <cfRule type="expression" dxfId="21" priority="75">
      <formula>W106&gt;S106</formula>
    </cfRule>
    <cfRule type="expression" dxfId="20" priority="76">
      <formula>W106&lt;S106</formula>
    </cfRule>
  </conditionalFormatting>
  <conditionalFormatting sqref="V111:V113">
    <cfRule type="expression" dxfId="19" priority="73">
      <formula>W111&gt;S111</formula>
    </cfRule>
    <cfRule type="expression" dxfId="18" priority="74">
      <formula>W111&lt;S111</formula>
    </cfRule>
  </conditionalFormatting>
  <conditionalFormatting sqref="V115:V117">
    <cfRule type="expression" dxfId="17" priority="71">
      <formula>W115&gt;S115</formula>
    </cfRule>
    <cfRule type="expression" dxfId="16" priority="72">
      <formula>W115&lt;S115</formula>
    </cfRule>
  </conditionalFormatting>
  <conditionalFormatting sqref="V120:V122">
    <cfRule type="expression" dxfId="15" priority="58">
      <formula>W120&lt;S120</formula>
    </cfRule>
    <cfRule type="expression" dxfId="14" priority="57">
      <formula>W120&gt;S120</formula>
    </cfRule>
  </conditionalFormatting>
  <conditionalFormatting sqref="V124:V126">
    <cfRule type="expression" dxfId="13" priority="55">
      <formula>W124&gt;S124</formula>
    </cfRule>
    <cfRule type="expression" dxfId="12" priority="56">
      <formula>W124&lt;S124</formula>
    </cfRule>
  </conditionalFormatting>
  <conditionalFormatting sqref="V130:V132">
    <cfRule type="expression" dxfId="11" priority="32">
      <formula>W130&gt;S130</formula>
    </cfRule>
    <cfRule type="expression" dxfId="10" priority="31">
      <formula>W130&lt;S130</formula>
    </cfRule>
  </conditionalFormatting>
  <conditionalFormatting sqref="V134:V136">
    <cfRule type="expression" dxfId="9" priority="30">
      <formula>W134&gt;S134</formula>
    </cfRule>
    <cfRule type="expression" dxfId="8" priority="29">
      <formula>W134&lt;S134</formula>
    </cfRule>
  </conditionalFormatting>
  <conditionalFormatting sqref="V139:V141">
    <cfRule type="expression" dxfId="7" priority="28">
      <formula>W139&gt;S139</formula>
    </cfRule>
    <cfRule type="expression" dxfId="6" priority="27">
      <formula>W139&lt;S139</formula>
    </cfRule>
  </conditionalFormatting>
  <conditionalFormatting sqref="V143:V145">
    <cfRule type="expression" dxfId="5" priority="26">
      <formula>W143&gt;S143</formula>
    </cfRule>
    <cfRule type="expression" dxfId="4" priority="25">
      <formula>W143&lt;S143</formula>
    </cfRule>
  </conditionalFormatting>
  <conditionalFormatting sqref="V148:V150">
    <cfRule type="expression" dxfId="3" priority="12">
      <formula>W148&gt;S148</formula>
    </cfRule>
    <cfRule type="expression" dxfId="2" priority="11">
      <formula>W148&lt;S148</formula>
    </cfRule>
  </conditionalFormatting>
  <conditionalFormatting sqref="V152:V154">
    <cfRule type="expression" dxfId="1" priority="10">
      <formula>W152&gt;S152</formula>
    </cfRule>
    <cfRule type="expression" dxfId="0" priority="9">
      <formula>W152&lt;S152</formula>
    </cfRule>
  </conditionalFormatting>
  <dataValidations count="114">
    <dataValidation type="list" showInputMessage="1" showErrorMessage="1" sqref="F22 J22 N22 V22 R22" xr:uid="{00000000-0002-0000-0400-000000000000}">
      <formula1>G_SM_B_1_1</formula1>
    </dataValidation>
    <dataValidation type="list" showInputMessage="1" showErrorMessage="1" sqref="F23 J23 N23 V23 R23" xr:uid="{00000000-0002-0000-0400-000001000000}">
      <formula1>G_SM_B_2_1</formula1>
    </dataValidation>
    <dataValidation type="list" showInputMessage="1" showErrorMessage="1" sqref="F24 J24 N24 R24 V24" xr:uid="{00000000-0002-0000-0400-000002000000}">
      <formula1>G_SM_B_3_1</formula1>
    </dataValidation>
    <dataValidation type="list" showInputMessage="1" showErrorMessage="1" sqref="F27 J27 N27 R27 V27" xr:uid="{00000000-0002-0000-0400-000003000000}">
      <formula1>G_PC_A_1_1</formula1>
    </dataValidation>
    <dataValidation type="list" showInputMessage="1" showErrorMessage="1" sqref="F28 J28 N28 R28 V28" xr:uid="{00000000-0002-0000-0400-000004000000}">
      <formula1>G_PC_A_2_1</formula1>
    </dataValidation>
    <dataValidation type="list" showInputMessage="1" showErrorMessage="1" sqref="F29 J29 N29 R29 V29" xr:uid="{00000000-0002-0000-0400-000005000000}">
      <formula1>G_PC_A_3_1</formula1>
    </dataValidation>
    <dataValidation type="list" showInputMessage="1" showErrorMessage="1" sqref="F31 J31 N31 R31 V31" xr:uid="{00000000-0002-0000-0400-000006000000}">
      <formula1>G_PC_B_1_1</formula1>
    </dataValidation>
    <dataValidation type="list" showInputMessage="1" showErrorMessage="1" sqref="F32 J32 N32 R32 V32" xr:uid="{00000000-0002-0000-0400-000007000000}">
      <formula1>G_PC_B_2_1</formula1>
    </dataValidation>
    <dataValidation type="list" showInputMessage="1" showErrorMessage="1" sqref="F33 J33 N33 R33 V33" xr:uid="{00000000-0002-0000-0400-000008000000}">
      <formula1>G_PC_B_3_1</formula1>
    </dataValidation>
    <dataValidation type="list" showInputMessage="1" showErrorMessage="1" sqref="F36 J36 N36 R36 V36" xr:uid="{00000000-0002-0000-0400-000009000000}">
      <formula1>G_EG_A_1_1</formula1>
    </dataValidation>
    <dataValidation type="list" showInputMessage="1" showErrorMessage="1" sqref="F37 J37 N37 R37 V37" xr:uid="{00000000-0002-0000-0400-00000A000000}">
      <formula1>G_EG_A_2_1</formula1>
    </dataValidation>
    <dataValidation type="list" showInputMessage="1" showErrorMessage="1" sqref="F38 J38 N38 R38 V38" xr:uid="{00000000-0002-0000-0400-00000B000000}">
      <formula1>G_EG_A_3_1</formula1>
    </dataValidation>
    <dataValidation type="list" showInputMessage="1" showErrorMessage="1" sqref="F40 J40 N40 R40 V40" xr:uid="{00000000-0002-0000-0400-00000C000000}">
      <formula1>G_EG_B_1_1</formula1>
    </dataValidation>
    <dataValidation type="list" showInputMessage="1" showErrorMessage="1" sqref="F41 J41 N41 R41 V41" xr:uid="{00000000-0002-0000-0400-00000D000000}">
      <formula1>G_EG_B_2_1</formula1>
    </dataValidation>
    <dataValidation type="list" showInputMessage="1" showErrorMessage="1" sqref="F42 J42 N42 R42 V42" xr:uid="{00000000-0002-0000-0400-00000E000000}">
      <formula1>G_EG_B_3_1</formula1>
    </dataValidation>
    <dataValidation type="list" showInputMessage="1" showErrorMessage="1" sqref="F46 J46 N46 R46 V46" xr:uid="{00000000-0002-0000-0400-00000F000000}">
      <formula1>D_TA_A_1_1</formula1>
    </dataValidation>
    <dataValidation type="list" showInputMessage="1" showErrorMessage="1" sqref="F47 J47 N47 R47 V47" xr:uid="{00000000-0002-0000-0400-000010000000}">
      <formula1>D_TA_A_2_1</formula1>
    </dataValidation>
    <dataValidation type="list" showInputMessage="1" showErrorMessage="1" sqref="F48 J48 N48 R48 V48" xr:uid="{00000000-0002-0000-0400-000011000000}">
      <formula1>D_TA_A_3_1</formula1>
    </dataValidation>
    <dataValidation type="list" showInputMessage="1" showErrorMessage="1" sqref="F50 J50 N50 R50 V50" xr:uid="{00000000-0002-0000-0400-000012000000}">
      <formula1>D_TA_B_1_1</formula1>
    </dataValidation>
    <dataValidation type="list" showInputMessage="1" showErrorMessage="1" sqref="F51 J51 N51 R51 V51" xr:uid="{00000000-0002-0000-0400-000013000000}">
      <formula1>D_TA_B_2_1</formula1>
    </dataValidation>
    <dataValidation type="list" showInputMessage="1" showErrorMessage="1" sqref="F52 J52 N52 R52 V52" xr:uid="{00000000-0002-0000-0400-000014000000}">
      <formula1>D_TA_B_3_1</formula1>
    </dataValidation>
    <dataValidation type="list" showInputMessage="1" showErrorMessage="1" sqref="F55 J55 N55 R55 V55" xr:uid="{00000000-0002-0000-0400-000015000000}">
      <formula1>D_SR_A_1_1</formula1>
    </dataValidation>
    <dataValidation type="list" showInputMessage="1" showErrorMessage="1" sqref="F56 J56 N56 R56 V56" xr:uid="{00000000-0002-0000-0400-000016000000}">
      <formula1>D_SR_A_2_1</formula1>
    </dataValidation>
    <dataValidation type="list" showInputMessage="1" showErrorMessage="1" sqref="F57 J57 N57 R57 V57" xr:uid="{00000000-0002-0000-0400-000017000000}">
      <formula1>D_SR_A_3_1</formula1>
    </dataValidation>
    <dataValidation type="list" showInputMessage="1" showErrorMessage="1" sqref="F59 J59 N59 R59 V59" xr:uid="{00000000-0002-0000-0400-000018000000}">
      <formula1>D_SR_B_1_1</formula1>
    </dataValidation>
    <dataValidation type="list" showInputMessage="1" showErrorMessage="1" sqref="F60 J60 N60 R60 V60" xr:uid="{00000000-0002-0000-0400-000019000000}">
      <formula1>D_SR_B_2_1</formula1>
    </dataValidation>
    <dataValidation type="list" showInputMessage="1" showErrorMessage="1" sqref="F61 J61 N61 R61 V61" xr:uid="{00000000-0002-0000-0400-00001A000000}">
      <formula1>D_SR_B_3_1</formula1>
    </dataValidation>
    <dataValidation type="list" showInputMessage="1" showErrorMessage="1" sqref="F64 J64 N64 R64 V64" xr:uid="{00000000-0002-0000-0400-00001B000000}">
      <formula1>D_SA_A_1_1</formula1>
    </dataValidation>
    <dataValidation type="list" showInputMessage="1" showErrorMessage="1" sqref="F65 J65 N65 R65 V65" xr:uid="{00000000-0002-0000-0400-00001C000000}">
      <formula1>D_SA_A_2_1</formula1>
    </dataValidation>
    <dataValidation type="list" showInputMessage="1" showErrorMessage="1" sqref="F66 J66 N66 R66 V66" xr:uid="{00000000-0002-0000-0400-00001D000000}">
      <formula1>D_SA_A_3_1</formula1>
    </dataValidation>
    <dataValidation type="list" showInputMessage="1" showErrorMessage="1" sqref="F68 J68 N68 R68 V68" xr:uid="{00000000-0002-0000-0400-00001E000000}">
      <formula1>D_SA_B_1_1</formula1>
    </dataValidation>
    <dataValidation type="list" showInputMessage="1" showErrorMessage="1" sqref="F69 J69 N69 R69 V69" xr:uid="{00000000-0002-0000-0400-00001F000000}">
      <formula1>D_SA_B_2_1</formula1>
    </dataValidation>
    <dataValidation type="list" showInputMessage="1" showErrorMessage="1" sqref="F70 J70 N70 R70 V70" xr:uid="{00000000-0002-0000-0400-000020000000}">
      <formula1>D_SA_B_3_1</formula1>
    </dataValidation>
    <dataValidation type="list" showInputMessage="1" showErrorMessage="1" sqref="V74 R74 N74" xr:uid="{00000000-0002-0000-0400-000021000000}">
      <formula1>I_SB_A_1_1</formula1>
    </dataValidation>
    <dataValidation type="list" showInputMessage="1" showErrorMessage="1" sqref="R75 V75 N75" xr:uid="{00000000-0002-0000-0400-000022000000}">
      <formula1>I_SB_A_2_1</formula1>
    </dataValidation>
    <dataValidation type="list" showInputMessage="1" showErrorMessage="1" sqref="V76 R76 N76" xr:uid="{00000000-0002-0000-0400-000023000000}">
      <formula1>I_SB_A_3_1</formula1>
    </dataValidation>
    <dataValidation type="list" showInputMessage="1" showErrorMessage="1" sqref="V78 R78 N78" xr:uid="{00000000-0002-0000-0400-000024000000}">
      <formula1>I_SB_B_1_1</formula1>
    </dataValidation>
    <dataValidation type="list" showInputMessage="1" showErrorMessage="1" sqref="V79 R79 N79" xr:uid="{00000000-0002-0000-0400-000025000000}">
      <formula1>I_SB_B_2_1</formula1>
    </dataValidation>
    <dataValidation type="list" showInputMessage="1" showErrorMessage="1" sqref="V80 R80 N80" xr:uid="{00000000-0002-0000-0400-000026000000}">
      <formula1>I_SB_B_3_1</formula1>
    </dataValidation>
    <dataValidation type="list" showInputMessage="1" showErrorMessage="1" sqref="F83 J83 N83 R83 V83" xr:uid="{00000000-0002-0000-0400-000027000000}">
      <formula1>I_SD_A_1_1</formula1>
    </dataValidation>
    <dataValidation type="list" showInputMessage="1" showErrorMessage="1" sqref="F84 J84 N84 R84 V84" xr:uid="{00000000-0002-0000-0400-000028000000}">
      <formula1>I_SD_A_2_1</formula1>
    </dataValidation>
    <dataValidation type="list" showInputMessage="1" showErrorMessage="1" sqref="F85 J85 N85 R85 V85" xr:uid="{00000000-0002-0000-0400-000029000000}">
      <formula1>I_SD_A_3_1</formula1>
    </dataValidation>
    <dataValidation type="list" showInputMessage="1" showErrorMessage="1" sqref="F87 J87 N87 R87 V87" xr:uid="{00000000-0002-0000-0400-00002A000000}">
      <formula1>I_SD_B_1_1</formula1>
    </dataValidation>
    <dataValidation type="list" showInputMessage="1" showErrorMessage="1" sqref="F88 J88 N88 R88 V88" xr:uid="{00000000-0002-0000-0400-00002B000000}">
      <formula1>I_SD_B_2_1</formula1>
    </dataValidation>
    <dataValidation type="list" showInputMessage="1" showErrorMessage="1" sqref="F89 J89 N89 R89 V89" xr:uid="{00000000-0002-0000-0400-00002C000000}">
      <formula1>I_SD_B_3_1</formula1>
    </dataValidation>
    <dataValidation type="list" showInputMessage="1" showErrorMessage="1" sqref="F92 J92 N92 R92 V92" xr:uid="{00000000-0002-0000-0400-00002D000000}">
      <formula1>I_DM_A_1_1</formula1>
    </dataValidation>
    <dataValidation type="list" showInputMessage="1" showErrorMessage="1" sqref="F93 J93 N93 R93 V93" xr:uid="{00000000-0002-0000-0400-00002E000000}">
      <formula1>I_DM_A_2_1</formula1>
    </dataValidation>
    <dataValidation type="list" showInputMessage="1" showErrorMessage="1" sqref="F94 J94 N94 R94 V94" xr:uid="{00000000-0002-0000-0400-00002F000000}">
      <formula1>I_DM_A_3_1</formula1>
    </dataValidation>
    <dataValidation type="list" showInputMessage="1" showErrorMessage="1" sqref="F96 J96 N96 R96 V96" xr:uid="{00000000-0002-0000-0400-000030000000}">
      <formula1>I_DM_B_1_1</formula1>
    </dataValidation>
    <dataValidation type="list" showInputMessage="1" showErrorMessage="1" sqref="F97 J97 N97 R97 V97" xr:uid="{00000000-0002-0000-0400-000031000000}">
      <formula1>I_DM_B_2_1</formula1>
    </dataValidation>
    <dataValidation type="list" showInputMessage="1" showErrorMessage="1" sqref="F98 J98 N98 R98 V98" xr:uid="{00000000-0002-0000-0400-000032000000}">
      <formula1>I_DM_B_3_1</formula1>
    </dataValidation>
    <dataValidation type="list" showInputMessage="1" showErrorMessage="1" sqref="V102" xr:uid="{00000000-0002-0000-0400-000033000000}">
      <formula1>V_AA_A_1_1</formula1>
    </dataValidation>
    <dataValidation type="list" showInputMessage="1" showErrorMessage="1" sqref="F103 V103" xr:uid="{00000000-0002-0000-0400-000034000000}">
      <formula1>V_AA_A_2_1</formula1>
    </dataValidation>
    <dataValidation type="list" showInputMessage="1" showErrorMessage="1" sqref="F104 V104" xr:uid="{00000000-0002-0000-0400-000035000000}">
      <formula1>V_AA_A_3_1</formula1>
    </dataValidation>
    <dataValidation type="list" showInputMessage="1" showErrorMessage="1" sqref="V106" xr:uid="{00000000-0002-0000-0400-000036000000}">
      <formula1>V_AA_B_1_1</formula1>
    </dataValidation>
    <dataValidation type="list" showInputMessage="1" showErrorMessage="1" sqref="V107" xr:uid="{00000000-0002-0000-0400-000037000000}">
      <formula1>V_AA_B_2_1</formula1>
    </dataValidation>
    <dataValidation type="list" showInputMessage="1" showErrorMessage="1" sqref="V108" xr:uid="{00000000-0002-0000-0400-000038000000}">
      <formula1>V_AA_B_3_1</formula1>
    </dataValidation>
    <dataValidation type="list" showInputMessage="1" showErrorMessage="1" sqref="V111" xr:uid="{00000000-0002-0000-0400-000039000000}">
      <formula1>V_RT_A_1_1</formula1>
    </dataValidation>
    <dataValidation type="list" showInputMessage="1" showErrorMessage="1" sqref="V112" xr:uid="{00000000-0002-0000-0400-00003A000000}">
      <formula1>V_RT_A_2_1</formula1>
    </dataValidation>
    <dataValidation type="list" showInputMessage="1" showErrorMessage="1" sqref="V113" xr:uid="{00000000-0002-0000-0400-00003B000000}">
      <formula1>V_RT_A_3_1</formula1>
    </dataValidation>
    <dataValidation type="list" showInputMessage="1" showErrorMessage="1" sqref="V115" xr:uid="{00000000-0002-0000-0400-00003C000000}">
      <formula1>V_RT_B_1_1</formula1>
    </dataValidation>
    <dataValidation type="list" showInputMessage="1" showErrorMessage="1" sqref="V116" xr:uid="{00000000-0002-0000-0400-00003D000000}">
      <formula1>V_RT_B_2_1</formula1>
    </dataValidation>
    <dataValidation type="list" showInputMessage="1" showErrorMessage="1" sqref="V117" xr:uid="{00000000-0002-0000-0400-00003E000000}">
      <formula1>V_RT_B_3_1</formula1>
    </dataValidation>
    <dataValidation type="list" showInputMessage="1" showErrorMessage="1" sqref="V120" xr:uid="{00000000-0002-0000-0400-00003F000000}">
      <formula1>V_ST_A_1_1</formula1>
    </dataValidation>
    <dataValidation type="list" showInputMessage="1" showErrorMessage="1" sqref="V121" xr:uid="{00000000-0002-0000-0400-000040000000}">
      <formula1>V_ST_A_2_1</formula1>
    </dataValidation>
    <dataValidation type="list" showInputMessage="1" showErrorMessage="1" sqref="V122" xr:uid="{00000000-0002-0000-0400-000041000000}">
      <formula1>V_ST_A_3_1</formula1>
    </dataValidation>
    <dataValidation type="list" showInputMessage="1" showErrorMessage="1" sqref="V124" xr:uid="{00000000-0002-0000-0400-000042000000}">
      <formula1>V_ST_B_1_1</formula1>
    </dataValidation>
    <dataValidation type="list" showInputMessage="1" showErrorMessage="1" sqref="V125" xr:uid="{00000000-0002-0000-0400-000043000000}">
      <formula1>V_ST_B_2_1</formula1>
    </dataValidation>
    <dataValidation type="list" showInputMessage="1" showErrorMessage="1" sqref="V126" xr:uid="{00000000-0002-0000-0400-000044000000}">
      <formula1>V_ST_B_3_1</formula1>
    </dataValidation>
    <dataValidation type="list" showInputMessage="1" showErrorMessage="1" sqref="F130 J130 N130 R130 V130" xr:uid="{00000000-0002-0000-0400-000045000000}">
      <formula1>O_IM_A_1_1</formula1>
    </dataValidation>
    <dataValidation type="list" showInputMessage="1" showErrorMessage="1" sqref="F131 J131 N131 R131 V131" xr:uid="{00000000-0002-0000-0400-000046000000}">
      <formula1>O_IM_A_2_1</formula1>
    </dataValidation>
    <dataValidation type="list" showInputMessage="1" showErrorMessage="1" sqref="F132 J132 N132 R132 V132" xr:uid="{00000000-0002-0000-0400-000047000000}">
      <formula1>O_IM_A_3_1</formula1>
    </dataValidation>
    <dataValidation type="list" showInputMessage="1" showErrorMessage="1" sqref="F134 J134 N134 R134 V134" xr:uid="{00000000-0002-0000-0400-000048000000}">
      <formula1>O_IM_B_1_1</formula1>
    </dataValidation>
    <dataValidation type="list" showInputMessage="1" showErrorMessage="1" sqref="F135 J135 N135 R135 V135" xr:uid="{00000000-0002-0000-0400-000049000000}">
      <formula1>O_IM_B_2_1</formula1>
    </dataValidation>
    <dataValidation type="list" showInputMessage="1" showErrorMessage="1" sqref="F136 J136 N136 R136 V136" xr:uid="{00000000-0002-0000-0400-00004A000000}">
      <formula1>O_IM_B_3_1</formula1>
    </dataValidation>
    <dataValidation type="list" showInputMessage="1" showErrorMessage="1" sqref="F139 J139 N139 R139 V139" xr:uid="{00000000-0002-0000-0400-00004B000000}">
      <formula1>O_EM_A_1_1</formula1>
    </dataValidation>
    <dataValidation type="list" showInputMessage="1" showErrorMessage="1" sqref="F140 J140 N140 R140 V140" xr:uid="{00000000-0002-0000-0400-00004C000000}">
      <formula1>O_EM_A_2_1</formula1>
    </dataValidation>
    <dataValidation type="list" showInputMessage="1" showErrorMessage="1" sqref="F141 J141 N141 R141 V141" xr:uid="{00000000-0002-0000-0400-00004D000000}">
      <formula1>O_EM_A_3_1</formula1>
    </dataValidation>
    <dataValidation type="list" showInputMessage="1" showErrorMessage="1" sqref="F143 J143 N143 R143 V143" xr:uid="{00000000-0002-0000-0400-00004E000000}">
      <formula1>O_EM_B_1_1</formula1>
    </dataValidation>
    <dataValidation type="list" showInputMessage="1" showErrorMessage="1" sqref="F144 J144 N144 R144 V144" xr:uid="{00000000-0002-0000-0400-00004F000000}">
      <formula1>O_EM_B_2_1</formula1>
    </dataValidation>
    <dataValidation type="list" showInputMessage="1" showErrorMessage="1" sqref="F145 J145 N145 R145 V145" xr:uid="{00000000-0002-0000-0400-000050000000}">
      <formula1>O_EM_B_3_1</formula1>
    </dataValidation>
    <dataValidation type="list" showInputMessage="1" showErrorMessage="1" sqref="F148 J148 N148 R148 V148" xr:uid="{00000000-0002-0000-0400-000051000000}">
      <formula1>O_OM_A_1_1</formula1>
    </dataValidation>
    <dataValidation type="list" showInputMessage="1" showErrorMessage="1" sqref="F149 J149 N149 R149 V149" xr:uid="{00000000-0002-0000-0400-000052000000}">
      <formula1>O_OM_A_2_1</formula1>
    </dataValidation>
    <dataValidation type="list" showInputMessage="1" showErrorMessage="1" sqref="F150 J150 N150 R150 V150" xr:uid="{00000000-0002-0000-0400-000053000000}">
      <formula1>O_OM_A_3_1</formula1>
    </dataValidation>
    <dataValidation type="list" showInputMessage="1" showErrorMessage="1" sqref="F152 J152 N152 R152 V152" xr:uid="{00000000-0002-0000-0400-000054000000}">
      <formula1>O_OM_B_1_1</formula1>
    </dataValidation>
    <dataValidation type="list" showInputMessage="1" showErrorMessage="1" sqref="F153 J153 N153 R153 V153" xr:uid="{00000000-0002-0000-0400-000055000000}">
      <formula1>O_OM_B_2_1</formula1>
    </dataValidation>
    <dataValidation type="list" showInputMessage="1" showErrorMessage="1" sqref="F154 J154 N154 R154 V154" xr:uid="{00000000-0002-0000-0400-000056000000}">
      <formula1>O_OM_B_3_1</formula1>
    </dataValidation>
    <dataValidation type="list" showInputMessage="1" showErrorMessage="1" sqref="N18 J18 F18 R18 V18" xr:uid="{00000000-0002-0000-0400-000057000000}">
      <formula1>G_SM_A_1_1</formula1>
    </dataValidation>
    <dataValidation type="list" showInputMessage="1" showErrorMessage="1" sqref="F19 J19 N19 R19 V19" xr:uid="{00000000-0002-0000-0400-000058000000}">
      <formula1>G_SM_A_2_1</formula1>
    </dataValidation>
    <dataValidation type="list" showInputMessage="1" showErrorMessage="1" sqref="F20 J20 N20 R20 V20" xr:uid="{00000000-0002-0000-0400-000059000000}">
      <formula1>G_SM_A_3_1</formula1>
    </dataValidation>
    <dataValidation type="list" allowBlank="1" showInputMessage="1" showErrorMessage="1" sqref="F74 J74" xr:uid="{D8908966-FA2B-C346-B94B-6C83BED0521E}">
      <formula1>I_SB_A_1_1</formula1>
    </dataValidation>
    <dataValidation type="list" allowBlank="1" showInputMessage="1" showErrorMessage="1" sqref="F75 J75" xr:uid="{CE281F3B-76CB-1D46-88D3-ABA908EACA2A}">
      <formula1>I_SB_A_2_1</formula1>
    </dataValidation>
    <dataValidation type="list" allowBlank="1" showInputMessage="1" showErrorMessage="1" sqref="F76 J76" xr:uid="{715C100F-E9B5-B94C-A07A-BA9117D291AB}">
      <formula1>I_SB_A_3_1</formula1>
    </dataValidation>
    <dataValidation type="list" allowBlank="1" showInputMessage="1" showErrorMessage="1" sqref="F78 J78" xr:uid="{00EE55CC-14AB-1642-885B-B36562492AE3}">
      <formula1>I_SB_B_1_1</formula1>
    </dataValidation>
    <dataValidation type="list" allowBlank="1" showInputMessage="1" showErrorMessage="1" sqref="F79 J79" xr:uid="{E14AECF3-0AB2-C64F-8084-9B9422A6FAF3}">
      <formula1>I_SB_B_2_1</formula1>
    </dataValidation>
    <dataValidation type="list" allowBlank="1" showInputMessage="1" showErrorMessage="1" sqref="F80 J80" xr:uid="{2394AE7E-A80A-844B-A631-8611874FEE58}">
      <formula1>I_SB_B_3_1</formula1>
    </dataValidation>
    <dataValidation type="list" allowBlank="1" showInputMessage="1" showErrorMessage="1" sqref="F102 J102 N102 R102" xr:uid="{76D6630B-9193-9542-A16A-1267E363E673}">
      <formula1>V_AA_A_1_1</formula1>
    </dataValidation>
    <dataValidation type="list" allowBlank="1" showInputMessage="1" showErrorMessage="1" sqref="F106 J106 N106 R106" xr:uid="{8F5E6D23-36F8-3F44-AFB2-8E919886280E}">
      <formula1>V_AA_B_1_1</formula1>
    </dataValidation>
    <dataValidation type="list" allowBlank="1" showInputMessage="1" showErrorMessage="1" sqref="F107 J107 N107 R107" xr:uid="{0BE37B34-ACCD-A64E-B0EC-632364B1CD65}">
      <formula1>V_AA_B_2_1</formula1>
    </dataValidation>
    <dataValidation type="list" allowBlank="1" showInputMessage="1" showErrorMessage="1" sqref="F108 J108 N108 R108" xr:uid="{B70B46C1-8209-E448-8875-798CB084B21D}">
      <formula1>V_AA_B_3_1</formula1>
    </dataValidation>
    <dataValidation type="list" allowBlank="1" showInputMessage="1" showErrorMessage="1" sqref="F111 J111 N111 R111" xr:uid="{A81AC044-E829-8240-A53C-80542D98A79D}">
      <formula1>V_RT_A_1_1</formula1>
    </dataValidation>
    <dataValidation type="list" allowBlank="1" showInputMessage="1" showErrorMessage="1" sqref="F112 J112 N112 R112" xr:uid="{32476853-EB47-CE49-81C3-B021040231D5}">
      <formula1>V_RT_A_2_1</formula1>
    </dataValidation>
    <dataValidation type="list" allowBlank="1" showInputMessage="1" showErrorMessage="1" sqref="F113 J113 N113 R113" xr:uid="{6B26B473-D417-5548-87F6-B762FF6E71CD}">
      <formula1>V_RT_A_3_1</formula1>
    </dataValidation>
    <dataValidation type="list" allowBlank="1" showInputMessage="1" showErrorMessage="1" sqref="F115 J115 N115 R115" xr:uid="{410FE7E5-9615-BF41-90CF-1AE826DB912E}">
      <formula1>V_RT_B_1_1</formula1>
    </dataValidation>
    <dataValidation type="list" allowBlank="1" showInputMessage="1" showErrorMessage="1" sqref="F116 J116 N116 R116" xr:uid="{5BA8BA85-FE18-8143-847A-B57DAF27287E}">
      <formula1>V_RT_B_2_1</formula1>
    </dataValidation>
    <dataValidation type="list" allowBlank="1" showInputMessage="1" showErrorMessage="1" sqref="F117 J117 N117 R117" xr:uid="{F4DA6F8A-A73C-D841-A98B-8CCF1D5F691F}">
      <formula1>V_RT_B_3_1</formula1>
    </dataValidation>
    <dataValidation type="list" allowBlank="1" showInputMessage="1" showErrorMessage="1" sqref="F120 J120 N120 R120" xr:uid="{66575525-9A11-4742-A9C8-0B58CEAEF62E}">
      <formula1>V_ST_A_1_1</formula1>
    </dataValidation>
    <dataValidation type="list" allowBlank="1" showInputMessage="1" showErrorMessage="1" sqref="F121 J121 N121 R121" xr:uid="{67A33160-274E-CE47-9CDC-43CE04B961AA}">
      <formula1>V_ST_A_2_1</formula1>
    </dataValidation>
    <dataValidation type="list" allowBlank="1" showInputMessage="1" showErrorMessage="1" sqref="F122 J122 N122 R122" xr:uid="{EA651D3E-A1FE-0241-BFB0-ED81135D4D66}">
      <formula1>V_ST_A_3_1</formula1>
    </dataValidation>
    <dataValidation type="list" allowBlank="1" showInputMessage="1" showErrorMessage="1" sqref="F124 J124 N124 R124" xr:uid="{F3CD0518-A948-8A44-9BFD-870D1E27DD6C}">
      <formula1>V_ST_B_1_1</formula1>
    </dataValidation>
    <dataValidation type="list" allowBlank="1" showInputMessage="1" showErrorMessage="1" sqref="F125 J125 N125 R125" xr:uid="{02536921-245D-8F45-880D-52DBED47093D}">
      <formula1>V_ST_B_2_1</formula1>
    </dataValidation>
    <dataValidation type="list" allowBlank="1" showInputMessage="1" showErrorMessage="1" sqref="F126 J126 N126 R126" xr:uid="{E29AF0A8-8A6F-E84C-91A3-5583A3AE67F1}">
      <formula1>V_ST_B_3_1</formula1>
    </dataValidation>
    <dataValidation type="list" allowBlank="1" showInputMessage="1" showErrorMessage="1" sqref="J103 N103 R103" xr:uid="{8F3FB5A1-DCC1-2F49-AD6E-7BEE0F9D66B6}">
      <formula1>V_AA_A_2_1</formula1>
    </dataValidation>
    <dataValidation type="list" allowBlank="1" showInputMessage="1" showErrorMessage="1" sqref="J104 N104 R104" xr:uid="{438819F7-97BD-6947-922F-A909ECBFAD1B}">
      <formula1>V_AA_A_3_1</formula1>
    </dataValidation>
  </dataValidations>
  <pageMargins left="0.75" right="0.75" top="1" bottom="1" header="0.5" footer="0.5"/>
  <pageSetup paperSize="9" scale="10" firstPageNumber="0" fitToWidth="0" fitToHeight="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AE132"/>
  <sheetViews>
    <sheetView topLeftCell="A5" zoomScaleNormal="100" workbookViewId="0">
      <selection activeCell="K12" sqref="K12"/>
    </sheetView>
  </sheetViews>
  <sheetFormatPr baseColWidth="10" defaultColWidth="8.83203125" defaultRowHeight="14" x14ac:dyDescent="0.2"/>
  <cols>
    <col min="1" max="1" width="26.1640625" style="39" customWidth="1"/>
    <col min="2" max="2" width="11" style="39" customWidth="1"/>
    <col min="3" max="3" width="9.5" style="39" customWidth="1"/>
    <col min="4" max="4" width="1.83203125" style="39" customWidth="1"/>
    <col min="5" max="5" width="8.83203125" style="39" customWidth="1"/>
    <col min="6" max="6" width="1.5" style="39" customWidth="1"/>
    <col min="7" max="7" width="8.83203125" style="39" customWidth="1"/>
    <col min="8" max="8" width="1.5" style="39" customWidth="1"/>
    <col min="9" max="9" width="8.83203125" style="39" customWidth="1"/>
    <col min="10" max="10" width="1.5" style="39" customWidth="1"/>
    <col min="11" max="11" width="21.5" style="39" customWidth="1"/>
    <col min="12" max="12" width="22.1640625" style="39" customWidth="1"/>
    <col min="13" max="13" width="3.83203125" style="39" customWidth="1"/>
    <col min="14" max="14" width="4.5" style="39" customWidth="1"/>
    <col min="15" max="22" width="9.5" style="39" customWidth="1"/>
    <col min="23" max="25" width="8.83203125" style="39" customWidth="1"/>
    <col min="26" max="26" width="24.6640625" style="39" customWidth="1"/>
    <col min="27" max="28" width="8.83203125" style="39" customWidth="1"/>
    <col min="29" max="16384" width="8.83203125" style="39"/>
  </cols>
  <sheetData>
    <row r="1" spans="1:31" ht="69" customHeight="1" x14ac:dyDescent="0.2">
      <c r="A1" s="632" t="s">
        <v>236</v>
      </c>
      <c r="B1" s="504"/>
      <c r="C1" s="504"/>
      <c r="D1" s="504"/>
      <c r="E1" s="504"/>
      <c r="F1" s="504"/>
      <c r="G1" s="504"/>
      <c r="H1" s="504"/>
      <c r="I1" s="504"/>
      <c r="J1" s="504"/>
      <c r="K1" s="600"/>
    </row>
    <row r="3" spans="1:31" ht="25" customHeight="1" x14ac:dyDescent="0.35">
      <c r="A3" s="40" t="s">
        <v>254</v>
      </c>
      <c r="L3" s="40" t="str">
        <f>A3</f>
        <v>Software Assurance Maturity Model (SAMM) Roadmap</v>
      </c>
    </row>
    <row r="4" spans="1:31" s="41" customFormat="1" ht="14" customHeight="1" x14ac:dyDescent="0.2">
      <c r="A4" s="41" t="s">
        <v>6</v>
      </c>
      <c r="B4" s="634" t="str">
        <f>IF(ISBLANK(Interview!D10),"",Interview!D10)</f>
        <v/>
      </c>
      <c r="C4" s="631"/>
      <c r="L4" s="41" t="str">
        <f>B4</f>
        <v/>
      </c>
    </row>
    <row r="5" spans="1:31" s="41" customFormat="1" ht="14" customHeight="1" x14ac:dyDescent="0.2">
      <c r="A5" s="41" t="s">
        <v>7</v>
      </c>
      <c r="B5" s="634" t="str">
        <f>IF(ISBLANK(Interview!D11),"",Interview!D11)</f>
        <v/>
      </c>
      <c r="C5" s="631"/>
      <c r="L5" s="41" t="str">
        <f>B5</f>
        <v/>
      </c>
    </row>
    <row r="6" spans="1:31" s="41" customFormat="1" ht="14" customHeight="1" x14ac:dyDescent="0.2">
      <c r="A6" s="41" t="s">
        <v>255</v>
      </c>
      <c r="B6" s="635" t="str">
        <f>IF(ISBLANK(Interview!D12),"",Interview!D12)</f>
        <v/>
      </c>
      <c r="C6" s="631"/>
      <c r="L6" s="42" t="str">
        <f>B6</f>
        <v/>
      </c>
    </row>
    <row r="7" spans="1:31" s="41" customFormat="1" ht="14" customHeight="1" x14ac:dyDescent="0.2">
      <c r="A7" s="41" t="s">
        <v>256</v>
      </c>
      <c r="B7" s="635" t="str">
        <f>IF(ISBLANK(Interview!D13),"",Interview!D13)</f>
        <v/>
      </c>
      <c r="C7" s="631"/>
    </row>
    <row r="8" spans="1:31" s="41" customFormat="1" ht="14" customHeight="1" x14ac:dyDescent="0.2">
      <c r="A8" s="41" t="s">
        <v>10</v>
      </c>
      <c r="B8" s="635" t="str">
        <f>IF(ISBLANK(Interview!D14),"",Interview!D14)</f>
        <v/>
      </c>
      <c r="C8" s="631"/>
      <c r="L8" s="43"/>
      <c r="M8" s="43"/>
      <c r="N8" s="43"/>
      <c r="O8" s="630"/>
      <c r="P8" s="631"/>
      <c r="Q8" s="631"/>
      <c r="R8" s="631"/>
      <c r="S8" s="630"/>
      <c r="T8" s="631"/>
      <c r="U8" s="631"/>
      <c r="V8" s="631"/>
      <c r="W8" s="52"/>
    </row>
    <row r="9" spans="1:31" s="41" customFormat="1" ht="14" customHeight="1" x14ac:dyDescent="0.2">
      <c r="L9" s="43"/>
      <c r="M9" s="43"/>
      <c r="N9" s="43"/>
      <c r="O9" s="630"/>
      <c r="P9" s="631"/>
      <c r="Q9" s="630"/>
      <c r="R9" s="631"/>
      <c r="S9" s="630"/>
      <c r="T9" s="631"/>
      <c r="U9" s="630"/>
      <c r="V9" s="631"/>
      <c r="W9" s="52"/>
    </row>
    <row r="10" spans="1:31" s="41" customFormat="1" ht="15" customHeight="1" thickBot="1" x14ac:dyDescent="0.25">
      <c r="A10" s="41" t="s">
        <v>257</v>
      </c>
      <c r="B10" s="44" t="s">
        <v>258</v>
      </c>
      <c r="I10" s="44" t="s">
        <v>259</v>
      </c>
      <c r="L10" s="45" t="s">
        <v>260</v>
      </c>
      <c r="M10" s="45"/>
      <c r="N10" s="45"/>
      <c r="O10" s="633"/>
      <c r="P10" s="546"/>
      <c r="Q10" s="633"/>
      <c r="R10" s="546"/>
      <c r="S10" s="633"/>
      <c r="T10" s="546"/>
      <c r="U10" s="633"/>
      <c r="V10" s="546"/>
      <c r="W10" s="52"/>
    </row>
    <row r="11" spans="1:31" ht="14" customHeight="1" thickBot="1" x14ac:dyDescent="0.25">
      <c r="A11" s="46" t="s">
        <v>261</v>
      </c>
      <c r="B11" s="47" t="s">
        <v>262</v>
      </c>
      <c r="C11" s="47" t="s">
        <v>249</v>
      </c>
      <c r="D11" s="48" t="s">
        <v>263</v>
      </c>
      <c r="E11" s="47" t="s">
        <v>250</v>
      </c>
      <c r="F11" s="48" t="s">
        <v>264</v>
      </c>
      <c r="G11" s="47" t="s">
        <v>251</v>
      </c>
      <c r="H11" s="48" t="s">
        <v>265</v>
      </c>
      <c r="I11" s="47" t="s">
        <v>252</v>
      </c>
      <c r="J11" s="49" t="s">
        <v>266</v>
      </c>
      <c r="K11" s="50" t="s">
        <v>267</v>
      </c>
      <c r="L11" s="51"/>
      <c r="M11" s="52"/>
      <c r="N11" s="52"/>
      <c r="O11" s="628" t="str">
        <f>C11</f>
        <v>Phase 1</v>
      </c>
      <c r="P11" s="629"/>
      <c r="Q11" s="628" t="str">
        <f>E11</f>
        <v>Phase 2</v>
      </c>
      <c r="R11" s="629"/>
      <c r="S11" s="628" t="str">
        <f>G11</f>
        <v>Phase 3</v>
      </c>
      <c r="T11" s="629"/>
      <c r="U11" s="628" t="str">
        <f>I11</f>
        <v>Phase 4</v>
      </c>
      <c r="V11" s="629"/>
      <c r="W11" s="52"/>
      <c r="AA11" s="50" t="str">
        <f t="shared" ref="AA11:AA26" si="0">I11</f>
        <v>Phase 4</v>
      </c>
      <c r="AB11" s="50" t="str">
        <f t="shared" ref="AB11:AB26" si="1">G11</f>
        <v>Phase 3</v>
      </c>
      <c r="AC11" s="50" t="str">
        <f t="shared" ref="AC11:AC26" si="2">E11</f>
        <v>Phase 2</v>
      </c>
      <c r="AD11" s="50" t="str">
        <f t="shared" ref="AD11:AD26" si="3">C11</f>
        <v>Phase 1</v>
      </c>
      <c r="AE11" s="50" t="str">
        <f t="shared" ref="AE11:AE26" si="4">B11</f>
        <v>Start</v>
      </c>
    </row>
    <row r="12" spans="1:31" ht="15" customHeight="1" x14ac:dyDescent="0.2">
      <c r="A12" s="53" t="s">
        <v>14</v>
      </c>
      <c r="B12" s="54">
        <f ca="1">IF(ISNUMBER(Interview!$J$18),Interview!$J$18,SUM(LEFT(Interview!$J$18),".5"))</f>
        <v>0</v>
      </c>
      <c r="C12" s="55">
        <f ca="1">Roadmap!M18</f>
        <v>0</v>
      </c>
      <c r="D12" s="56">
        <f t="shared" ref="D12:D26" ca="1" si="5">C12</f>
        <v>0</v>
      </c>
      <c r="E12" s="55">
        <f ca="1">Roadmap!Q18</f>
        <v>0</v>
      </c>
      <c r="F12" s="56">
        <f t="shared" ref="F12:F26" ca="1" si="6">E12</f>
        <v>0</v>
      </c>
      <c r="G12" s="55">
        <f ca="1">Roadmap!U18</f>
        <v>0</v>
      </c>
      <c r="H12" s="57">
        <f t="shared" ref="H12:H26" ca="1" si="7">G12</f>
        <v>0</v>
      </c>
      <c r="I12" s="55">
        <f ca="1">Roadmap!Y18</f>
        <v>0</v>
      </c>
      <c r="J12" s="57">
        <f t="shared" ref="J12:J26" ca="1" si="8">I12</f>
        <v>0</v>
      </c>
      <c r="K12" s="58">
        <f t="shared" ref="K12:K26" ca="1" si="9">IFERROR(I12-B12,I12-LEFT(B12,1))</f>
        <v>0</v>
      </c>
      <c r="L12" s="52"/>
      <c r="M12" s="52"/>
      <c r="N12" s="52"/>
      <c r="O12" s="52"/>
      <c r="P12" s="52"/>
      <c r="Q12" s="52"/>
      <c r="R12" s="52"/>
      <c r="S12" s="52"/>
      <c r="T12" s="52"/>
      <c r="U12" s="52"/>
      <c r="V12" s="52"/>
      <c r="W12" s="52"/>
      <c r="Z12" s="39" t="str">
        <f t="shared" ref="Z12:Z26" si="10">A12</f>
        <v>Strategy &amp; Metrics</v>
      </c>
      <c r="AA12" s="59">
        <f t="shared" ca="1" si="0"/>
        <v>0</v>
      </c>
      <c r="AB12" s="59">
        <f t="shared" ca="1" si="1"/>
        <v>0</v>
      </c>
      <c r="AC12" s="59">
        <f t="shared" ca="1" si="2"/>
        <v>0</v>
      </c>
      <c r="AD12" s="59">
        <f t="shared" ca="1" si="3"/>
        <v>0</v>
      </c>
      <c r="AE12" s="59">
        <f t="shared" ca="1" si="4"/>
        <v>0</v>
      </c>
    </row>
    <row r="13" spans="1:31" ht="15" customHeight="1" x14ac:dyDescent="0.2">
      <c r="A13" s="60" t="s">
        <v>24</v>
      </c>
      <c r="B13" s="54">
        <f ca="1">IF(ISNUMBER(Interview!$J$32),Interview!$J$32,SUM(LEFT(Interview!$J$32),".5"))</f>
        <v>0</v>
      </c>
      <c r="C13" s="61">
        <f ca="1">Roadmap!M27</f>
        <v>0</v>
      </c>
      <c r="D13" s="56">
        <f t="shared" ca="1" si="5"/>
        <v>0</v>
      </c>
      <c r="E13" s="61">
        <f ca="1">Roadmap!Q27</f>
        <v>0</v>
      </c>
      <c r="F13" s="56">
        <f t="shared" ca="1" si="6"/>
        <v>0</v>
      </c>
      <c r="G13" s="61">
        <f ca="1">Roadmap!U27</f>
        <v>0</v>
      </c>
      <c r="H13" s="56">
        <f t="shared" ca="1" si="7"/>
        <v>0</v>
      </c>
      <c r="I13" s="61">
        <f ca="1">Roadmap!Y27</f>
        <v>0</v>
      </c>
      <c r="J13" s="56">
        <f t="shared" ca="1" si="8"/>
        <v>0</v>
      </c>
      <c r="K13" s="58">
        <f t="shared" ca="1" si="9"/>
        <v>0</v>
      </c>
      <c r="L13" s="52"/>
      <c r="M13" s="52"/>
      <c r="N13" s="52"/>
      <c r="O13" s="52"/>
      <c r="P13" s="52"/>
      <c r="Q13" s="52"/>
      <c r="R13" s="52"/>
      <c r="S13" s="52"/>
      <c r="T13" s="52"/>
      <c r="U13" s="52"/>
      <c r="V13" s="52"/>
      <c r="W13" s="52"/>
      <c r="Z13" s="39" t="str">
        <f t="shared" si="10"/>
        <v>Policy &amp; Compliance</v>
      </c>
      <c r="AA13" s="59">
        <f t="shared" ca="1" si="0"/>
        <v>0</v>
      </c>
      <c r="AB13" s="59">
        <f t="shared" ca="1" si="1"/>
        <v>0</v>
      </c>
      <c r="AC13" s="59">
        <f t="shared" ca="1" si="2"/>
        <v>0</v>
      </c>
      <c r="AD13" s="59">
        <f t="shared" ca="1" si="3"/>
        <v>0</v>
      </c>
      <c r="AE13" s="59">
        <f t="shared" ca="1" si="4"/>
        <v>0</v>
      </c>
    </row>
    <row r="14" spans="1:31" ht="15" customHeight="1" x14ac:dyDescent="0.2">
      <c r="A14" s="62" t="s">
        <v>31</v>
      </c>
      <c r="B14" s="63">
        <f ca="1">IF(ISNUMBER(Interview!$J$46),Interview!$J$46,SUM(LEFT(Interview!$J$46),".5"))</f>
        <v>0</v>
      </c>
      <c r="C14" s="61">
        <f ca="1">Roadmap!M36</f>
        <v>0</v>
      </c>
      <c r="D14" s="64">
        <f t="shared" ca="1" si="5"/>
        <v>0</v>
      </c>
      <c r="E14" s="61">
        <f ca="1">Roadmap!Q36</f>
        <v>0</v>
      </c>
      <c r="F14" s="64">
        <f t="shared" ca="1" si="6"/>
        <v>0</v>
      </c>
      <c r="G14" s="61">
        <f ca="1">Roadmap!U36</f>
        <v>0</v>
      </c>
      <c r="H14" s="64">
        <f t="shared" ca="1" si="7"/>
        <v>0</v>
      </c>
      <c r="I14" s="61">
        <f ca="1">Roadmap!Y36</f>
        <v>0</v>
      </c>
      <c r="J14" s="64">
        <f t="shared" ca="1" si="8"/>
        <v>0</v>
      </c>
      <c r="K14" s="58">
        <f t="shared" ca="1" si="9"/>
        <v>0</v>
      </c>
      <c r="L14" s="52"/>
      <c r="M14" s="52"/>
      <c r="N14" s="52"/>
      <c r="O14" s="52"/>
      <c r="P14" s="52"/>
      <c r="Q14" s="52"/>
      <c r="R14" s="52"/>
      <c r="S14" s="52"/>
      <c r="T14" s="52"/>
      <c r="U14" s="52"/>
      <c r="V14" s="52"/>
      <c r="W14" s="52"/>
      <c r="Z14" s="39" t="str">
        <f t="shared" si="10"/>
        <v>Education &amp; Guidance</v>
      </c>
      <c r="AA14" s="59">
        <f t="shared" ca="1" si="0"/>
        <v>0</v>
      </c>
      <c r="AB14" s="59">
        <f t="shared" ca="1" si="1"/>
        <v>0</v>
      </c>
      <c r="AC14" s="59">
        <f t="shared" ca="1" si="2"/>
        <v>0</v>
      </c>
      <c r="AD14" s="59">
        <f t="shared" ca="1" si="3"/>
        <v>0</v>
      </c>
      <c r="AE14" s="59">
        <f t="shared" ca="1" si="4"/>
        <v>0</v>
      </c>
    </row>
    <row r="15" spans="1:31" ht="15" customHeight="1" x14ac:dyDescent="0.2">
      <c r="A15" s="65" t="s">
        <v>39</v>
      </c>
      <c r="B15" s="54">
        <f ca="1">IF(ISNUMBER(Interview!$J$61),Interview!$J$61,SUM(LEFT(Interview!$J$61),".5"))</f>
        <v>0</v>
      </c>
      <c r="C15" s="66">
        <f ca="1">Roadmap!M46</f>
        <v>0</v>
      </c>
      <c r="D15" s="67">
        <f t="shared" ca="1" si="5"/>
        <v>0</v>
      </c>
      <c r="E15" s="71">
        <f ca="1">Roadmap!Q46</f>
        <v>0</v>
      </c>
      <c r="F15" s="67">
        <f t="shared" ca="1" si="6"/>
        <v>0</v>
      </c>
      <c r="G15" s="71">
        <f ca="1">Roadmap!U46</f>
        <v>0</v>
      </c>
      <c r="H15" s="56">
        <f t="shared" ca="1" si="7"/>
        <v>0</v>
      </c>
      <c r="I15" s="71">
        <f ca="1">Roadmap!Y46</f>
        <v>0</v>
      </c>
      <c r="J15" s="67">
        <f t="shared" ca="1" si="8"/>
        <v>0</v>
      </c>
      <c r="K15" s="58">
        <f t="shared" ca="1" si="9"/>
        <v>0</v>
      </c>
      <c r="L15" s="52" t="str">
        <f>A12</f>
        <v>Strategy &amp; Metrics</v>
      </c>
      <c r="M15" s="52"/>
      <c r="N15" s="52"/>
      <c r="O15" s="52"/>
      <c r="P15" s="52"/>
      <c r="Q15" s="52"/>
      <c r="R15" s="52"/>
      <c r="S15" s="52"/>
      <c r="T15" s="52"/>
      <c r="U15" s="52"/>
      <c r="V15" s="52"/>
      <c r="W15" s="52"/>
      <c r="Z15" s="39" t="str">
        <f t="shared" si="10"/>
        <v>Threat Assessment</v>
      </c>
      <c r="AA15" s="59">
        <f t="shared" ca="1" si="0"/>
        <v>0</v>
      </c>
      <c r="AB15" s="59">
        <f t="shared" ca="1" si="1"/>
        <v>0</v>
      </c>
      <c r="AC15" s="59">
        <f t="shared" ca="1" si="2"/>
        <v>0</v>
      </c>
      <c r="AD15" s="59">
        <f t="shared" ca="1" si="3"/>
        <v>0</v>
      </c>
      <c r="AE15" s="59">
        <f t="shared" ca="1" si="4"/>
        <v>0</v>
      </c>
    </row>
    <row r="16" spans="1:31" ht="15" customHeight="1" x14ac:dyDescent="0.2">
      <c r="A16" s="68" t="s">
        <v>46</v>
      </c>
      <c r="B16" s="54">
        <f ca="1">IF(ISNUMBER(Interview!$J75),Interview!$J$75,SUM(LEFT(Interview!$J$75),".5"))</f>
        <v>0</v>
      </c>
      <c r="C16" s="61">
        <f ca="1">Roadmap!M55</f>
        <v>0</v>
      </c>
      <c r="D16" s="56">
        <f t="shared" ca="1" si="5"/>
        <v>0</v>
      </c>
      <c r="E16" s="61">
        <f ca="1">Roadmap!Q55</f>
        <v>0</v>
      </c>
      <c r="F16" s="56">
        <f t="shared" ca="1" si="6"/>
        <v>0</v>
      </c>
      <c r="G16" s="61">
        <f ca="1">Roadmap!U55</f>
        <v>0</v>
      </c>
      <c r="H16" s="56">
        <f t="shared" ca="1" si="7"/>
        <v>0</v>
      </c>
      <c r="I16" s="61">
        <f ca="1">Roadmap!Y55</f>
        <v>0</v>
      </c>
      <c r="J16" s="56">
        <f t="shared" ca="1" si="8"/>
        <v>0</v>
      </c>
      <c r="K16" s="58">
        <f t="shared" ca="1" si="9"/>
        <v>0</v>
      </c>
      <c r="L16" s="52"/>
      <c r="M16" s="52"/>
      <c r="N16" s="52"/>
      <c r="O16" s="52"/>
      <c r="P16" s="52"/>
      <c r="Q16" s="52"/>
      <c r="R16" s="52"/>
      <c r="S16" s="52"/>
      <c r="T16" s="52"/>
      <c r="U16" s="52"/>
      <c r="V16" s="52"/>
      <c r="W16" s="52"/>
      <c r="Z16" s="39" t="str">
        <f t="shared" si="10"/>
        <v>Security Requirements</v>
      </c>
      <c r="AA16" s="59">
        <f t="shared" ca="1" si="0"/>
        <v>0</v>
      </c>
      <c r="AB16" s="59">
        <f t="shared" ca="1" si="1"/>
        <v>0</v>
      </c>
      <c r="AC16" s="59">
        <f t="shared" ca="1" si="2"/>
        <v>0</v>
      </c>
      <c r="AD16" s="59">
        <f t="shared" ca="1" si="3"/>
        <v>0</v>
      </c>
      <c r="AE16" s="59">
        <f t="shared" ca="1" si="4"/>
        <v>0</v>
      </c>
    </row>
    <row r="17" spans="1:31" ht="15" x14ac:dyDescent="0.2">
      <c r="A17" s="69" t="s">
        <v>53</v>
      </c>
      <c r="B17" s="63">
        <f ca="1">IF(ISNUMBER(Interview!$J$89),Interview!$J$89,SUM(LEFT(Interview!$J$89),".5"))</f>
        <v>0</v>
      </c>
      <c r="C17" s="61">
        <f ca="1">Roadmap!M64</f>
        <v>0</v>
      </c>
      <c r="D17" s="64">
        <f t="shared" ca="1" si="5"/>
        <v>0</v>
      </c>
      <c r="E17" s="61">
        <f ca="1">Roadmap!Q64</f>
        <v>0</v>
      </c>
      <c r="F17" s="64">
        <f t="shared" ca="1" si="6"/>
        <v>0</v>
      </c>
      <c r="G17" s="61">
        <f ca="1">Roadmap!U64</f>
        <v>0</v>
      </c>
      <c r="H17" s="64">
        <f t="shared" ca="1" si="7"/>
        <v>0</v>
      </c>
      <c r="I17" s="61">
        <f ca="1">Roadmap!Y64</f>
        <v>0</v>
      </c>
      <c r="J17" s="64">
        <f t="shared" ca="1" si="8"/>
        <v>0</v>
      </c>
      <c r="K17" s="58">
        <f t="shared" ca="1" si="9"/>
        <v>0</v>
      </c>
      <c r="L17" s="52"/>
      <c r="M17" s="52"/>
      <c r="N17" s="52"/>
      <c r="O17" s="52"/>
      <c r="P17" s="52"/>
      <c r="Q17" s="52"/>
      <c r="R17" s="52"/>
      <c r="S17" s="52"/>
      <c r="T17" s="52"/>
      <c r="U17" s="52"/>
      <c r="V17" s="52"/>
      <c r="W17" s="52"/>
      <c r="Z17" s="39" t="str">
        <f t="shared" si="10"/>
        <v>Secure Architecture</v>
      </c>
      <c r="AA17" s="59">
        <f t="shared" ca="1" si="0"/>
        <v>0</v>
      </c>
      <c r="AB17" s="59">
        <f t="shared" ca="1" si="1"/>
        <v>0</v>
      </c>
      <c r="AC17" s="59">
        <f t="shared" ca="1" si="2"/>
        <v>0</v>
      </c>
      <c r="AD17" s="59">
        <f t="shared" ca="1" si="3"/>
        <v>0</v>
      </c>
      <c r="AE17" s="59">
        <f t="shared" ca="1" si="4"/>
        <v>0</v>
      </c>
    </row>
    <row r="18" spans="1:31" ht="15" x14ac:dyDescent="0.2">
      <c r="A18" s="70" t="s">
        <v>61</v>
      </c>
      <c r="B18" s="54">
        <f ca="1">IF(ISNUMBER(Interview!$J$104),Interview!$J$104,SUM(LEFT(Interview!$J$104),".5"))</f>
        <v>0</v>
      </c>
      <c r="C18" s="71">
        <f ca="1">Roadmap!M74</f>
        <v>0</v>
      </c>
      <c r="D18" s="67">
        <f t="shared" ca="1" si="5"/>
        <v>0</v>
      </c>
      <c r="E18" s="71">
        <f ca="1">Roadmap!Q74</f>
        <v>0</v>
      </c>
      <c r="F18" s="56">
        <f t="shared" ca="1" si="6"/>
        <v>0</v>
      </c>
      <c r="G18" s="71">
        <f ca="1">Roadmap!U74</f>
        <v>0</v>
      </c>
      <c r="H18" s="56">
        <f t="shared" ca="1" si="7"/>
        <v>0</v>
      </c>
      <c r="I18" s="71">
        <f ca="1">Roadmap!Y74</f>
        <v>0</v>
      </c>
      <c r="J18" s="56">
        <f t="shared" ca="1" si="8"/>
        <v>0</v>
      </c>
      <c r="K18" s="58">
        <f t="shared" ca="1" si="9"/>
        <v>0</v>
      </c>
      <c r="L18" s="52"/>
      <c r="M18" s="52"/>
      <c r="N18" s="52"/>
      <c r="O18" s="52"/>
      <c r="P18" s="52"/>
      <c r="Q18" s="52"/>
      <c r="R18" s="52"/>
      <c r="S18" s="52"/>
      <c r="T18" s="52"/>
      <c r="U18" s="52"/>
      <c r="V18" s="52"/>
      <c r="W18" s="52"/>
      <c r="Z18" s="39" t="str">
        <f t="shared" si="10"/>
        <v>Secure Build</v>
      </c>
      <c r="AA18" s="59">
        <f t="shared" ca="1" si="0"/>
        <v>0</v>
      </c>
      <c r="AB18" s="59">
        <f t="shared" ca="1" si="1"/>
        <v>0</v>
      </c>
      <c r="AC18" s="59">
        <f t="shared" ca="1" si="2"/>
        <v>0</v>
      </c>
      <c r="AD18" s="59">
        <f t="shared" ca="1" si="3"/>
        <v>0</v>
      </c>
      <c r="AE18" s="59">
        <f t="shared" ca="1" si="4"/>
        <v>0</v>
      </c>
    </row>
    <row r="19" spans="1:31" ht="15" x14ac:dyDescent="0.2">
      <c r="A19" s="70" t="s">
        <v>68</v>
      </c>
      <c r="B19" s="54">
        <f ca="1">IF(ISNUMBER(Interview!$J$118),Interview!$J$118,SUM(LEFT(Interview!$J$118),".5"))</f>
        <v>0</v>
      </c>
      <c r="C19" s="61">
        <f ca="1">Roadmap!M83</f>
        <v>0</v>
      </c>
      <c r="D19" s="56">
        <f t="shared" ca="1" si="5"/>
        <v>0</v>
      </c>
      <c r="E19" s="61">
        <f ca="1">Roadmap!Q83</f>
        <v>0</v>
      </c>
      <c r="F19" s="56">
        <f t="shared" ca="1" si="6"/>
        <v>0</v>
      </c>
      <c r="G19" s="61">
        <f ca="1">Roadmap!U83</f>
        <v>0</v>
      </c>
      <c r="H19" s="56">
        <f t="shared" ca="1" si="7"/>
        <v>0</v>
      </c>
      <c r="I19" s="61">
        <f ca="1">Roadmap!Y83</f>
        <v>0</v>
      </c>
      <c r="J19" s="56">
        <f t="shared" ca="1" si="8"/>
        <v>0</v>
      </c>
      <c r="K19" s="58">
        <f t="shared" ca="1" si="9"/>
        <v>0</v>
      </c>
      <c r="L19" s="52"/>
      <c r="M19" s="52"/>
      <c r="N19" s="52"/>
      <c r="O19" s="52"/>
      <c r="P19" s="52"/>
      <c r="Q19" s="52"/>
      <c r="R19" s="52"/>
      <c r="S19" s="52"/>
      <c r="T19" s="52"/>
      <c r="U19" s="52"/>
      <c r="V19" s="52"/>
      <c r="W19" s="52"/>
      <c r="Z19" s="39" t="str">
        <f t="shared" si="10"/>
        <v>Secure Deployment</v>
      </c>
      <c r="AA19" s="59">
        <f t="shared" ca="1" si="0"/>
        <v>0</v>
      </c>
      <c r="AB19" s="59">
        <f t="shared" ca="1" si="1"/>
        <v>0</v>
      </c>
      <c r="AC19" s="59">
        <f t="shared" ca="1" si="2"/>
        <v>0</v>
      </c>
      <c r="AD19" s="59">
        <f t="shared" ca="1" si="3"/>
        <v>0</v>
      </c>
      <c r="AE19" s="59">
        <f t="shared" ca="1" si="4"/>
        <v>0</v>
      </c>
    </row>
    <row r="20" spans="1:31" ht="15" x14ac:dyDescent="0.2">
      <c r="A20" s="70" t="s">
        <v>75</v>
      </c>
      <c r="B20" s="63">
        <f ca="1">IF(ISNUMBER(Interview!$J$132),Interview!$J$132,SUM(LEFT(Interview!$J$132),".5"))</f>
        <v>0</v>
      </c>
      <c r="C20" s="61">
        <f ca="1">Roadmap!M92</f>
        <v>0</v>
      </c>
      <c r="D20" s="56">
        <f t="shared" ca="1" si="5"/>
        <v>0</v>
      </c>
      <c r="E20" s="61">
        <f ca="1">Roadmap!Q92</f>
        <v>0</v>
      </c>
      <c r="F20" s="56">
        <f t="shared" ca="1" si="6"/>
        <v>0</v>
      </c>
      <c r="G20" s="61">
        <f ca="1">Roadmap!U92</f>
        <v>0</v>
      </c>
      <c r="H20" s="56">
        <f t="shared" ca="1" si="7"/>
        <v>0</v>
      </c>
      <c r="I20" s="61">
        <f ca="1">Roadmap!Y92</f>
        <v>0</v>
      </c>
      <c r="J20" s="56">
        <f t="shared" ca="1" si="8"/>
        <v>0</v>
      </c>
      <c r="K20" s="58">
        <f t="shared" ca="1" si="9"/>
        <v>0</v>
      </c>
      <c r="L20" s="52"/>
      <c r="M20" s="52"/>
      <c r="N20" s="52"/>
      <c r="O20" s="52"/>
      <c r="P20" s="52"/>
      <c r="Q20" s="52"/>
      <c r="R20" s="52"/>
      <c r="S20" s="52"/>
      <c r="T20" s="52"/>
      <c r="U20" s="52"/>
      <c r="V20" s="52"/>
      <c r="W20" s="52"/>
      <c r="Z20" s="39" t="str">
        <f t="shared" si="10"/>
        <v>Defect Management</v>
      </c>
      <c r="AA20" s="59">
        <f t="shared" ca="1" si="0"/>
        <v>0</v>
      </c>
      <c r="AB20" s="59">
        <f t="shared" ca="1" si="1"/>
        <v>0</v>
      </c>
      <c r="AC20" s="59">
        <f t="shared" ca="1" si="2"/>
        <v>0</v>
      </c>
      <c r="AD20" s="59">
        <f t="shared" ca="1" si="3"/>
        <v>0</v>
      </c>
      <c r="AE20" s="59">
        <f t="shared" ca="1" si="4"/>
        <v>0</v>
      </c>
    </row>
    <row r="21" spans="1:31" ht="15" x14ac:dyDescent="0.2">
      <c r="A21" s="72" t="s">
        <v>83</v>
      </c>
      <c r="B21" s="54">
        <f ca="1">IF(ISNUMBER(Interview!$J$147),Interview!$J$147,SUM(LEFT(Interview!$J$147),".5"))</f>
        <v>0</v>
      </c>
      <c r="C21" s="71">
        <f ca="1">Roadmap!M102</f>
        <v>0</v>
      </c>
      <c r="D21" s="67">
        <f t="shared" ca="1" si="5"/>
        <v>0</v>
      </c>
      <c r="E21" s="71">
        <f ca="1">Roadmap!Q102</f>
        <v>0</v>
      </c>
      <c r="F21" s="67">
        <f t="shared" ca="1" si="6"/>
        <v>0</v>
      </c>
      <c r="G21" s="71">
        <f ca="1">Roadmap!U102</f>
        <v>0</v>
      </c>
      <c r="H21" s="67">
        <f t="shared" ca="1" si="7"/>
        <v>0</v>
      </c>
      <c r="I21" s="71">
        <f ca="1">Roadmap!Y102</f>
        <v>0</v>
      </c>
      <c r="J21" s="67">
        <f t="shared" ca="1" si="8"/>
        <v>0</v>
      </c>
      <c r="K21" s="58">
        <f t="shared" ca="1" si="9"/>
        <v>0</v>
      </c>
      <c r="L21" s="52"/>
      <c r="M21" s="52"/>
      <c r="N21" s="52"/>
      <c r="O21" s="52"/>
      <c r="P21" s="52"/>
      <c r="Q21" s="52"/>
      <c r="R21" s="52"/>
      <c r="S21" s="52"/>
      <c r="T21" s="52"/>
      <c r="U21" s="52"/>
      <c r="V21" s="52"/>
      <c r="W21" s="52"/>
      <c r="Z21" s="39" t="str">
        <f t="shared" si="10"/>
        <v>Architecture Assessment</v>
      </c>
      <c r="AA21" s="59">
        <f t="shared" ca="1" si="0"/>
        <v>0</v>
      </c>
      <c r="AB21" s="59">
        <f t="shared" ca="1" si="1"/>
        <v>0</v>
      </c>
      <c r="AC21" s="59">
        <f t="shared" ca="1" si="2"/>
        <v>0</v>
      </c>
      <c r="AD21" s="59">
        <f t="shared" ca="1" si="3"/>
        <v>0</v>
      </c>
      <c r="AE21" s="59">
        <f t="shared" ca="1" si="4"/>
        <v>0</v>
      </c>
    </row>
    <row r="22" spans="1:31" ht="15" x14ac:dyDescent="0.2">
      <c r="A22" s="73" t="s">
        <v>90</v>
      </c>
      <c r="B22" s="54">
        <f ca="1">IF(ISNUMBER(Interview!$J$161),Interview!$J$161,SUM(LEFT(Interview!$J$161),".5"))</f>
        <v>0</v>
      </c>
      <c r="C22" s="61">
        <f ca="1">Roadmap!M111</f>
        <v>0</v>
      </c>
      <c r="D22" s="56">
        <f t="shared" ca="1" si="5"/>
        <v>0</v>
      </c>
      <c r="E22" s="61">
        <f ca="1">Roadmap!Q111</f>
        <v>0</v>
      </c>
      <c r="F22" s="56">
        <f t="shared" ca="1" si="6"/>
        <v>0</v>
      </c>
      <c r="G22" s="61">
        <f ca="1">Roadmap!U111</f>
        <v>0</v>
      </c>
      <c r="H22" s="56">
        <f t="shared" ca="1" si="7"/>
        <v>0</v>
      </c>
      <c r="I22" s="61">
        <f ca="1">Roadmap!Y111</f>
        <v>0</v>
      </c>
      <c r="J22" s="56">
        <f t="shared" ca="1" si="8"/>
        <v>0</v>
      </c>
      <c r="K22" s="58">
        <f t="shared" ca="1" si="9"/>
        <v>0</v>
      </c>
      <c r="L22" s="52" t="str">
        <f>A13</f>
        <v>Policy &amp; Compliance</v>
      </c>
      <c r="M22" s="52"/>
      <c r="N22" s="52"/>
      <c r="O22" s="52"/>
      <c r="P22" s="52"/>
      <c r="Q22" s="52"/>
      <c r="R22" s="52"/>
      <c r="S22" s="52"/>
      <c r="T22" s="52"/>
      <c r="U22" s="52"/>
      <c r="V22" s="52"/>
      <c r="W22" s="52"/>
      <c r="Z22" s="39" t="str">
        <f t="shared" si="10"/>
        <v>Requirements Testing</v>
      </c>
      <c r="AA22" s="59">
        <f t="shared" ca="1" si="0"/>
        <v>0</v>
      </c>
      <c r="AB22" s="59">
        <f t="shared" ca="1" si="1"/>
        <v>0</v>
      </c>
      <c r="AC22" s="59">
        <f t="shared" ca="1" si="2"/>
        <v>0</v>
      </c>
      <c r="AD22" s="59">
        <f t="shared" ca="1" si="3"/>
        <v>0</v>
      </c>
      <c r="AE22" s="59">
        <f t="shared" ca="1" si="4"/>
        <v>0</v>
      </c>
    </row>
    <row r="23" spans="1:31" ht="15" x14ac:dyDescent="0.2">
      <c r="A23" s="74" t="s">
        <v>97</v>
      </c>
      <c r="B23" s="63">
        <f ca="1">IF(ISNUMBER(Interview!$J$175),Interview!$J$175,SUM(LEFT(Interview!$J$175),".5"))</f>
        <v>0</v>
      </c>
      <c r="C23" s="61">
        <f ca="1">Roadmap!M120</f>
        <v>0</v>
      </c>
      <c r="D23" s="64">
        <f t="shared" ca="1" si="5"/>
        <v>0</v>
      </c>
      <c r="E23" s="61">
        <f ca="1">Roadmap!Q120</f>
        <v>0</v>
      </c>
      <c r="F23" s="64">
        <f t="shared" ca="1" si="6"/>
        <v>0</v>
      </c>
      <c r="G23" s="61">
        <f ca="1">Roadmap!U120</f>
        <v>0</v>
      </c>
      <c r="H23" s="64">
        <f t="shared" ca="1" si="7"/>
        <v>0</v>
      </c>
      <c r="I23" s="61">
        <f ca="1">Roadmap!Y120</f>
        <v>0</v>
      </c>
      <c r="J23" s="64">
        <f t="shared" ca="1" si="8"/>
        <v>0</v>
      </c>
      <c r="K23" s="58">
        <f t="shared" ca="1" si="9"/>
        <v>0</v>
      </c>
      <c r="L23" s="52"/>
      <c r="M23" s="52"/>
      <c r="N23" s="52"/>
      <c r="O23" s="52"/>
      <c r="P23" s="52"/>
      <c r="Q23" s="52"/>
      <c r="R23" s="52"/>
      <c r="S23" s="52"/>
      <c r="T23" s="52"/>
      <c r="U23" s="52"/>
      <c r="V23" s="52"/>
      <c r="W23" s="52"/>
      <c r="Z23" s="39" t="str">
        <f t="shared" si="10"/>
        <v>Security Testing</v>
      </c>
      <c r="AA23" s="59">
        <f t="shared" ca="1" si="0"/>
        <v>0</v>
      </c>
      <c r="AB23" s="59">
        <f t="shared" ca="1" si="1"/>
        <v>0</v>
      </c>
      <c r="AC23" s="59">
        <f t="shared" ca="1" si="2"/>
        <v>0</v>
      </c>
      <c r="AD23" s="59">
        <f t="shared" ca="1" si="3"/>
        <v>0</v>
      </c>
      <c r="AE23" s="59">
        <f t="shared" ca="1" si="4"/>
        <v>0</v>
      </c>
    </row>
    <row r="24" spans="1:31" ht="15" x14ac:dyDescent="0.2">
      <c r="A24" s="75" t="s">
        <v>105</v>
      </c>
      <c r="B24" s="54">
        <f ca="1">IF(ISNUMBER(Interview!$J$190),Interview!$J$190,SUM(LEFT(Interview!$J$190),".5"))</f>
        <v>0</v>
      </c>
      <c r="C24" s="66">
        <f ca="1">Roadmap!M130</f>
        <v>0</v>
      </c>
      <c r="D24" s="67">
        <f t="shared" ca="1" si="5"/>
        <v>0</v>
      </c>
      <c r="E24" s="71">
        <f ca="1">Roadmap!Q130</f>
        <v>0</v>
      </c>
      <c r="F24" s="67">
        <f t="shared" ca="1" si="6"/>
        <v>0</v>
      </c>
      <c r="G24" s="71">
        <f ca="1">Roadmap!U130</f>
        <v>0</v>
      </c>
      <c r="H24" s="67">
        <f t="shared" ca="1" si="7"/>
        <v>0</v>
      </c>
      <c r="I24" s="71">
        <f ca="1">Roadmap!Y130</f>
        <v>0</v>
      </c>
      <c r="J24" s="67">
        <f t="shared" ca="1" si="8"/>
        <v>0</v>
      </c>
      <c r="K24" s="58">
        <f t="shared" ca="1" si="9"/>
        <v>0</v>
      </c>
      <c r="L24" s="52"/>
      <c r="M24" s="52"/>
      <c r="N24" s="52"/>
      <c r="O24" s="52"/>
      <c r="P24" s="52"/>
      <c r="Q24" s="52"/>
      <c r="R24" s="52"/>
      <c r="S24" s="52"/>
      <c r="T24" s="52"/>
      <c r="U24" s="52"/>
      <c r="V24" s="52"/>
      <c r="W24" s="52"/>
      <c r="Z24" s="39" t="str">
        <f t="shared" si="10"/>
        <v>Incident Management</v>
      </c>
      <c r="AA24" s="59">
        <f t="shared" ca="1" si="0"/>
        <v>0</v>
      </c>
      <c r="AB24" s="59">
        <f t="shared" ca="1" si="1"/>
        <v>0</v>
      </c>
      <c r="AC24" s="59">
        <f t="shared" ca="1" si="2"/>
        <v>0</v>
      </c>
      <c r="AD24" s="59">
        <f t="shared" ca="1" si="3"/>
        <v>0</v>
      </c>
      <c r="AE24" s="59">
        <f t="shared" ca="1" si="4"/>
        <v>0</v>
      </c>
    </row>
    <row r="25" spans="1:31" ht="15" x14ac:dyDescent="0.2">
      <c r="A25" s="76" t="s">
        <v>112</v>
      </c>
      <c r="B25" s="54">
        <f ca="1">IF(ISNUMBER(Interview!$J$204),Interview!$J$204,SUM(LEFT(Interview!$J$204),".5"))</f>
        <v>0</v>
      </c>
      <c r="C25" s="61">
        <f ca="1">Roadmap!M139</f>
        <v>0</v>
      </c>
      <c r="D25" s="56">
        <f t="shared" ca="1" si="5"/>
        <v>0</v>
      </c>
      <c r="E25" s="61">
        <f ca="1">Roadmap!Q139</f>
        <v>0</v>
      </c>
      <c r="F25" s="56">
        <f t="shared" ca="1" si="6"/>
        <v>0</v>
      </c>
      <c r="G25" s="61">
        <f ca="1">Roadmap!U139</f>
        <v>0</v>
      </c>
      <c r="H25" s="56">
        <f t="shared" ca="1" si="7"/>
        <v>0</v>
      </c>
      <c r="I25" s="61">
        <f ca="1">Roadmap!Y139</f>
        <v>0</v>
      </c>
      <c r="J25" s="56">
        <f t="shared" ca="1" si="8"/>
        <v>0</v>
      </c>
      <c r="K25" s="58">
        <f t="shared" ca="1" si="9"/>
        <v>0</v>
      </c>
      <c r="L25" s="52"/>
      <c r="M25" s="52"/>
      <c r="N25" s="52"/>
      <c r="O25" s="52"/>
      <c r="P25" s="52"/>
      <c r="Q25" s="52"/>
      <c r="R25" s="52"/>
      <c r="S25" s="52"/>
      <c r="T25" s="52"/>
      <c r="U25" s="52"/>
      <c r="V25" s="52"/>
      <c r="W25" s="52"/>
      <c r="Z25" s="39" t="str">
        <f t="shared" si="10"/>
        <v>Environment Management</v>
      </c>
      <c r="AA25" s="59">
        <f t="shared" ca="1" si="0"/>
        <v>0</v>
      </c>
      <c r="AB25" s="59">
        <f t="shared" ca="1" si="1"/>
        <v>0</v>
      </c>
      <c r="AC25" s="59">
        <f t="shared" ca="1" si="2"/>
        <v>0</v>
      </c>
      <c r="AD25" s="59">
        <f t="shared" ca="1" si="3"/>
        <v>0</v>
      </c>
      <c r="AE25" s="59">
        <f t="shared" ca="1" si="4"/>
        <v>0</v>
      </c>
    </row>
    <row r="26" spans="1:31" ht="14" customHeight="1" thickBot="1" x14ac:dyDescent="0.25">
      <c r="A26" s="77" t="s">
        <v>119</v>
      </c>
      <c r="B26" s="78">
        <f ca="1">IF(ISNUMBER(Interview!$J$218),Interview!$J$218,SUM(LEFT(Interview!$J$218),".5"))</f>
        <v>0</v>
      </c>
      <c r="C26" s="226">
        <f ca="1">Roadmap!M148</f>
        <v>0</v>
      </c>
      <c r="D26" s="79">
        <f t="shared" ca="1" si="5"/>
        <v>0</v>
      </c>
      <c r="E26" s="227">
        <f ca="1">Roadmap!Q148</f>
        <v>0</v>
      </c>
      <c r="F26" s="79">
        <f t="shared" ca="1" si="6"/>
        <v>0</v>
      </c>
      <c r="G26" s="227">
        <f ca="1">Roadmap!U148</f>
        <v>0</v>
      </c>
      <c r="H26" s="79">
        <f t="shared" ca="1" si="7"/>
        <v>0</v>
      </c>
      <c r="I26" s="227">
        <f ca="1">Roadmap!Y148</f>
        <v>0</v>
      </c>
      <c r="J26" s="79">
        <f t="shared" ca="1" si="8"/>
        <v>0</v>
      </c>
      <c r="K26" s="58">
        <f t="shared" ca="1" si="9"/>
        <v>0</v>
      </c>
      <c r="L26" s="52"/>
      <c r="M26" s="52"/>
      <c r="N26" s="52"/>
      <c r="O26" s="52"/>
      <c r="P26" s="52"/>
      <c r="Q26" s="52"/>
      <c r="R26" s="52"/>
      <c r="S26" s="52"/>
      <c r="T26" s="52"/>
      <c r="U26" s="52"/>
      <c r="V26" s="52"/>
      <c r="W26" s="52"/>
      <c r="Z26" s="39" t="str">
        <f t="shared" si="10"/>
        <v>Operational Management</v>
      </c>
      <c r="AA26" s="59">
        <f t="shared" ca="1" si="0"/>
        <v>0</v>
      </c>
      <c r="AB26" s="59">
        <f t="shared" ca="1" si="1"/>
        <v>0</v>
      </c>
      <c r="AC26" s="59">
        <f t="shared" ca="1" si="2"/>
        <v>0</v>
      </c>
      <c r="AD26" s="59">
        <f t="shared" ca="1" si="3"/>
        <v>0</v>
      </c>
      <c r="AE26" s="59">
        <f t="shared" ca="1" si="4"/>
        <v>0</v>
      </c>
    </row>
    <row r="27" spans="1:31" x14ac:dyDescent="0.2">
      <c r="L27" s="52"/>
      <c r="M27" s="52"/>
      <c r="N27" s="52"/>
      <c r="O27" s="52"/>
      <c r="P27" s="52"/>
      <c r="Q27" s="52"/>
      <c r="R27" s="52"/>
      <c r="S27" s="52"/>
      <c r="T27" s="52"/>
      <c r="U27" s="52"/>
      <c r="V27" s="52"/>
      <c r="W27" s="52"/>
    </row>
    <row r="28" spans="1:31" x14ac:dyDescent="0.2">
      <c r="B28" s="80" t="s">
        <v>268</v>
      </c>
      <c r="C28" s="59">
        <f ca="1">SUM(C12:C26)-SUM(B12:B26)</f>
        <v>0</v>
      </c>
      <c r="D28" s="59"/>
      <c r="E28" s="59">
        <f ca="1">SUM(E12:E26)-SUM(C12:C26)</f>
        <v>0</v>
      </c>
      <c r="F28" s="59"/>
      <c r="G28" s="59">
        <f ca="1">SUM(G12:G26)-SUM(E12:E26)</f>
        <v>0</v>
      </c>
      <c r="H28" s="59"/>
      <c r="I28" s="59">
        <f ca="1">SUM(I12:I26)-SUM(G12:G26)</f>
        <v>0</v>
      </c>
      <c r="J28" s="59"/>
      <c r="K28" s="58">
        <f ca="1">SUM(K12:K26)</f>
        <v>0</v>
      </c>
      <c r="L28" s="52"/>
      <c r="M28" s="52"/>
      <c r="N28" s="52"/>
      <c r="O28" s="52"/>
      <c r="P28" s="52"/>
      <c r="Q28" s="52"/>
      <c r="R28" s="52"/>
      <c r="S28" s="52"/>
      <c r="T28" s="52"/>
      <c r="U28" s="52"/>
      <c r="V28" s="52"/>
      <c r="W28" s="52"/>
    </row>
    <row r="29" spans="1:31" x14ac:dyDescent="0.2">
      <c r="B29" s="80"/>
      <c r="C29" s="81">
        <f ca="1">IFERROR(C28/$K$28,0)</f>
        <v>0</v>
      </c>
      <c r="E29" s="81">
        <f ca="1">IFERROR(E28/$K$28,0)</f>
        <v>0</v>
      </c>
      <c r="G29" s="81">
        <f ca="1">IFERROR(G28/$K$28,0)</f>
        <v>0</v>
      </c>
      <c r="I29" s="81">
        <f ca="1">IFERROR(I28/$K$28,0)</f>
        <v>0</v>
      </c>
      <c r="K29" s="82">
        <f ca="1">1-K28/24</f>
        <v>1</v>
      </c>
      <c r="L29" s="52"/>
      <c r="M29" s="52"/>
      <c r="N29" s="52"/>
      <c r="O29" s="52"/>
      <c r="P29" s="52"/>
      <c r="Q29" s="52"/>
      <c r="R29" s="52"/>
      <c r="S29" s="52"/>
      <c r="T29" s="52"/>
      <c r="U29" s="52"/>
      <c r="V29" s="52"/>
      <c r="W29" s="52"/>
    </row>
    <row r="30" spans="1:31" x14ac:dyDescent="0.2">
      <c r="B30" s="80"/>
      <c r="L30" s="52" t="str">
        <f>A14</f>
        <v>Education &amp; Guidance</v>
      </c>
      <c r="M30" s="52"/>
      <c r="N30" s="52"/>
      <c r="O30" s="52"/>
      <c r="P30" s="52"/>
      <c r="Q30" s="52"/>
      <c r="R30" s="52"/>
      <c r="S30" s="52"/>
      <c r="T30" s="52"/>
      <c r="U30" s="52"/>
      <c r="V30" s="52"/>
      <c r="W30" s="52"/>
    </row>
    <row r="31" spans="1:31" ht="14" customHeight="1" thickBot="1" x14ac:dyDescent="0.25">
      <c r="L31" s="52"/>
      <c r="M31" s="52"/>
      <c r="N31" s="52"/>
      <c r="O31" s="52"/>
      <c r="P31" s="52"/>
      <c r="Q31" s="52"/>
      <c r="R31" s="52"/>
      <c r="S31" s="52"/>
      <c r="T31" s="52"/>
      <c r="U31" s="52"/>
      <c r="V31" s="52"/>
      <c r="W31" s="52"/>
    </row>
    <row r="32" spans="1:31" x14ac:dyDescent="0.2">
      <c r="A32" s="83" t="s">
        <v>269</v>
      </c>
      <c r="B32" s="84">
        <v>0</v>
      </c>
      <c r="L32" s="52"/>
      <c r="M32" s="52"/>
      <c r="N32" s="52"/>
      <c r="O32" s="52"/>
      <c r="P32" s="52"/>
      <c r="Q32" s="52"/>
      <c r="R32" s="52"/>
      <c r="S32" s="52"/>
      <c r="T32" s="52"/>
      <c r="U32" s="52"/>
      <c r="V32" s="52"/>
      <c r="W32" s="52"/>
    </row>
    <row r="33" spans="1:23" x14ac:dyDescent="0.2">
      <c r="B33" s="50">
        <v>0.5</v>
      </c>
      <c r="L33" s="52"/>
      <c r="M33" s="52"/>
      <c r="N33" s="52"/>
      <c r="O33" s="52"/>
      <c r="P33" s="52"/>
      <c r="Q33" s="52"/>
      <c r="R33" s="52"/>
      <c r="S33" s="52"/>
      <c r="T33" s="52"/>
      <c r="U33" s="52"/>
      <c r="V33" s="52"/>
      <c r="W33" s="52"/>
    </row>
    <row r="34" spans="1:23" x14ac:dyDescent="0.2">
      <c r="B34" s="50">
        <v>1</v>
      </c>
      <c r="L34" s="52"/>
      <c r="M34" s="52"/>
      <c r="N34" s="52"/>
      <c r="O34" s="52"/>
      <c r="P34" s="52"/>
      <c r="Q34" s="52"/>
      <c r="R34" s="52"/>
      <c r="S34" s="52"/>
      <c r="T34" s="52"/>
      <c r="U34" s="52"/>
      <c r="V34" s="52"/>
      <c r="W34" s="52"/>
    </row>
    <row r="35" spans="1:23" x14ac:dyDescent="0.2">
      <c r="B35" s="50">
        <v>1.5</v>
      </c>
      <c r="L35" s="52"/>
      <c r="M35" s="52"/>
      <c r="N35" s="52"/>
      <c r="O35" s="52"/>
      <c r="P35" s="52"/>
      <c r="Q35" s="52"/>
      <c r="R35" s="52"/>
      <c r="S35" s="52"/>
      <c r="T35" s="52"/>
      <c r="U35" s="52"/>
      <c r="V35" s="52"/>
      <c r="W35" s="52"/>
    </row>
    <row r="36" spans="1:23" x14ac:dyDescent="0.2">
      <c r="B36" s="50">
        <v>2</v>
      </c>
      <c r="L36" s="52"/>
      <c r="M36" s="52"/>
      <c r="N36" s="52"/>
      <c r="O36" s="52"/>
      <c r="P36" s="52"/>
      <c r="Q36" s="52"/>
      <c r="R36" s="52"/>
      <c r="S36" s="52"/>
      <c r="T36" s="52"/>
      <c r="U36" s="52"/>
      <c r="V36" s="52"/>
      <c r="W36" s="52"/>
    </row>
    <row r="37" spans="1:23" x14ac:dyDescent="0.2">
      <c r="B37" s="50">
        <v>2.5</v>
      </c>
      <c r="L37" s="52"/>
      <c r="M37" s="52"/>
      <c r="N37" s="52"/>
      <c r="O37" s="52"/>
      <c r="P37" s="52"/>
      <c r="Q37" s="52"/>
      <c r="R37" s="52"/>
      <c r="S37" s="52"/>
      <c r="T37" s="52"/>
      <c r="U37" s="52"/>
      <c r="V37" s="52"/>
      <c r="W37" s="52"/>
    </row>
    <row r="38" spans="1:23" ht="14" customHeight="1" thickBot="1" x14ac:dyDescent="0.25">
      <c r="A38" s="85"/>
      <c r="B38" s="86">
        <v>3</v>
      </c>
      <c r="L38" s="52" t="str">
        <f>A15</f>
        <v>Threat Assessment</v>
      </c>
      <c r="M38" s="52"/>
      <c r="N38" s="52"/>
      <c r="O38" s="52"/>
      <c r="P38" s="52"/>
      <c r="Q38" s="52"/>
      <c r="R38" s="52"/>
      <c r="S38" s="52"/>
      <c r="T38" s="52"/>
      <c r="U38" s="52"/>
      <c r="V38" s="52"/>
      <c r="W38" s="52"/>
    </row>
    <row r="39" spans="1:23" x14ac:dyDescent="0.2">
      <c r="L39" s="52"/>
      <c r="M39" s="52"/>
      <c r="N39" s="52"/>
      <c r="O39" s="52"/>
      <c r="P39" s="52"/>
      <c r="Q39" s="52"/>
      <c r="R39" s="52"/>
      <c r="S39" s="52"/>
      <c r="T39" s="52"/>
      <c r="U39" s="52"/>
      <c r="V39" s="52"/>
      <c r="W39" s="52"/>
    </row>
    <row r="40" spans="1:23" x14ac:dyDescent="0.2">
      <c r="L40" s="52"/>
      <c r="M40" s="52"/>
      <c r="N40" s="52"/>
      <c r="O40" s="52"/>
      <c r="P40" s="52"/>
      <c r="Q40" s="52"/>
      <c r="R40" s="52"/>
      <c r="S40" s="52"/>
      <c r="T40" s="52"/>
      <c r="U40" s="52"/>
      <c r="V40" s="52"/>
      <c r="W40" s="52"/>
    </row>
    <row r="41" spans="1:23" x14ac:dyDescent="0.2">
      <c r="L41" s="52"/>
      <c r="M41" s="52"/>
      <c r="N41" s="52"/>
      <c r="O41" s="52"/>
      <c r="P41" s="52"/>
      <c r="Q41" s="52"/>
      <c r="R41" s="52"/>
      <c r="S41" s="52"/>
      <c r="T41" s="52"/>
      <c r="U41" s="52"/>
      <c r="V41" s="52"/>
      <c r="W41" s="52"/>
    </row>
    <row r="42" spans="1:23" x14ac:dyDescent="0.2">
      <c r="L42" s="52"/>
      <c r="M42" s="52"/>
      <c r="N42" s="52"/>
      <c r="O42" s="52"/>
      <c r="P42" s="52"/>
      <c r="Q42" s="52"/>
      <c r="R42" s="52"/>
      <c r="S42" s="52"/>
      <c r="T42" s="52"/>
      <c r="U42" s="52"/>
      <c r="V42" s="52"/>
      <c r="W42" s="52"/>
    </row>
    <row r="43" spans="1:23" x14ac:dyDescent="0.2">
      <c r="L43" s="52"/>
      <c r="M43" s="52"/>
      <c r="N43" s="52"/>
      <c r="O43" s="52"/>
      <c r="P43" s="52"/>
      <c r="Q43" s="52"/>
      <c r="R43" s="52"/>
      <c r="S43" s="52"/>
      <c r="T43" s="52"/>
      <c r="U43" s="52"/>
      <c r="V43" s="52"/>
      <c r="W43" s="52"/>
    </row>
    <row r="44" spans="1:23" x14ac:dyDescent="0.2">
      <c r="L44" s="52"/>
      <c r="M44" s="52"/>
      <c r="N44" s="52"/>
      <c r="O44" s="52"/>
      <c r="P44" s="52"/>
      <c r="Q44" s="52"/>
      <c r="R44" s="52"/>
      <c r="S44" s="52"/>
      <c r="T44" s="52"/>
      <c r="U44" s="52"/>
      <c r="V44" s="52"/>
      <c r="W44" s="52"/>
    </row>
    <row r="45" spans="1:23" x14ac:dyDescent="0.2">
      <c r="L45" s="52"/>
      <c r="M45" s="52"/>
      <c r="N45" s="52"/>
      <c r="O45" s="52"/>
      <c r="P45" s="52"/>
      <c r="Q45" s="52"/>
      <c r="R45" s="52"/>
      <c r="S45" s="52"/>
      <c r="T45" s="52"/>
      <c r="U45" s="52"/>
      <c r="V45" s="52"/>
      <c r="W45" s="52"/>
    </row>
    <row r="46" spans="1:23" x14ac:dyDescent="0.2">
      <c r="L46" s="52" t="str">
        <f>A16</f>
        <v>Security Requirements</v>
      </c>
      <c r="M46" s="52"/>
      <c r="N46" s="52"/>
      <c r="O46" s="52"/>
      <c r="P46" s="52"/>
      <c r="Q46" s="52"/>
      <c r="R46" s="52"/>
      <c r="S46" s="52"/>
      <c r="T46" s="52"/>
      <c r="U46" s="52"/>
      <c r="V46" s="52"/>
      <c r="W46" s="52"/>
    </row>
    <row r="47" spans="1:23" x14ac:dyDescent="0.2">
      <c r="L47" s="52"/>
      <c r="M47" s="52"/>
      <c r="N47" s="52"/>
      <c r="O47" s="52"/>
      <c r="P47" s="52"/>
      <c r="Q47" s="52"/>
      <c r="R47" s="52"/>
      <c r="S47" s="52"/>
      <c r="T47" s="52"/>
      <c r="U47" s="52"/>
      <c r="V47" s="52"/>
      <c r="W47" s="52"/>
    </row>
    <row r="48" spans="1:23" x14ac:dyDescent="0.2">
      <c r="L48" s="52"/>
      <c r="M48" s="52"/>
      <c r="N48" s="52"/>
      <c r="O48" s="52"/>
      <c r="P48" s="52"/>
      <c r="Q48" s="52"/>
      <c r="R48" s="52"/>
      <c r="S48" s="52"/>
      <c r="T48" s="52"/>
      <c r="U48" s="52"/>
      <c r="V48" s="52"/>
      <c r="W48" s="52"/>
    </row>
    <row r="49" spans="12:23" x14ac:dyDescent="0.2">
      <c r="L49" s="52"/>
      <c r="M49" s="52"/>
      <c r="N49" s="52"/>
      <c r="O49" s="52"/>
      <c r="P49" s="52"/>
      <c r="Q49" s="52"/>
      <c r="R49" s="52"/>
      <c r="S49" s="52"/>
      <c r="T49" s="52"/>
      <c r="U49" s="52"/>
      <c r="V49" s="52"/>
      <c r="W49" s="52"/>
    </row>
    <row r="50" spans="12:23" x14ac:dyDescent="0.2">
      <c r="L50" s="52"/>
      <c r="M50" s="52"/>
      <c r="N50" s="52"/>
      <c r="O50" s="52"/>
      <c r="P50" s="52"/>
      <c r="Q50" s="52"/>
      <c r="R50" s="52"/>
      <c r="S50" s="52"/>
      <c r="T50" s="52"/>
      <c r="U50" s="52"/>
      <c r="V50" s="52"/>
      <c r="W50" s="52"/>
    </row>
    <row r="51" spans="12:23" x14ac:dyDescent="0.2">
      <c r="L51" s="52"/>
      <c r="M51" s="52"/>
      <c r="N51" s="52"/>
      <c r="O51" s="52"/>
      <c r="P51" s="52"/>
      <c r="Q51" s="52"/>
      <c r="R51" s="52"/>
      <c r="S51" s="52"/>
      <c r="T51" s="52"/>
      <c r="U51" s="52"/>
      <c r="V51" s="52"/>
      <c r="W51" s="52"/>
    </row>
    <row r="52" spans="12:23" x14ac:dyDescent="0.2">
      <c r="L52" s="52"/>
      <c r="M52" s="52"/>
      <c r="N52" s="52"/>
      <c r="O52" s="52"/>
      <c r="P52" s="52"/>
      <c r="Q52" s="52"/>
      <c r="R52" s="52"/>
      <c r="S52" s="52"/>
      <c r="T52" s="52"/>
      <c r="U52" s="52"/>
      <c r="V52" s="52"/>
      <c r="W52" s="52"/>
    </row>
    <row r="53" spans="12:23" x14ac:dyDescent="0.2">
      <c r="L53" s="52"/>
      <c r="M53" s="52"/>
      <c r="N53" s="52"/>
      <c r="O53" s="52"/>
      <c r="P53" s="52"/>
      <c r="Q53" s="52"/>
      <c r="R53" s="52"/>
      <c r="S53" s="52"/>
      <c r="T53" s="52"/>
      <c r="U53" s="52"/>
      <c r="V53" s="52"/>
      <c r="W53" s="52"/>
    </row>
    <row r="54" spans="12:23" x14ac:dyDescent="0.2">
      <c r="L54" s="52" t="str">
        <f>A17</f>
        <v>Secure Architecture</v>
      </c>
      <c r="M54" s="52"/>
      <c r="N54" s="52"/>
      <c r="O54" s="52"/>
      <c r="P54" s="52"/>
      <c r="Q54" s="52"/>
      <c r="R54" s="52"/>
      <c r="S54" s="52"/>
      <c r="T54" s="52"/>
      <c r="U54" s="52"/>
      <c r="V54" s="52"/>
      <c r="W54" s="52"/>
    </row>
    <row r="55" spans="12:23" x14ac:dyDescent="0.2">
      <c r="L55" s="52"/>
      <c r="M55" s="52"/>
      <c r="N55" s="52"/>
      <c r="O55" s="52"/>
      <c r="P55" s="52"/>
      <c r="Q55" s="52"/>
      <c r="R55" s="52"/>
      <c r="S55" s="52"/>
      <c r="T55" s="52"/>
      <c r="U55" s="52"/>
      <c r="V55" s="52"/>
      <c r="W55" s="52"/>
    </row>
    <row r="56" spans="12:23" x14ac:dyDescent="0.2">
      <c r="L56" s="52"/>
      <c r="M56" s="52"/>
      <c r="W56" s="52"/>
    </row>
    <row r="57" spans="12:23" x14ac:dyDescent="0.2">
      <c r="L57" s="52"/>
      <c r="M57" s="52"/>
      <c r="W57" s="52"/>
    </row>
    <row r="58" spans="12:23" x14ac:dyDescent="0.2">
      <c r="L58" s="52"/>
      <c r="M58" s="52"/>
      <c r="W58" s="52"/>
    </row>
    <row r="59" spans="12:23" x14ac:dyDescent="0.2">
      <c r="L59" s="52"/>
      <c r="M59" s="52"/>
      <c r="W59" s="52"/>
    </row>
    <row r="60" spans="12:23" x14ac:dyDescent="0.2">
      <c r="L60" s="52"/>
      <c r="M60" s="52"/>
      <c r="W60" s="52"/>
    </row>
    <row r="61" spans="12:23" x14ac:dyDescent="0.2">
      <c r="L61" s="52"/>
      <c r="M61" s="52"/>
      <c r="W61" s="52"/>
    </row>
    <row r="62" spans="12:23" x14ac:dyDescent="0.2">
      <c r="L62" s="52" t="str">
        <f>A18</f>
        <v>Secure Build</v>
      </c>
      <c r="M62" s="52"/>
      <c r="W62" s="52"/>
    </row>
    <row r="63" spans="12:23" x14ac:dyDescent="0.2">
      <c r="L63" s="52"/>
      <c r="M63" s="52"/>
      <c r="W63" s="52"/>
    </row>
    <row r="64" spans="12:23" x14ac:dyDescent="0.2">
      <c r="L64" s="52"/>
      <c r="M64" s="52"/>
      <c r="W64" s="52"/>
    </row>
    <row r="65" spans="12:23" x14ac:dyDescent="0.2">
      <c r="L65" s="52"/>
      <c r="M65" s="52"/>
      <c r="W65" s="52"/>
    </row>
    <row r="66" spans="12:23" x14ac:dyDescent="0.2">
      <c r="L66" s="52"/>
      <c r="M66" s="52"/>
      <c r="W66" s="52"/>
    </row>
    <row r="67" spans="12:23" x14ac:dyDescent="0.2">
      <c r="L67" s="52"/>
      <c r="M67" s="52"/>
      <c r="W67" s="52"/>
    </row>
    <row r="68" spans="12:23" x14ac:dyDescent="0.2">
      <c r="L68" s="52"/>
      <c r="M68" s="52"/>
      <c r="W68" s="52"/>
    </row>
    <row r="69" spans="12:23" x14ac:dyDescent="0.2">
      <c r="L69" s="52"/>
      <c r="M69" s="52"/>
      <c r="W69" s="52"/>
    </row>
    <row r="70" spans="12:23" x14ac:dyDescent="0.2">
      <c r="L70" s="52" t="str">
        <f>A19</f>
        <v>Secure Deployment</v>
      </c>
      <c r="M70" s="52"/>
      <c r="W70" s="52"/>
    </row>
    <row r="71" spans="12:23" x14ac:dyDescent="0.2">
      <c r="L71" s="52"/>
      <c r="M71" s="52"/>
      <c r="W71" s="52"/>
    </row>
    <row r="72" spans="12:23" x14ac:dyDescent="0.2">
      <c r="L72" s="52"/>
      <c r="M72" s="52"/>
      <c r="W72" s="52"/>
    </row>
    <row r="73" spans="12:23" x14ac:dyDescent="0.2">
      <c r="L73" s="52"/>
      <c r="M73" s="52"/>
      <c r="W73" s="52"/>
    </row>
    <row r="74" spans="12:23" x14ac:dyDescent="0.2">
      <c r="L74" s="52"/>
      <c r="M74" s="52"/>
      <c r="W74" s="52"/>
    </row>
    <row r="75" spans="12:23" x14ac:dyDescent="0.2">
      <c r="L75" s="52"/>
      <c r="M75" s="52"/>
      <c r="W75" s="52"/>
    </row>
    <row r="76" spans="12:23" x14ac:dyDescent="0.2">
      <c r="L76" s="52"/>
      <c r="M76" s="52"/>
      <c r="W76" s="52"/>
    </row>
    <row r="77" spans="12:23" x14ac:dyDescent="0.2">
      <c r="L77" s="52"/>
      <c r="M77" s="52"/>
      <c r="W77" s="52"/>
    </row>
    <row r="78" spans="12:23" x14ac:dyDescent="0.2">
      <c r="L78" s="52" t="str">
        <f>A20</f>
        <v>Defect Management</v>
      </c>
      <c r="M78" s="52"/>
      <c r="W78" s="52"/>
    </row>
    <row r="79" spans="12:23" x14ac:dyDescent="0.2">
      <c r="L79" s="52"/>
      <c r="M79" s="52"/>
      <c r="W79" s="52"/>
    </row>
    <row r="80" spans="12:23" x14ac:dyDescent="0.2">
      <c r="L80" s="52"/>
      <c r="M80" s="52"/>
      <c r="N80" s="52"/>
      <c r="O80" s="52"/>
      <c r="P80" s="52"/>
      <c r="Q80" s="52"/>
      <c r="R80" s="52"/>
      <c r="S80" s="52"/>
      <c r="T80" s="52"/>
      <c r="U80" s="52"/>
      <c r="V80" s="52"/>
      <c r="W80" s="52"/>
    </row>
    <row r="81" spans="12:23" x14ac:dyDescent="0.2">
      <c r="L81" s="52"/>
      <c r="M81" s="52"/>
      <c r="N81" s="52"/>
      <c r="O81" s="52"/>
      <c r="P81" s="52"/>
      <c r="Q81" s="52"/>
      <c r="R81" s="52"/>
      <c r="S81" s="52"/>
      <c r="T81" s="52"/>
      <c r="U81" s="52"/>
      <c r="V81" s="52"/>
      <c r="W81" s="52"/>
    </row>
    <row r="82" spans="12:23" x14ac:dyDescent="0.2">
      <c r="L82" s="52"/>
      <c r="M82" s="52"/>
      <c r="N82" s="52"/>
      <c r="O82" s="52"/>
      <c r="P82" s="52"/>
      <c r="Q82" s="52"/>
      <c r="R82" s="52"/>
      <c r="S82" s="52"/>
      <c r="T82" s="52"/>
      <c r="U82" s="52"/>
      <c r="V82" s="52"/>
      <c r="W82" s="52"/>
    </row>
    <row r="83" spans="12:23" x14ac:dyDescent="0.2">
      <c r="L83" s="52"/>
      <c r="M83" s="52"/>
      <c r="N83" s="52"/>
      <c r="O83" s="52"/>
      <c r="P83" s="52"/>
      <c r="Q83" s="52"/>
      <c r="R83" s="52"/>
      <c r="S83" s="52"/>
      <c r="T83" s="52"/>
      <c r="U83" s="52"/>
      <c r="V83" s="52"/>
      <c r="W83" s="52"/>
    </row>
    <row r="84" spans="12:23" x14ac:dyDescent="0.2">
      <c r="L84" s="52"/>
      <c r="M84" s="52"/>
      <c r="N84" s="52"/>
      <c r="O84" s="52"/>
      <c r="P84" s="52"/>
      <c r="Q84" s="52"/>
      <c r="R84" s="52"/>
      <c r="S84" s="52"/>
      <c r="T84" s="52"/>
      <c r="U84" s="52"/>
      <c r="V84" s="52"/>
      <c r="W84" s="52"/>
    </row>
    <row r="85" spans="12:23" x14ac:dyDescent="0.2">
      <c r="L85" s="52"/>
      <c r="M85" s="52"/>
      <c r="N85" s="52"/>
      <c r="O85" s="52"/>
      <c r="P85" s="52"/>
      <c r="Q85" s="52"/>
      <c r="R85" s="52"/>
      <c r="S85" s="52"/>
      <c r="T85" s="52"/>
      <c r="U85" s="52"/>
      <c r="V85" s="52"/>
      <c r="W85" s="52"/>
    </row>
    <row r="86" spans="12:23" x14ac:dyDescent="0.2">
      <c r="L86" s="52" t="str">
        <f>A21</f>
        <v>Architecture Assessment</v>
      </c>
      <c r="M86" s="52"/>
      <c r="N86" s="52"/>
      <c r="O86" s="52"/>
      <c r="P86" s="52"/>
      <c r="Q86" s="52"/>
      <c r="R86" s="52"/>
      <c r="S86" s="52"/>
      <c r="T86" s="52"/>
      <c r="U86" s="52"/>
      <c r="V86" s="52"/>
      <c r="W86" s="52"/>
    </row>
    <row r="87" spans="12:23" x14ac:dyDescent="0.2">
      <c r="L87" s="52"/>
      <c r="M87" s="52"/>
      <c r="N87" s="52"/>
      <c r="O87" s="52"/>
      <c r="P87" s="52"/>
      <c r="Q87" s="52"/>
      <c r="R87" s="52"/>
      <c r="S87" s="52"/>
      <c r="T87" s="52"/>
      <c r="U87" s="52"/>
      <c r="V87" s="52"/>
      <c r="W87" s="52"/>
    </row>
    <row r="88" spans="12:23" x14ac:dyDescent="0.2">
      <c r="L88" s="52"/>
      <c r="M88" s="52"/>
      <c r="N88" s="52"/>
      <c r="O88" s="52"/>
      <c r="P88" s="52"/>
      <c r="Q88" s="52"/>
      <c r="R88" s="52"/>
      <c r="S88" s="52"/>
      <c r="T88" s="52"/>
      <c r="U88" s="52"/>
      <c r="V88" s="52"/>
      <c r="W88" s="52"/>
    </row>
    <row r="89" spans="12:23" x14ac:dyDescent="0.2">
      <c r="L89" s="52"/>
      <c r="M89" s="52"/>
      <c r="N89" s="52"/>
      <c r="O89" s="52"/>
      <c r="P89" s="52"/>
      <c r="Q89" s="52"/>
      <c r="R89" s="52"/>
      <c r="S89" s="52"/>
      <c r="T89" s="52"/>
      <c r="U89" s="52"/>
      <c r="V89" s="52"/>
      <c r="W89" s="52"/>
    </row>
    <row r="90" spans="12:23" x14ac:dyDescent="0.2">
      <c r="L90" s="52"/>
      <c r="M90" s="52"/>
      <c r="N90" s="52"/>
      <c r="O90" s="52"/>
      <c r="P90" s="52"/>
      <c r="Q90" s="52"/>
      <c r="R90" s="52"/>
      <c r="S90" s="52"/>
      <c r="T90" s="52"/>
      <c r="U90" s="52"/>
      <c r="V90" s="52"/>
      <c r="W90" s="52"/>
    </row>
    <row r="91" spans="12:23" x14ac:dyDescent="0.2">
      <c r="L91" s="52"/>
      <c r="M91" s="52"/>
      <c r="N91" s="52"/>
      <c r="O91" s="52"/>
      <c r="P91" s="52"/>
      <c r="Q91" s="52"/>
      <c r="R91" s="52"/>
      <c r="S91" s="52"/>
      <c r="T91" s="52"/>
      <c r="U91" s="52"/>
      <c r="V91" s="52"/>
      <c r="W91" s="52"/>
    </row>
    <row r="92" spans="12:23" x14ac:dyDescent="0.2">
      <c r="L92" s="52"/>
      <c r="M92" s="52"/>
      <c r="N92" s="52"/>
      <c r="O92" s="52"/>
      <c r="P92" s="52"/>
      <c r="Q92" s="52"/>
      <c r="R92" s="52"/>
      <c r="S92" s="52"/>
      <c r="T92" s="52"/>
      <c r="U92" s="52"/>
      <c r="V92" s="52"/>
      <c r="W92" s="52"/>
    </row>
    <row r="93" spans="12:23" x14ac:dyDescent="0.2">
      <c r="L93" s="52"/>
      <c r="M93" s="52"/>
      <c r="N93" s="52"/>
      <c r="O93" s="52"/>
      <c r="P93" s="52"/>
      <c r="Q93" s="52"/>
      <c r="R93" s="52"/>
      <c r="S93" s="52"/>
      <c r="T93" s="52"/>
      <c r="U93" s="52"/>
      <c r="V93" s="52"/>
      <c r="W93" s="52"/>
    </row>
    <row r="94" spans="12:23" x14ac:dyDescent="0.2">
      <c r="L94" s="52" t="str">
        <f>A22</f>
        <v>Requirements Testing</v>
      </c>
      <c r="M94" s="52"/>
      <c r="N94" s="52"/>
      <c r="O94" s="52"/>
      <c r="P94" s="52"/>
      <c r="Q94" s="52"/>
      <c r="R94" s="52"/>
      <c r="S94" s="52"/>
      <c r="T94" s="52"/>
      <c r="U94" s="52"/>
      <c r="V94" s="52"/>
      <c r="W94" s="52"/>
    </row>
    <row r="95" spans="12:23" x14ac:dyDescent="0.2">
      <c r="L95" s="52"/>
      <c r="M95" s="52"/>
      <c r="N95" s="52"/>
      <c r="O95" s="52"/>
      <c r="P95" s="52"/>
      <c r="Q95" s="52"/>
      <c r="R95" s="52"/>
      <c r="S95" s="52"/>
      <c r="T95" s="52"/>
      <c r="U95" s="52"/>
      <c r="V95" s="52"/>
      <c r="W95" s="52"/>
    </row>
    <row r="96" spans="12:23" x14ac:dyDescent="0.2">
      <c r="L96" s="52"/>
      <c r="M96" s="52"/>
      <c r="N96" s="52"/>
      <c r="O96" s="52"/>
      <c r="P96" s="52"/>
      <c r="Q96" s="52"/>
      <c r="R96" s="52"/>
      <c r="S96" s="52"/>
      <c r="T96" s="52"/>
      <c r="U96" s="52"/>
      <c r="V96" s="52"/>
      <c r="W96" s="52"/>
    </row>
    <row r="97" spans="12:23" x14ac:dyDescent="0.2">
      <c r="L97" s="52"/>
      <c r="M97" s="52"/>
      <c r="N97" s="52"/>
      <c r="O97" s="52"/>
      <c r="P97" s="52"/>
      <c r="Q97" s="52"/>
      <c r="R97" s="52"/>
      <c r="S97" s="52"/>
      <c r="T97" s="52"/>
      <c r="U97" s="52"/>
      <c r="V97" s="52"/>
      <c r="W97" s="52"/>
    </row>
    <row r="98" spans="12:23" x14ac:dyDescent="0.2">
      <c r="L98" s="52"/>
      <c r="M98" s="52"/>
      <c r="N98" s="52"/>
      <c r="O98" s="52"/>
      <c r="P98" s="52"/>
      <c r="Q98" s="52"/>
      <c r="R98" s="52"/>
      <c r="S98" s="52"/>
      <c r="T98" s="52"/>
      <c r="U98" s="52"/>
      <c r="V98" s="52"/>
      <c r="W98" s="52"/>
    </row>
    <row r="99" spans="12:23" x14ac:dyDescent="0.2">
      <c r="L99" s="52"/>
      <c r="M99" s="52"/>
      <c r="N99" s="52"/>
      <c r="O99" s="52"/>
      <c r="P99" s="52"/>
      <c r="Q99" s="52"/>
      <c r="R99" s="52"/>
      <c r="S99" s="52"/>
      <c r="T99" s="52"/>
      <c r="U99" s="52"/>
      <c r="V99" s="52"/>
      <c r="W99" s="52"/>
    </row>
    <row r="100" spans="12:23" x14ac:dyDescent="0.2">
      <c r="L100" s="52"/>
      <c r="M100" s="52"/>
      <c r="N100" s="52"/>
      <c r="O100" s="52"/>
      <c r="P100" s="52"/>
      <c r="Q100" s="52"/>
      <c r="R100" s="52"/>
      <c r="S100" s="52"/>
      <c r="T100" s="52"/>
      <c r="U100" s="52"/>
      <c r="V100" s="52"/>
      <c r="W100" s="52"/>
    </row>
    <row r="101" spans="12:23" x14ac:dyDescent="0.2">
      <c r="L101" s="52"/>
      <c r="M101" s="52"/>
      <c r="N101" s="52"/>
      <c r="O101" s="52"/>
      <c r="P101" s="52"/>
      <c r="Q101" s="52"/>
      <c r="R101" s="52"/>
      <c r="S101" s="52"/>
      <c r="T101" s="52"/>
      <c r="U101" s="52"/>
      <c r="V101" s="52"/>
      <c r="W101" s="52"/>
    </row>
    <row r="102" spans="12:23" x14ac:dyDescent="0.2">
      <c r="L102" s="52" t="str">
        <f>A23</f>
        <v>Security Testing</v>
      </c>
      <c r="M102" s="52"/>
      <c r="N102" s="52"/>
      <c r="O102" s="52"/>
      <c r="P102" s="52"/>
      <c r="Q102" s="52"/>
      <c r="R102" s="52"/>
      <c r="S102" s="52"/>
      <c r="T102" s="52"/>
      <c r="U102" s="52"/>
      <c r="V102" s="52"/>
      <c r="W102" s="52"/>
    </row>
    <row r="103" spans="12:23" x14ac:dyDescent="0.2">
      <c r="L103" s="52"/>
      <c r="M103" s="52"/>
      <c r="N103" s="52"/>
      <c r="O103" s="52"/>
      <c r="P103" s="52"/>
      <c r="Q103" s="52"/>
      <c r="R103" s="52"/>
      <c r="S103" s="52"/>
      <c r="T103" s="52"/>
      <c r="U103" s="52"/>
      <c r="V103" s="52"/>
      <c r="W103" s="52"/>
    </row>
    <row r="104" spans="12:23" x14ac:dyDescent="0.2">
      <c r="L104" s="52"/>
      <c r="M104" s="52"/>
      <c r="N104" s="52"/>
      <c r="O104" s="52"/>
      <c r="P104" s="52"/>
      <c r="Q104" s="52"/>
      <c r="R104" s="52"/>
      <c r="S104" s="52"/>
      <c r="T104" s="52"/>
      <c r="U104" s="52"/>
      <c r="V104" s="52"/>
      <c r="W104" s="52"/>
    </row>
    <row r="105" spans="12:23" x14ac:dyDescent="0.2">
      <c r="L105" s="52"/>
      <c r="M105" s="52"/>
      <c r="N105" s="52"/>
      <c r="O105" s="52"/>
      <c r="P105" s="52"/>
      <c r="Q105" s="52"/>
      <c r="R105" s="52"/>
      <c r="S105" s="52"/>
      <c r="T105" s="52"/>
      <c r="U105" s="52"/>
      <c r="V105" s="52"/>
      <c r="W105" s="52"/>
    </row>
    <row r="106" spans="12:23" x14ac:dyDescent="0.2">
      <c r="L106" s="52"/>
      <c r="M106" s="52"/>
      <c r="N106" s="52"/>
      <c r="O106" s="52"/>
      <c r="P106" s="52"/>
      <c r="Q106" s="52"/>
      <c r="R106" s="52"/>
      <c r="S106" s="52"/>
      <c r="T106" s="52"/>
      <c r="U106" s="52"/>
      <c r="V106" s="52"/>
      <c r="W106" s="52"/>
    </row>
    <row r="107" spans="12:23" x14ac:dyDescent="0.2">
      <c r="L107" s="52"/>
      <c r="M107" s="52"/>
      <c r="N107" s="52"/>
      <c r="O107" s="52"/>
      <c r="P107" s="52"/>
      <c r="Q107" s="52"/>
      <c r="R107" s="52"/>
      <c r="S107" s="52"/>
      <c r="T107" s="52"/>
      <c r="U107" s="52"/>
      <c r="V107" s="52"/>
      <c r="W107" s="52"/>
    </row>
    <row r="108" spans="12:23" x14ac:dyDescent="0.2">
      <c r="L108" s="52"/>
      <c r="M108" s="52"/>
      <c r="N108" s="52"/>
      <c r="O108" s="52"/>
      <c r="P108" s="52"/>
      <c r="Q108" s="52"/>
      <c r="R108" s="52"/>
      <c r="S108" s="52"/>
      <c r="T108" s="52"/>
      <c r="U108" s="52"/>
      <c r="V108" s="52"/>
      <c r="W108" s="52"/>
    </row>
    <row r="109" spans="12:23" x14ac:dyDescent="0.2">
      <c r="L109" s="52"/>
      <c r="M109" s="52"/>
      <c r="N109" s="52"/>
      <c r="O109" s="52"/>
      <c r="P109" s="52"/>
      <c r="Q109" s="52"/>
      <c r="R109" s="52"/>
      <c r="S109" s="52"/>
      <c r="T109" s="52"/>
      <c r="U109" s="52"/>
      <c r="V109" s="52"/>
      <c r="W109" s="52"/>
    </row>
    <row r="110" spans="12:23" x14ac:dyDescent="0.2">
      <c r="L110" s="52" t="str">
        <f>A24</f>
        <v>Incident Management</v>
      </c>
      <c r="M110" s="52"/>
      <c r="N110" s="52"/>
      <c r="O110" s="52"/>
      <c r="P110" s="52"/>
      <c r="Q110" s="52"/>
      <c r="R110" s="52"/>
      <c r="S110" s="52"/>
      <c r="T110" s="52"/>
      <c r="U110" s="52"/>
      <c r="V110" s="52"/>
      <c r="W110" s="52"/>
    </row>
    <row r="111" spans="12:23" x14ac:dyDescent="0.2">
      <c r="L111" s="52"/>
      <c r="M111" s="52"/>
      <c r="N111" s="52"/>
      <c r="O111" s="52"/>
      <c r="P111" s="52"/>
      <c r="Q111" s="52"/>
      <c r="R111" s="52"/>
      <c r="S111" s="52"/>
      <c r="T111" s="52"/>
      <c r="U111" s="52"/>
      <c r="V111" s="52"/>
      <c r="W111" s="52"/>
    </row>
    <row r="112" spans="12:23" x14ac:dyDescent="0.2">
      <c r="L112" s="52"/>
      <c r="M112" s="52"/>
      <c r="N112" s="52"/>
      <c r="O112" s="52"/>
      <c r="P112" s="52"/>
      <c r="Q112" s="52"/>
      <c r="R112" s="52"/>
      <c r="S112" s="52"/>
      <c r="T112" s="52"/>
      <c r="U112" s="52"/>
      <c r="V112" s="52"/>
      <c r="W112" s="52"/>
    </row>
    <row r="113" spans="12:23" x14ac:dyDescent="0.2">
      <c r="L113" s="52"/>
      <c r="M113" s="52"/>
      <c r="N113" s="52"/>
      <c r="O113" s="52"/>
      <c r="P113" s="52"/>
      <c r="Q113" s="52"/>
      <c r="R113" s="52"/>
      <c r="S113" s="52"/>
      <c r="T113" s="52"/>
      <c r="U113" s="52"/>
      <c r="V113" s="52"/>
      <c r="W113" s="52"/>
    </row>
    <row r="114" spans="12:23" x14ac:dyDescent="0.2">
      <c r="L114" s="52"/>
      <c r="M114" s="52"/>
      <c r="N114" s="52"/>
      <c r="O114" s="52"/>
      <c r="P114" s="52"/>
      <c r="Q114" s="52"/>
      <c r="R114" s="52"/>
      <c r="S114" s="52"/>
      <c r="T114" s="52"/>
      <c r="U114" s="52"/>
      <c r="V114" s="52"/>
      <c r="W114" s="52"/>
    </row>
    <row r="115" spans="12:23" x14ac:dyDescent="0.2">
      <c r="L115" s="52"/>
      <c r="M115" s="52"/>
      <c r="N115" s="52"/>
      <c r="O115" s="52"/>
      <c r="P115" s="52"/>
      <c r="Q115" s="52"/>
      <c r="R115" s="52"/>
      <c r="S115" s="52"/>
      <c r="T115" s="52"/>
      <c r="U115" s="52"/>
      <c r="V115" s="52"/>
      <c r="W115" s="52"/>
    </row>
    <row r="116" spans="12:23" x14ac:dyDescent="0.2">
      <c r="L116" s="52"/>
      <c r="M116" s="52"/>
      <c r="N116" s="52"/>
      <c r="O116" s="52"/>
      <c r="P116" s="52"/>
      <c r="Q116" s="52"/>
      <c r="R116" s="52"/>
      <c r="S116" s="52"/>
      <c r="T116" s="52"/>
      <c r="U116" s="52"/>
      <c r="V116" s="52"/>
      <c r="W116" s="52"/>
    </row>
    <row r="117" spans="12:23" x14ac:dyDescent="0.2">
      <c r="L117" s="52"/>
      <c r="M117" s="52"/>
      <c r="N117" s="52"/>
      <c r="O117" s="52"/>
      <c r="P117" s="52"/>
      <c r="Q117" s="52"/>
      <c r="R117" s="52"/>
      <c r="S117" s="52"/>
      <c r="T117" s="52"/>
      <c r="U117" s="52"/>
      <c r="V117" s="52"/>
      <c r="W117" s="52"/>
    </row>
    <row r="118" spans="12:23" x14ac:dyDescent="0.2">
      <c r="L118" s="52" t="str">
        <f>A25</f>
        <v>Environment Management</v>
      </c>
      <c r="M118" s="52"/>
      <c r="N118" s="52"/>
      <c r="O118" s="52"/>
      <c r="P118" s="52"/>
      <c r="Q118" s="52"/>
      <c r="R118" s="52"/>
      <c r="S118" s="52"/>
      <c r="T118" s="52"/>
      <c r="U118" s="52"/>
      <c r="V118" s="52"/>
      <c r="W118" s="52"/>
    </row>
    <row r="119" spans="12:23" x14ac:dyDescent="0.2">
      <c r="L119" s="52"/>
      <c r="M119" s="52"/>
      <c r="N119" s="52"/>
      <c r="O119" s="52"/>
      <c r="P119" s="52"/>
      <c r="Q119" s="52"/>
      <c r="R119" s="52"/>
      <c r="S119" s="52"/>
      <c r="T119" s="52"/>
      <c r="U119" s="52"/>
      <c r="V119" s="52"/>
      <c r="W119" s="52"/>
    </row>
    <row r="120" spans="12:23" x14ac:dyDescent="0.2">
      <c r="L120" s="52"/>
      <c r="M120" s="52"/>
      <c r="N120" s="52"/>
      <c r="O120" s="52"/>
      <c r="P120" s="52"/>
      <c r="Q120" s="52"/>
      <c r="R120" s="52"/>
      <c r="S120" s="52"/>
      <c r="T120" s="52"/>
      <c r="U120" s="52"/>
      <c r="V120" s="52"/>
      <c r="W120" s="52"/>
    </row>
    <row r="121" spans="12:23" x14ac:dyDescent="0.2">
      <c r="L121" s="52"/>
      <c r="M121" s="52"/>
      <c r="N121" s="52"/>
      <c r="O121" s="52"/>
      <c r="P121" s="52"/>
      <c r="Q121" s="52"/>
      <c r="R121" s="52"/>
      <c r="S121" s="52"/>
      <c r="T121" s="52"/>
      <c r="U121" s="52"/>
      <c r="V121" s="52"/>
      <c r="W121" s="52"/>
    </row>
    <row r="122" spans="12:23" x14ac:dyDescent="0.2">
      <c r="L122" s="52"/>
      <c r="M122" s="52"/>
      <c r="N122" s="52"/>
      <c r="O122" s="52"/>
      <c r="P122" s="52"/>
      <c r="Q122" s="52"/>
      <c r="R122" s="52"/>
      <c r="S122" s="52"/>
      <c r="T122" s="52"/>
      <c r="U122" s="52"/>
      <c r="V122" s="52"/>
      <c r="W122" s="52"/>
    </row>
    <row r="123" spans="12:23" x14ac:dyDescent="0.2">
      <c r="L123" s="52"/>
      <c r="M123" s="52"/>
      <c r="N123" s="52"/>
      <c r="O123" s="52"/>
      <c r="P123" s="52"/>
      <c r="Q123" s="52"/>
      <c r="R123" s="52"/>
      <c r="S123" s="52"/>
      <c r="T123" s="52"/>
      <c r="U123" s="52"/>
      <c r="V123" s="52"/>
      <c r="W123" s="52"/>
    </row>
    <row r="124" spans="12:23" x14ac:dyDescent="0.2">
      <c r="L124" s="52"/>
      <c r="M124" s="52"/>
      <c r="N124" s="52"/>
      <c r="O124" s="52"/>
      <c r="P124" s="52"/>
      <c r="Q124" s="52"/>
      <c r="R124" s="52"/>
      <c r="S124" s="52"/>
      <c r="T124" s="52"/>
      <c r="U124" s="52"/>
      <c r="V124" s="52"/>
      <c r="W124" s="52"/>
    </row>
    <row r="125" spans="12:23" x14ac:dyDescent="0.2">
      <c r="L125" s="52"/>
      <c r="M125" s="52"/>
      <c r="N125" s="52"/>
      <c r="O125" s="52"/>
      <c r="P125" s="52"/>
      <c r="Q125" s="52"/>
      <c r="R125" s="52"/>
      <c r="S125" s="52"/>
      <c r="T125" s="52"/>
      <c r="U125" s="52"/>
      <c r="V125" s="52"/>
      <c r="W125" s="52"/>
    </row>
    <row r="126" spans="12:23" x14ac:dyDescent="0.2">
      <c r="L126" s="52" t="str">
        <f>A26</f>
        <v>Operational Management</v>
      </c>
      <c r="M126" s="52"/>
      <c r="N126" s="52"/>
      <c r="O126" s="52"/>
      <c r="P126" s="52"/>
      <c r="Q126" s="52"/>
      <c r="R126" s="52"/>
      <c r="S126" s="52"/>
      <c r="T126" s="52"/>
      <c r="U126" s="52"/>
      <c r="V126" s="52"/>
      <c r="W126" s="52"/>
    </row>
    <row r="127" spans="12:23" x14ac:dyDescent="0.2">
      <c r="L127" s="52"/>
      <c r="M127" s="52"/>
      <c r="N127" s="52"/>
      <c r="O127" s="52"/>
      <c r="P127" s="52"/>
      <c r="Q127" s="52"/>
      <c r="R127" s="52"/>
      <c r="S127" s="52"/>
      <c r="T127" s="52"/>
      <c r="U127" s="52"/>
      <c r="V127" s="52"/>
      <c r="W127" s="52"/>
    </row>
    <row r="128" spans="12:23" x14ac:dyDescent="0.2">
      <c r="L128" s="52"/>
      <c r="M128" s="52"/>
      <c r="N128" s="52"/>
      <c r="O128" s="52"/>
      <c r="P128" s="52"/>
      <c r="Q128" s="52"/>
      <c r="R128" s="52"/>
      <c r="S128" s="52"/>
      <c r="T128" s="52"/>
      <c r="U128" s="52"/>
      <c r="V128" s="52"/>
      <c r="W128" s="52"/>
    </row>
    <row r="129" spans="12:23" x14ac:dyDescent="0.2">
      <c r="L129" s="52"/>
      <c r="M129" s="52"/>
      <c r="N129" s="52"/>
      <c r="O129" s="52"/>
      <c r="P129" s="52"/>
      <c r="Q129" s="52"/>
      <c r="R129" s="52"/>
      <c r="S129" s="52"/>
      <c r="T129" s="52"/>
      <c r="U129" s="52"/>
      <c r="V129" s="52"/>
      <c r="W129" s="52"/>
    </row>
    <row r="130" spans="12:23" x14ac:dyDescent="0.2">
      <c r="L130" s="52"/>
      <c r="M130" s="52"/>
      <c r="N130" s="52"/>
      <c r="O130" s="52"/>
      <c r="P130" s="52"/>
      <c r="Q130" s="52"/>
      <c r="R130" s="52"/>
      <c r="S130" s="52"/>
      <c r="T130" s="52"/>
      <c r="U130" s="52"/>
      <c r="V130" s="52"/>
      <c r="W130" s="52"/>
    </row>
    <row r="131" spans="12:23" x14ac:dyDescent="0.2">
      <c r="L131" s="52"/>
      <c r="M131" s="52"/>
      <c r="N131" s="52"/>
      <c r="O131" s="52"/>
      <c r="P131" s="52"/>
      <c r="Q131" s="52"/>
      <c r="R131" s="52"/>
      <c r="S131" s="52"/>
      <c r="T131" s="52"/>
      <c r="U131" s="52"/>
      <c r="V131" s="52"/>
      <c r="W131" s="52"/>
    </row>
    <row r="132" spans="12:23" ht="14" customHeight="1" x14ac:dyDescent="0.2">
      <c r="L132" s="52"/>
      <c r="M132" s="52"/>
      <c r="N132" s="52"/>
      <c r="O132" s="52"/>
      <c r="P132" s="52"/>
      <c r="Q132" s="52"/>
      <c r="R132" s="52"/>
      <c r="S132" s="52"/>
      <c r="T132" s="52"/>
      <c r="U132" s="52"/>
      <c r="V132" s="52"/>
      <c r="W132" s="52"/>
    </row>
  </sheetData>
  <mergeCells count="20">
    <mergeCell ref="A1:K1"/>
    <mergeCell ref="O10:P10"/>
    <mergeCell ref="Q10:R10"/>
    <mergeCell ref="S10:T10"/>
    <mergeCell ref="U10:V10"/>
    <mergeCell ref="B4:C4"/>
    <mergeCell ref="B5:C5"/>
    <mergeCell ref="B7:C7"/>
    <mergeCell ref="B8:C8"/>
    <mergeCell ref="B6:C6"/>
    <mergeCell ref="O11:P11"/>
    <mergeCell ref="Q11:R11"/>
    <mergeCell ref="S11:T11"/>
    <mergeCell ref="U11:V11"/>
    <mergeCell ref="O8:R8"/>
    <mergeCell ref="S8:V8"/>
    <mergeCell ref="O9:P9"/>
    <mergeCell ref="Q9:R9"/>
    <mergeCell ref="S9:T9"/>
    <mergeCell ref="U9:V9"/>
  </mergeCells>
  <dataValidations count="1">
    <dataValidation showInputMessage="1" showErrorMessage="1" sqref="B12:B26" xr:uid="{00000000-0002-0000-0500-000000000000}"/>
  </dataValidations>
  <pageMargins left="0.55118110236220474" right="0.55118110236220474" top="0.39370078740157483" bottom="0.39370078740157483" header="0.51181102362204722" footer="0.51181102362204722"/>
  <pageSetup paperSize="9" scale="5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Q152"/>
  <sheetViews>
    <sheetView topLeftCell="D2" workbookViewId="0">
      <selection activeCell="I4" sqref="I4"/>
    </sheetView>
  </sheetViews>
  <sheetFormatPr baseColWidth="10" defaultColWidth="8.83203125" defaultRowHeight="13" x14ac:dyDescent="0.15"/>
  <cols>
    <col min="3" max="3" width="8.83203125" customWidth="1"/>
    <col min="9" max="9" width="22.5" style="1" customWidth="1"/>
    <col min="10" max="10" width="35.1640625" customWidth="1"/>
    <col min="15" max="15" width="21.83203125" customWidth="1"/>
    <col min="16" max="16" width="29.1640625" customWidth="1"/>
  </cols>
  <sheetData>
    <row r="1" spans="1:17" ht="66" customHeight="1" thickBot="1" x14ac:dyDescent="0.3">
      <c r="A1" s="638" t="s">
        <v>270</v>
      </c>
      <c r="B1" s="561"/>
      <c r="C1" s="561"/>
      <c r="D1" s="561"/>
      <c r="E1" s="561"/>
      <c r="F1" s="561"/>
      <c r="G1" s="561"/>
      <c r="H1" s="561"/>
      <c r="I1" s="561"/>
      <c r="J1" s="561"/>
      <c r="K1" s="562"/>
      <c r="M1" s="19" t="str">
        <f>IF(M2=M3,"OK","Problem")</f>
        <v>Problem</v>
      </c>
    </row>
    <row r="2" spans="1:17" x14ac:dyDescent="0.15">
      <c r="M2">
        <f>COUNTA(M4:M200)</f>
        <v>25</v>
      </c>
    </row>
    <row r="3" spans="1:17" x14ac:dyDescent="0.15">
      <c r="A3" s="4" t="s">
        <v>15</v>
      </c>
      <c r="B3" s="3"/>
      <c r="C3" s="639" t="s">
        <v>271</v>
      </c>
      <c r="D3" s="496"/>
      <c r="E3" s="542"/>
      <c r="F3" s="3"/>
      <c r="G3" s="3"/>
      <c r="H3" s="3"/>
      <c r="I3" s="2"/>
      <c r="M3">
        <f>COUNTA('imp-answers'!A2:A200)</f>
        <v>24</v>
      </c>
    </row>
    <row r="4" spans="1:17" x14ac:dyDescent="0.15">
      <c r="A4" s="5" t="s">
        <v>272</v>
      </c>
      <c r="C4" s="6">
        <v>3</v>
      </c>
      <c r="D4" s="6">
        <v>3</v>
      </c>
      <c r="E4" s="6">
        <v>3</v>
      </c>
      <c r="F4" s="6">
        <v>6</v>
      </c>
      <c r="G4" s="20"/>
      <c r="H4" s="636" t="s">
        <v>273</v>
      </c>
      <c r="I4" s="15">
        <v>1</v>
      </c>
      <c r="J4" t="s">
        <v>274</v>
      </c>
      <c r="K4">
        <v>0</v>
      </c>
      <c r="M4" s="636" t="str">
        <f>CHAR(65+N4)</f>
        <v>A</v>
      </c>
      <c r="N4" s="636">
        <v>0</v>
      </c>
      <c r="O4" s="15"/>
      <c r="P4" s="18" t="str">
        <f>INDEX('imp-answers'!$B$2:$B$50, MATCH($N4, 'imp-answers'!$A$2:$A$50, 0))</f>
        <v>No</v>
      </c>
      <c r="Q4" s="18">
        <f>INDEX('imp-answers'!$F$2:$F$50, MATCH($N4, 'imp-answers'!$A$2:$A$50, 0))</f>
        <v>0</v>
      </c>
    </row>
    <row r="5" spans="1:17" x14ac:dyDescent="0.15">
      <c r="A5" s="5" t="s">
        <v>274</v>
      </c>
      <c r="B5" s="18"/>
      <c r="C5" s="6">
        <v>2.0099999999999998</v>
      </c>
      <c r="D5" s="6">
        <v>2.99</v>
      </c>
      <c r="E5" s="7" t="s">
        <v>275</v>
      </c>
      <c r="F5" s="8">
        <v>5</v>
      </c>
      <c r="G5" s="1"/>
      <c r="H5" s="637"/>
      <c r="I5" s="11"/>
      <c r="J5" t="s">
        <v>276</v>
      </c>
      <c r="K5">
        <v>0.2</v>
      </c>
      <c r="M5" s="637"/>
      <c r="N5" s="637"/>
      <c r="O5" s="11"/>
      <c r="P5" s="18" t="str">
        <f>INDEX('imp-answers'!$C$2:$C$50, MATCH($N4, 'imp-answers'!$A$2:$A$50, 0))</f>
        <v>Yes, for some applications</v>
      </c>
      <c r="Q5" s="18">
        <f>INDEX('imp-answers'!$G$2:$G$50, MATCH($N4, 'imp-answers'!$A$2:$A$50, 0))</f>
        <v>0.25</v>
      </c>
    </row>
    <row r="6" spans="1:17" x14ac:dyDescent="0.15">
      <c r="C6" s="6">
        <v>2</v>
      </c>
      <c r="D6" s="6">
        <v>2</v>
      </c>
      <c r="E6" s="6">
        <v>2</v>
      </c>
      <c r="F6" s="6">
        <v>4</v>
      </c>
      <c r="G6" s="20"/>
      <c r="H6" s="637"/>
      <c r="I6" s="13"/>
      <c r="J6" t="s">
        <v>277</v>
      </c>
      <c r="K6">
        <v>0.5</v>
      </c>
      <c r="M6" s="637"/>
      <c r="N6" s="637"/>
      <c r="O6" s="17"/>
      <c r="P6" s="18" t="str">
        <f>INDEX('imp-answers'!$D$2:$D$50, MATCH($N4, 'imp-answers'!$A$2:$A$50, 0))</f>
        <v>Yes, for at least half of the applications</v>
      </c>
      <c r="Q6" s="18">
        <f>INDEX('imp-answers'!$H$2:$H$50, MATCH($N4, 'imp-answers'!$A$2:$A$50, 0))</f>
        <v>0.5</v>
      </c>
    </row>
    <row r="7" spans="1:17" x14ac:dyDescent="0.15">
      <c r="C7" s="6">
        <v>1.01</v>
      </c>
      <c r="D7" s="6">
        <v>1.99</v>
      </c>
      <c r="E7" s="7" t="s">
        <v>278</v>
      </c>
      <c r="F7" s="8">
        <v>3</v>
      </c>
      <c r="G7" s="1"/>
      <c r="H7" s="637"/>
      <c r="I7" s="14">
        <v>2</v>
      </c>
      <c r="J7" t="s">
        <v>279</v>
      </c>
      <c r="K7">
        <v>1</v>
      </c>
      <c r="M7" s="637"/>
      <c r="N7" s="637"/>
      <c r="O7" s="13"/>
      <c r="P7" s="18" t="str">
        <f>INDEX('imp-answers'!$E$2:$E$50, MATCH($N4, 'imp-answers'!$A$2:$A$50, 0))</f>
        <v>Yes, for most or all of the applications</v>
      </c>
      <c r="Q7" s="18">
        <f>INDEX('imp-answers'!$I$2:$I$50, MATCH($N4, 'imp-answers'!$A$2:$A$50, 0))</f>
        <v>1</v>
      </c>
    </row>
    <row r="8" spans="1:17" x14ac:dyDescent="0.15">
      <c r="C8" s="6">
        <v>1</v>
      </c>
      <c r="D8" s="6">
        <v>1</v>
      </c>
      <c r="E8" s="6">
        <v>1</v>
      </c>
      <c r="F8" s="6">
        <v>2</v>
      </c>
      <c r="G8" s="20"/>
      <c r="M8" s="637"/>
      <c r="N8" s="637"/>
      <c r="O8" s="16"/>
    </row>
    <row r="9" spans="1:17" x14ac:dyDescent="0.15">
      <c r="C9" s="6">
        <v>0.01</v>
      </c>
      <c r="D9" s="6">
        <v>0.99</v>
      </c>
      <c r="E9" s="7" t="s">
        <v>280</v>
      </c>
      <c r="F9" s="8">
        <v>1</v>
      </c>
      <c r="G9" s="1"/>
      <c r="H9" s="636" t="s">
        <v>281</v>
      </c>
      <c r="I9" s="12" t="s">
        <v>282</v>
      </c>
      <c r="J9" t="s">
        <v>274</v>
      </c>
      <c r="K9">
        <v>0</v>
      </c>
    </row>
    <row r="10" spans="1:17" x14ac:dyDescent="0.15">
      <c r="C10" s="6">
        <v>0</v>
      </c>
      <c r="D10" s="6">
        <v>0</v>
      </c>
      <c r="E10" s="6">
        <v>0</v>
      </c>
      <c r="F10" s="6">
        <v>0</v>
      </c>
      <c r="G10" s="20"/>
      <c r="H10" s="637"/>
      <c r="I10" s="11">
        <v>5</v>
      </c>
      <c r="J10" t="s">
        <v>283</v>
      </c>
      <c r="K10">
        <v>0.2</v>
      </c>
      <c r="M10" s="636" t="str">
        <f>CHAR(65+N10)</f>
        <v>B</v>
      </c>
      <c r="N10" s="636">
        <v>1</v>
      </c>
      <c r="O10" s="15"/>
      <c r="P10" s="18" t="str">
        <f>INDEX('imp-answers'!$B$2:$B$50, MATCH($N10, 'imp-answers'!$A$2:$A$50, 0))</f>
        <v>No</v>
      </c>
      <c r="Q10" s="18">
        <f>INDEX('imp-answers'!$F$2:$F$50, MATCH($N10, 'imp-answers'!$A$2:$A$50, 0))</f>
        <v>0</v>
      </c>
    </row>
    <row r="11" spans="1:17" x14ac:dyDescent="0.15">
      <c r="H11" s="637"/>
      <c r="I11" s="13" t="s">
        <v>284</v>
      </c>
      <c r="J11" t="s">
        <v>285</v>
      </c>
      <c r="K11">
        <v>0.5</v>
      </c>
      <c r="M11" s="637"/>
      <c r="N11" s="637"/>
      <c r="O11" s="11"/>
      <c r="P11" s="18" t="str">
        <f>INDEX('imp-answers'!$C$2:$C$50, MATCH($N10, 'imp-answers'!$A$2:$A$50, 0))</f>
        <v>Yes, some of them</v>
      </c>
      <c r="Q11" s="18">
        <f>INDEX('imp-answers'!$G$2:$G$50, MATCH($N10, 'imp-answers'!$A$2:$A$50, 0))</f>
        <v>0.25</v>
      </c>
    </row>
    <row r="12" spans="1:17" x14ac:dyDescent="0.15">
      <c r="H12" s="637"/>
      <c r="I12" s="14" t="s">
        <v>286</v>
      </c>
      <c r="J12" t="s">
        <v>287</v>
      </c>
      <c r="K12">
        <v>1</v>
      </c>
      <c r="M12" s="637"/>
      <c r="N12" s="637"/>
      <c r="O12" s="17"/>
      <c r="P12" s="18" t="str">
        <f>INDEX('imp-answers'!$D$2:$D$50, MATCH($N10, 'imp-answers'!$A$2:$A$50, 0))</f>
        <v>Yes, at least half of them</v>
      </c>
      <c r="Q12" s="18">
        <f>INDEX('imp-answers'!$H$2:$H$50, MATCH($N10, 'imp-answers'!$A$2:$A$50, 0))</f>
        <v>0.5</v>
      </c>
    </row>
    <row r="13" spans="1:17" x14ac:dyDescent="0.15">
      <c r="M13" s="637"/>
      <c r="N13" s="637"/>
      <c r="O13" s="13"/>
      <c r="P13" s="18" t="str">
        <f>INDEX('imp-answers'!$E$2:$E$50, MATCH($N10, 'imp-answers'!$A$2:$A$50, 0))</f>
        <v>Yes, most or all of them</v>
      </c>
      <c r="Q13" s="18">
        <f>INDEX('imp-answers'!$I$2:$I$50, MATCH($N10, 'imp-answers'!$A$2:$A$50, 0))</f>
        <v>1</v>
      </c>
    </row>
    <row r="14" spans="1:17" x14ac:dyDescent="0.15">
      <c r="H14" s="636" t="s">
        <v>288</v>
      </c>
      <c r="I14" s="12" t="s">
        <v>289</v>
      </c>
      <c r="J14" t="s">
        <v>274</v>
      </c>
      <c r="K14">
        <v>0</v>
      </c>
      <c r="M14" s="637"/>
      <c r="N14" s="637"/>
      <c r="O14" s="16"/>
    </row>
    <row r="15" spans="1:17" x14ac:dyDescent="0.15">
      <c r="H15" s="637"/>
      <c r="I15" s="11" t="s">
        <v>290</v>
      </c>
      <c r="J15" t="s">
        <v>291</v>
      </c>
      <c r="K15">
        <v>0.2</v>
      </c>
    </row>
    <row r="16" spans="1:17" x14ac:dyDescent="0.15">
      <c r="H16" s="637"/>
      <c r="I16" s="13" t="s">
        <v>292</v>
      </c>
      <c r="J16" t="s">
        <v>293</v>
      </c>
      <c r="K16">
        <v>0.5</v>
      </c>
      <c r="M16" s="636" t="str">
        <f>CHAR(65+N16)</f>
        <v>C</v>
      </c>
      <c r="N16" s="636">
        <v>2</v>
      </c>
      <c r="O16" s="15"/>
      <c r="P16" s="18" t="str">
        <f>INDEX('imp-answers'!$B$2:$B$50, MATCH($N16, 'imp-answers'!$A$2:$A$50, 0))</f>
        <v>No</v>
      </c>
      <c r="Q16" s="18">
        <f>INDEX('imp-answers'!$F$2:$F$50, MATCH($N16, 'imp-answers'!$A$2:$A$50, 0))</f>
        <v>0</v>
      </c>
    </row>
    <row r="17" spans="8:17" x14ac:dyDescent="0.15">
      <c r="H17" s="637"/>
      <c r="I17" s="14" t="s">
        <v>294</v>
      </c>
      <c r="J17" t="s">
        <v>295</v>
      </c>
      <c r="K17">
        <v>1</v>
      </c>
      <c r="M17" s="637"/>
      <c r="N17" s="637"/>
      <c r="O17" s="11"/>
      <c r="P17" s="18" t="str">
        <f>INDEX('imp-answers'!$C$2:$C$50, MATCH($N16, 'imp-answers'!$A$2:$A$50, 0))</f>
        <v>Yes, some content</v>
      </c>
      <c r="Q17" s="18">
        <f>INDEX('imp-answers'!$G$2:$G$50, MATCH($N16, 'imp-answers'!$A$2:$A$50, 0))</f>
        <v>0.25</v>
      </c>
    </row>
    <row r="18" spans="8:17" x14ac:dyDescent="0.15">
      <c r="M18" s="637"/>
      <c r="N18" s="637"/>
      <c r="O18" s="17"/>
      <c r="P18" s="18" t="str">
        <f>INDEX('imp-answers'!$D$2:$D$50, MATCH($N16, 'imp-answers'!$A$2:$A$50, 0))</f>
        <v>Yes, at least half of the content</v>
      </c>
      <c r="Q18" s="18">
        <f>INDEX('imp-answers'!$H$2:$H$50, MATCH($N16, 'imp-answers'!$A$2:$A$50, 0))</f>
        <v>0.5</v>
      </c>
    </row>
    <row r="19" spans="8:17" x14ac:dyDescent="0.15">
      <c r="H19" s="636" t="s">
        <v>296</v>
      </c>
      <c r="I19" s="12" t="s">
        <v>297</v>
      </c>
      <c r="J19" t="s">
        <v>274</v>
      </c>
      <c r="K19">
        <v>0</v>
      </c>
      <c r="M19" s="637"/>
      <c r="N19" s="637"/>
      <c r="O19" s="13"/>
      <c r="P19" s="18" t="str">
        <f>INDEX('imp-answers'!$E$2:$E$50, MATCH($N16, 'imp-answers'!$A$2:$A$50, 0))</f>
        <v>Yes, most or all of the content</v>
      </c>
      <c r="Q19" s="18">
        <f>INDEX('imp-answers'!$I$2:$I$50, MATCH($N16, 'imp-answers'!$A$2:$A$50, 0))</f>
        <v>1</v>
      </c>
    </row>
    <row r="20" spans="8:17" x14ac:dyDescent="0.15">
      <c r="H20" s="637"/>
      <c r="I20" s="11">
        <v>13</v>
      </c>
      <c r="J20" t="s">
        <v>298</v>
      </c>
      <c r="K20">
        <v>0.2</v>
      </c>
      <c r="M20" s="637"/>
      <c r="N20" s="637"/>
      <c r="O20" s="16"/>
    </row>
    <row r="21" spans="8:17" x14ac:dyDescent="0.15">
      <c r="H21" s="637"/>
      <c r="I21" s="13"/>
      <c r="J21" t="s">
        <v>299</v>
      </c>
      <c r="K21">
        <v>0.5</v>
      </c>
    </row>
    <row r="22" spans="8:17" x14ac:dyDescent="0.15">
      <c r="H22" s="637"/>
      <c r="I22" s="14">
        <v>18</v>
      </c>
      <c r="J22" t="s">
        <v>300</v>
      </c>
      <c r="K22">
        <v>1</v>
      </c>
      <c r="M22" s="636" t="str">
        <f>CHAR(65+N22)</f>
        <v>D</v>
      </c>
      <c r="N22" s="636">
        <v>3</v>
      </c>
      <c r="O22" s="15"/>
      <c r="P22" s="18" t="str">
        <f>INDEX('imp-answers'!$B$2:$B$50, MATCH($N22, 'imp-answers'!$A$2:$A$50, 0))</f>
        <v>No</v>
      </c>
      <c r="Q22" s="18">
        <f>INDEX('imp-answers'!$F$2:$F$50, MATCH($N22, 'imp-answers'!$A$2:$A$50, 0))</f>
        <v>0</v>
      </c>
    </row>
    <row r="23" spans="8:17" x14ac:dyDescent="0.15">
      <c r="M23" s="637"/>
      <c r="N23" s="637"/>
      <c r="O23" s="11"/>
      <c r="P23" s="18" t="str">
        <f>INDEX('imp-answers'!$C$2:$C$50, MATCH($N22, 'imp-answers'!$A$2:$A$50, 0))</f>
        <v>Yes, for some of the training</v>
      </c>
      <c r="Q23" s="18">
        <f>INDEX('imp-answers'!$G$2:$G$50, MATCH($N22, 'imp-answers'!$A$2:$A$50, 0))</f>
        <v>0.25</v>
      </c>
    </row>
    <row r="24" spans="8:17" x14ac:dyDescent="0.15">
      <c r="H24" s="636" t="s">
        <v>301</v>
      </c>
      <c r="I24" s="12">
        <v>10</v>
      </c>
      <c r="J24" t="s">
        <v>274</v>
      </c>
      <c r="K24">
        <v>0</v>
      </c>
      <c r="M24" s="637"/>
      <c r="N24" s="637"/>
      <c r="O24" s="17"/>
      <c r="P24" s="18" t="str">
        <f>INDEX('imp-answers'!$D$2:$D$50, MATCH($N22, 'imp-answers'!$A$2:$A$50, 0))</f>
        <v>Yes, for at least half of the training</v>
      </c>
      <c r="Q24" s="18">
        <f>INDEX('imp-answers'!$H$2:$H$50, MATCH($N22, 'imp-answers'!$A$2:$A$50, 0))</f>
        <v>0.5</v>
      </c>
    </row>
    <row r="25" spans="8:17" x14ac:dyDescent="0.15">
      <c r="H25" s="637"/>
      <c r="I25" s="11"/>
      <c r="J25" t="s">
        <v>302</v>
      </c>
      <c r="K25">
        <v>1</v>
      </c>
      <c r="M25" s="637"/>
      <c r="N25" s="637"/>
      <c r="O25" s="13"/>
      <c r="P25" s="18" t="str">
        <f>INDEX('imp-answers'!$E$2:$E$50, MATCH($N22, 'imp-answers'!$A$2:$A$50, 0))</f>
        <v>Yes, for most or all of the training</v>
      </c>
      <c r="Q25" s="18">
        <f>INDEX('imp-answers'!$I$2:$I$50, MATCH($N22, 'imp-answers'!$A$2:$A$50, 0))</f>
        <v>1</v>
      </c>
    </row>
    <row r="26" spans="8:17" x14ac:dyDescent="0.15">
      <c r="H26" s="637"/>
      <c r="I26" s="13"/>
      <c r="J26" t="s">
        <v>303</v>
      </c>
      <c r="K26">
        <v>0.5</v>
      </c>
      <c r="M26" s="637"/>
      <c r="N26" s="637"/>
      <c r="O26" s="16"/>
    </row>
    <row r="27" spans="8:17" x14ac:dyDescent="0.15">
      <c r="H27" s="637"/>
      <c r="I27" s="14">
        <v>19</v>
      </c>
      <c r="J27" t="s">
        <v>272</v>
      </c>
      <c r="K27">
        <v>1</v>
      </c>
    </row>
    <row r="28" spans="8:17" x14ac:dyDescent="0.15">
      <c r="M28" s="636" t="str">
        <f>CHAR(65+N28)</f>
        <v>E</v>
      </c>
      <c r="N28" s="636">
        <v>4</v>
      </c>
      <c r="O28" s="15"/>
      <c r="P28" s="18" t="str">
        <f>INDEX('imp-answers'!$B$2:$B$50, MATCH($N28, 'imp-answers'!$A$2:$A$50, 0))</f>
        <v>No</v>
      </c>
      <c r="Q28" s="18">
        <f>INDEX('imp-answers'!$F$2:$F$50, MATCH($N28, 'imp-answers'!$A$2:$A$50, 0))</f>
        <v>0</v>
      </c>
    </row>
    <row r="29" spans="8:17" x14ac:dyDescent="0.15">
      <c r="H29" s="636" t="s">
        <v>304</v>
      </c>
      <c r="I29" s="12" t="s">
        <v>305</v>
      </c>
      <c r="J29" t="s">
        <v>274</v>
      </c>
      <c r="K29">
        <v>0</v>
      </c>
      <c r="M29" s="637"/>
      <c r="N29" s="637"/>
      <c r="O29" s="11"/>
      <c r="P29" s="18" t="str">
        <f>INDEX('imp-answers'!$C$2:$C$50, MATCH($N28, 'imp-answers'!$A$2:$A$50, 0))</f>
        <v>Yes, some of the time</v>
      </c>
      <c r="Q29" s="18">
        <f>INDEX('imp-answers'!$G$2:$G$50, MATCH($N28, 'imp-answers'!$A$2:$A$50, 0))</f>
        <v>0.25</v>
      </c>
    </row>
    <row r="30" spans="8:17" x14ac:dyDescent="0.15">
      <c r="H30" s="637"/>
      <c r="I30" s="11" t="s">
        <v>306</v>
      </c>
      <c r="J30" t="s">
        <v>307</v>
      </c>
      <c r="K30">
        <v>0.2</v>
      </c>
      <c r="M30" s="637"/>
      <c r="N30" s="637"/>
      <c r="O30" s="17"/>
      <c r="P30" s="18" t="str">
        <f>INDEX('imp-answers'!$D$2:$D$50, MATCH($N28, 'imp-answers'!$A$2:$A$50, 0))</f>
        <v>Yes, at least half of the time</v>
      </c>
      <c r="Q30" s="18">
        <f>INDEX('imp-answers'!$H$2:$H$50, MATCH($N28, 'imp-answers'!$A$2:$A$50, 0))</f>
        <v>0.5</v>
      </c>
    </row>
    <row r="31" spans="8:17" x14ac:dyDescent="0.15">
      <c r="H31" s="637"/>
      <c r="I31" s="13"/>
      <c r="J31" t="s">
        <v>308</v>
      </c>
      <c r="K31">
        <v>0.5</v>
      </c>
      <c r="M31" s="637"/>
      <c r="N31" s="637"/>
      <c r="O31" s="13"/>
      <c r="P31" s="18" t="str">
        <f>INDEX('imp-answers'!$E$2:$E$50, MATCH($N28, 'imp-answers'!$A$2:$A$50, 0))</f>
        <v>Yes, most or all of the time</v>
      </c>
      <c r="Q31" s="18">
        <f>INDEX('imp-answers'!$I$2:$I$50, MATCH($N28, 'imp-answers'!$A$2:$A$50, 0))</f>
        <v>1</v>
      </c>
    </row>
    <row r="32" spans="8:17" x14ac:dyDescent="0.15">
      <c r="H32" s="637"/>
      <c r="I32" s="14"/>
      <c r="J32" t="s">
        <v>309</v>
      </c>
      <c r="K32">
        <v>1</v>
      </c>
      <c r="M32" s="637"/>
      <c r="N32" s="637"/>
      <c r="O32" s="16"/>
    </row>
    <row r="34" spans="8:17" x14ac:dyDescent="0.15">
      <c r="H34" s="636" t="s">
        <v>310</v>
      </c>
      <c r="I34" s="12"/>
      <c r="J34" t="s">
        <v>274</v>
      </c>
      <c r="K34">
        <v>0</v>
      </c>
      <c r="M34" s="636" t="str">
        <f>CHAR(65+N34)</f>
        <v>F</v>
      </c>
      <c r="N34" s="636">
        <v>5</v>
      </c>
      <c r="O34" s="15"/>
      <c r="P34" s="18" t="str">
        <f>INDEX('imp-answers'!$B$2:$B$50, MATCH($N34, 'imp-answers'!$A$2:$A$50, 0))</f>
        <v>No</v>
      </c>
      <c r="Q34" s="18">
        <f>INDEX('imp-answers'!$F$2:$F$50, MATCH($N34, 'imp-answers'!$A$2:$A$50, 0))</f>
        <v>0</v>
      </c>
    </row>
    <row r="35" spans="8:17" x14ac:dyDescent="0.15">
      <c r="H35" s="637"/>
      <c r="I35" s="11" t="s">
        <v>311</v>
      </c>
      <c r="J35" t="s">
        <v>312</v>
      </c>
      <c r="K35">
        <v>0.2</v>
      </c>
      <c r="M35" s="637"/>
      <c r="N35" s="637"/>
      <c r="O35" s="11"/>
      <c r="P35" s="18" t="str">
        <f>INDEX('imp-answers'!$C$2:$C$50, MATCH($N34, 'imp-answers'!$A$2:$A$50, 0))</f>
        <v>Yes, we started implementing it</v>
      </c>
      <c r="Q35" s="18">
        <f>INDEX('imp-answers'!$G$2:$G$50, MATCH($N34, 'imp-answers'!$A$2:$A$50, 0))</f>
        <v>0.25</v>
      </c>
    </row>
    <row r="36" spans="8:17" x14ac:dyDescent="0.15">
      <c r="H36" s="637"/>
      <c r="I36" s="13" t="s">
        <v>313</v>
      </c>
      <c r="J36" t="s">
        <v>314</v>
      </c>
      <c r="K36">
        <v>0.5</v>
      </c>
      <c r="M36" s="637"/>
      <c r="N36" s="637"/>
      <c r="O36" s="17"/>
      <c r="P36" s="18" t="str">
        <f>INDEX('imp-answers'!$D$2:$D$50, MATCH($N34, 'imp-answers'!$A$2:$A$50, 0))</f>
        <v>Yes, for part of the organization</v>
      </c>
      <c r="Q36" s="18">
        <f>INDEX('imp-answers'!$H$2:$H$50, MATCH($N34, 'imp-answers'!$A$2:$A$50, 0))</f>
        <v>0.5</v>
      </c>
    </row>
    <row r="37" spans="8:17" x14ac:dyDescent="0.15">
      <c r="H37" s="637"/>
      <c r="I37" s="14" t="s">
        <v>315</v>
      </c>
      <c r="J37" t="s">
        <v>316</v>
      </c>
      <c r="K37">
        <v>1</v>
      </c>
      <c r="M37" s="637"/>
      <c r="N37" s="637"/>
      <c r="O37" s="13"/>
      <c r="P37" s="18" t="str">
        <f>INDEX('imp-answers'!$E$2:$E$50, MATCH($N34, 'imp-answers'!$A$2:$A$50, 0))</f>
        <v>Yes, for the entire organization</v>
      </c>
      <c r="Q37" s="18">
        <f>INDEX('imp-answers'!$I$2:$I$50, MATCH($N34, 'imp-answers'!$A$2:$A$50, 0))</f>
        <v>1</v>
      </c>
    </row>
    <row r="38" spans="8:17" x14ac:dyDescent="0.15">
      <c r="M38" s="637"/>
      <c r="N38" s="637"/>
      <c r="O38" s="16"/>
    </row>
    <row r="39" spans="8:17" x14ac:dyDescent="0.15">
      <c r="H39" s="636" t="s">
        <v>317</v>
      </c>
      <c r="I39" s="12"/>
    </row>
    <row r="40" spans="8:17" x14ac:dyDescent="0.15">
      <c r="H40" s="637"/>
      <c r="I40" s="11"/>
      <c r="M40" s="636" t="str">
        <f>CHAR(65+N40)</f>
        <v>G</v>
      </c>
      <c r="N40" s="636">
        <v>6</v>
      </c>
      <c r="O40" s="15"/>
      <c r="P40" s="18" t="str">
        <f>INDEX('imp-answers'!$B$2:$B$50, MATCH($N40, 'imp-answers'!$A$2:$A$50, 0))</f>
        <v>No</v>
      </c>
      <c r="Q40" s="18">
        <f>INDEX('imp-answers'!$F$2:$F$50, MATCH($N40, 'imp-answers'!$A$2:$A$50, 0))</f>
        <v>0</v>
      </c>
    </row>
    <row r="41" spans="8:17" x14ac:dyDescent="0.15">
      <c r="H41" s="637"/>
      <c r="I41" s="13"/>
      <c r="M41" s="637"/>
      <c r="N41" s="637"/>
      <c r="O41" s="11"/>
      <c r="P41" s="18" t="str">
        <f>INDEX('imp-answers'!$C$2:$C$50, MATCH($N40, 'imp-answers'!$A$2:$A$50, 0))</f>
        <v>Yes, for some components</v>
      </c>
      <c r="Q41" s="18">
        <f>INDEX('imp-answers'!$G$2:$G$50, MATCH($N40, 'imp-answers'!$A$2:$A$50, 0))</f>
        <v>0.25</v>
      </c>
    </row>
    <row r="42" spans="8:17" x14ac:dyDescent="0.15">
      <c r="H42" s="637"/>
      <c r="I42" s="14"/>
      <c r="M42" s="637"/>
      <c r="N42" s="637"/>
      <c r="O42" s="17"/>
      <c r="P42" s="18" t="str">
        <f>INDEX('imp-answers'!$D$2:$D$50, MATCH($N40, 'imp-answers'!$A$2:$A$50, 0))</f>
        <v>Yes, for at least half of the components</v>
      </c>
      <c r="Q42" s="18">
        <f>INDEX('imp-answers'!$H$2:$H$50, MATCH($N40, 'imp-answers'!$A$2:$A$50, 0))</f>
        <v>0.5</v>
      </c>
    </row>
    <row r="43" spans="8:17" x14ac:dyDescent="0.15">
      <c r="M43" s="637"/>
      <c r="N43" s="637"/>
      <c r="O43" s="13"/>
      <c r="P43" s="18" t="str">
        <f>INDEX('imp-answers'!$E$2:$E$50, MATCH($N40, 'imp-answers'!$A$2:$A$50, 0))</f>
        <v>Yes, for most or all of the components</v>
      </c>
      <c r="Q43" s="18">
        <f>INDEX('imp-answers'!$I$2:$I$50, MATCH($N40, 'imp-answers'!$A$2:$A$50, 0))</f>
        <v>1</v>
      </c>
    </row>
    <row r="44" spans="8:17" x14ac:dyDescent="0.15">
      <c r="M44" s="637"/>
      <c r="N44" s="637"/>
      <c r="O44" s="16"/>
    </row>
    <row r="46" spans="8:17" x14ac:dyDescent="0.15">
      <c r="M46" s="636" t="str">
        <f>CHAR(65+N46)</f>
        <v>H</v>
      </c>
      <c r="N46" s="636">
        <v>7</v>
      </c>
      <c r="O46" s="15"/>
      <c r="P46" s="18" t="str">
        <f>INDEX('imp-answers'!$B$2:$B$50, MATCH($N46, 'imp-answers'!$A$2:$A$50, 0))</f>
        <v>No</v>
      </c>
      <c r="Q46" s="18">
        <f>INDEX('imp-answers'!$F$2:$F$50, MATCH($N46, 'imp-answers'!$A$2:$A$50, 0))</f>
        <v>0</v>
      </c>
    </row>
    <row r="47" spans="8:17" x14ac:dyDescent="0.15">
      <c r="M47" s="637"/>
      <c r="N47" s="637"/>
      <c r="O47" s="11"/>
      <c r="P47" s="18" t="str">
        <f>INDEX('imp-answers'!$C$2:$C$50, MATCH($N46, 'imp-answers'!$A$2:$A$50, 0))</f>
        <v>Yes, for some incidents</v>
      </c>
      <c r="Q47" s="18">
        <f>INDEX('imp-answers'!$G$2:$G$50, MATCH($N46, 'imp-answers'!$A$2:$A$50, 0))</f>
        <v>0.25</v>
      </c>
    </row>
    <row r="48" spans="8:17" x14ac:dyDescent="0.15">
      <c r="M48" s="637"/>
      <c r="N48" s="637"/>
      <c r="O48" s="17"/>
      <c r="P48" s="18" t="str">
        <f>INDEX('imp-answers'!$D$2:$D$50, MATCH($N46, 'imp-answers'!$A$2:$A$50, 0))</f>
        <v>Yes, for at least half of the incidents</v>
      </c>
      <c r="Q48" s="18">
        <f>INDEX('imp-answers'!$H$2:$H$50, MATCH($N46, 'imp-answers'!$A$2:$A$50, 0))</f>
        <v>0.5</v>
      </c>
    </row>
    <row r="49" spans="13:17" x14ac:dyDescent="0.15">
      <c r="M49" s="637"/>
      <c r="N49" s="637"/>
      <c r="O49" s="13"/>
      <c r="P49" s="18" t="str">
        <f>INDEX('imp-answers'!$E$2:$E$50, MATCH($N46, 'imp-answers'!$A$2:$A$50, 0))</f>
        <v>Yes, for most or all of the incidents</v>
      </c>
      <c r="Q49" s="18">
        <f>INDEX('imp-answers'!$I$2:$I$50, MATCH($N46, 'imp-answers'!$A$2:$A$50, 0))</f>
        <v>1</v>
      </c>
    </row>
    <row r="50" spans="13:17" x14ac:dyDescent="0.15">
      <c r="M50" s="637"/>
      <c r="N50" s="637"/>
      <c r="O50" s="16"/>
    </row>
    <row r="52" spans="13:17" x14ac:dyDescent="0.15">
      <c r="M52" s="636" t="str">
        <f>CHAR(65+N52)</f>
        <v>I</v>
      </c>
      <c r="N52" s="636">
        <v>8</v>
      </c>
      <c r="O52" s="15"/>
      <c r="P52" s="18" t="str">
        <f>INDEX('imp-answers'!$B$2:$B$50, MATCH($N52, 'imp-answers'!$A$2:$A$50, 0))</f>
        <v>No</v>
      </c>
      <c r="Q52" s="18">
        <f>INDEX('imp-answers'!$F$2:$F$50, MATCH($N52, 'imp-answers'!$A$2:$A$50, 0))</f>
        <v>0</v>
      </c>
    </row>
    <row r="53" spans="13:17" x14ac:dyDescent="0.15">
      <c r="M53" s="637"/>
      <c r="N53" s="637"/>
      <c r="O53" s="11"/>
      <c r="P53" s="18" t="str">
        <f>INDEX('imp-answers'!$C$2:$C$50, MATCH($N52, 'imp-answers'!$A$2:$A$50, 0))</f>
        <v>Yes, for some incident types</v>
      </c>
      <c r="Q53" s="18">
        <f>INDEX('imp-answers'!$G$2:$G$50, MATCH($N52, 'imp-answers'!$A$2:$A$50, 0))</f>
        <v>0.25</v>
      </c>
    </row>
    <row r="54" spans="13:17" x14ac:dyDescent="0.15">
      <c r="M54" s="637"/>
      <c r="N54" s="637"/>
      <c r="O54" s="17"/>
      <c r="P54" s="18" t="str">
        <f>INDEX('imp-answers'!$D$2:$D$50, MATCH($N52, 'imp-answers'!$A$2:$A$50, 0))</f>
        <v>Yes, for at least half of the incident types</v>
      </c>
      <c r="Q54" s="18">
        <f>INDEX('imp-answers'!$H$2:$H$50, MATCH($N52, 'imp-answers'!$A$2:$A$50, 0))</f>
        <v>0.5</v>
      </c>
    </row>
    <row r="55" spans="13:17" x14ac:dyDescent="0.15">
      <c r="M55" s="637"/>
      <c r="N55" s="637"/>
      <c r="O55" s="13"/>
      <c r="P55" s="18" t="str">
        <f>INDEX('imp-answers'!$E$2:$E$50, MATCH($N52, 'imp-answers'!$A$2:$A$50, 0))</f>
        <v>Yes, for most or all of the incident types</v>
      </c>
      <c r="Q55" s="18">
        <f>INDEX('imp-answers'!$I$2:$I$50, MATCH($N52, 'imp-answers'!$A$2:$A$50, 0))</f>
        <v>1</v>
      </c>
    </row>
    <row r="56" spans="13:17" x14ac:dyDescent="0.15">
      <c r="M56" s="637"/>
      <c r="N56" s="637"/>
      <c r="O56" s="16"/>
    </row>
    <row r="58" spans="13:17" x14ac:dyDescent="0.15">
      <c r="M58" s="636" t="str">
        <f>CHAR(65+N58)</f>
        <v>J</v>
      </c>
      <c r="N58" s="636">
        <v>9</v>
      </c>
      <c r="O58" s="15"/>
      <c r="P58" s="18" t="str">
        <f>INDEX('imp-answers'!$B$2:$B$50, MATCH($N58, 'imp-answers'!$A$2:$A$50, 0))</f>
        <v>No</v>
      </c>
      <c r="Q58" s="18">
        <f>INDEX('imp-answers'!$F$2:$F$50, MATCH($N58, 'imp-answers'!$A$2:$A$50, 0))</f>
        <v>0</v>
      </c>
    </row>
    <row r="59" spans="13:17" x14ac:dyDescent="0.15">
      <c r="M59" s="637"/>
      <c r="N59" s="637"/>
      <c r="O59" s="11"/>
      <c r="P59" s="18" t="str">
        <f>INDEX('imp-answers'!$C$2:$C$50, MATCH($N58, 'imp-answers'!$A$2:$A$50, 0))</f>
        <v>Yes, for some of our data</v>
      </c>
      <c r="Q59" s="18">
        <f>INDEX('imp-answers'!$G$2:$G$50, MATCH($N58, 'imp-answers'!$A$2:$A$50, 0))</f>
        <v>0.25</v>
      </c>
    </row>
    <row r="60" spans="13:17" x14ac:dyDescent="0.15">
      <c r="M60" s="637"/>
      <c r="N60" s="637"/>
      <c r="O60" s="17"/>
      <c r="P60" s="18" t="str">
        <f>INDEX('imp-answers'!$D$2:$D$50, MATCH($N58, 'imp-answers'!$A$2:$A$50, 0))</f>
        <v>Yes, for at least half of our data</v>
      </c>
      <c r="Q60" s="18">
        <f>INDEX('imp-answers'!$H$2:$H$50, MATCH($N58, 'imp-answers'!$A$2:$A$50, 0))</f>
        <v>0.5</v>
      </c>
    </row>
    <row r="61" spans="13:17" x14ac:dyDescent="0.15">
      <c r="M61" s="637"/>
      <c r="N61" s="637"/>
      <c r="O61" s="13"/>
      <c r="P61" s="18" t="str">
        <f>INDEX('imp-answers'!$E$2:$E$50, MATCH($N58, 'imp-answers'!$A$2:$A$50, 0))</f>
        <v>Yes, for most or all of our data</v>
      </c>
      <c r="Q61" s="18">
        <f>INDEX('imp-answers'!$I$2:$I$50, MATCH($N58, 'imp-answers'!$A$2:$A$50, 0))</f>
        <v>1</v>
      </c>
    </row>
    <row r="62" spans="13:17" x14ac:dyDescent="0.15">
      <c r="M62" s="637"/>
      <c r="N62" s="637"/>
      <c r="O62" s="16"/>
    </row>
    <row r="64" spans="13:17" x14ac:dyDescent="0.15">
      <c r="M64" s="636" t="str">
        <f>CHAR(65+N64)</f>
        <v>K</v>
      </c>
      <c r="N64" s="636">
        <v>10</v>
      </c>
      <c r="O64" s="15"/>
      <c r="P64" s="18" t="str">
        <f>INDEX('imp-answers'!$B$2:$B$50, MATCH($N64, 'imp-answers'!$A$2:$A$50, 0))</f>
        <v>No</v>
      </c>
      <c r="Q64" s="18">
        <f>INDEX('imp-answers'!$F$2:$F$50, MATCH($N64, 'imp-answers'!$A$2:$A$50, 0))</f>
        <v>0</v>
      </c>
    </row>
    <row r="65" spans="13:17" x14ac:dyDescent="0.15">
      <c r="M65" s="637"/>
      <c r="N65" s="637"/>
      <c r="O65" s="11"/>
      <c r="P65" s="18" t="str">
        <f>INDEX('imp-answers'!$C$2:$C$50, MATCH($N64, 'imp-answers'!$A$2:$A$50, 0))</f>
        <v>Yes, we do it when requested</v>
      </c>
      <c r="Q65" s="18">
        <f>INDEX('imp-answers'!$G$2:$G$50, MATCH($N64, 'imp-answers'!$A$2:$A$50, 0))</f>
        <v>0.25</v>
      </c>
    </row>
    <row r="66" spans="13:17" x14ac:dyDescent="0.15">
      <c r="M66" s="637"/>
      <c r="N66" s="637"/>
      <c r="O66" s="17"/>
      <c r="P66" s="18" t="str">
        <f>INDEX('imp-answers'!$D$2:$D$50, MATCH($N64, 'imp-answers'!$A$2:$A$50, 0))</f>
        <v>Yes, we do it every few years</v>
      </c>
      <c r="Q66" s="18">
        <f>INDEX('imp-answers'!$H$2:$H$50, MATCH($N64, 'imp-answers'!$A$2:$A$50, 0))</f>
        <v>0.5</v>
      </c>
    </row>
    <row r="67" spans="13:17" x14ac:dyDescent="0.15">
      <c r="M67" s="637"/>
      <c r="N67" s="637"/>
      <c r="O67" s="13"/>
      <c r="P67" s="18" t="str">
        <f>INDEX('imp-answers'!$E$2:$E$50, MATCH($N64, 'imp-answers'!$A$2:$A$50, 0))</f>
        <v>Yes, we do it at least annually</v>
      </c>
      <c r="Q67" s="18">
        <f>INDEX('imp-answers'!$I$2:$I$50, MATCH($N64, 'imp-answers'!$A$2:$A$50, 0))</f>
        <v>1</v>
      </c>
    </row>
    <row r="68" spans="13:17" x14ac:dyDescent="0.15">
      <c r="M68" s="637"/>
      <c r="N68" s="637"/>
      <c r="O68" s="16"/>
    </row>
    <row r="70" spans="13:17" x14ac:dyDescent="0.15">
      <c r="M70" s="636" t="str">
        <f>CHAR(65+N70)</f>
        <v>L</v>
      </c>
      <c r="N70" s="636">
        <v>11</v>
      </c>
      <c r="O70" s="15"/>
      <c r="P70" s="18" t="str">
        <f>INDEX('imp-answers'!$B$2:$B$50, MATCH($N70, 'imp-answers'!$A$2:$A$50, 0))</f>
        <v>No</v>
      </c>
      <c r="Q70" s="18">
        <f>INDEX('imp-answers'!$F$2:$F$50, MATCH($N70, 'imp-answers'!$A$2:$A$50, 0))</f>
        <v>0</v>
      </c>
    </row>
    <row r="71" spans="13:17" x14ac:dyDescent="0.15">
      <c r="M71" s="637"/>
      <c r="N71" s="637"/>
      <c r="O71" s="11"/>
      <c r="P71" s="18" t="str">
        <f>INDEX('imp-answers'!$C$2:$C$50, MATCH($N70, 'imp-answers'!$A$2:$A$50, 0))</f>
        <v>Yes, for some of the assets</v>
      </c>
      <c r="Q71" s="18">
        <f>INDEX('imp-answers'!$G$2:$G$50, MATCH($N70, 'imp-answers'!$A$2:$A$50, 0))</f>
        <v>0.25</v>
      </c>
    </row>
    <row r="72" spans="13:17" x14ac:dyDescent="0.15">
      <c r="M72" s="637"/>
      <c r="N72" s="637"/>
      <c r="O72" s="17"/>
      <c r="P72" s="18" t="str">
        <f>INDEX('imp-answers'!$D$2:$D$50, MATCH($N70, 'imp-answers'!$A$2:$A$50, 0))</f>
        <v>Yes, for at least half of the assets</v>
      </c>
      <c r="Q72" s="18">
        <f>INDEX('imp-answers'!$H$2:$H$50, MATCH($N70, 'imp-answers'!$A$2:$A$50, 0))</f>
        <v>0.5</v>
      </c>
    </row>
    <row r="73" spans="13:17" x14ac:dyDescent="0.15">
      <c r="M73" s="637"/>
      <c r="N73" s="637"/>
      <c r="O73" s="13"/>
      <c r="P73" s="18" t="str">
        <f>INDEX('imp-answers'!$E$2:$E$50, MATCH($N70, 'imp-answers'!$A$2:$A$50, 0))</f>
        <v>Yes, for most or all of the assets</v>
      </c>
      <c r="Q73" s="18">
        <f>INDEX('imp-answers'!$I$2:$I$50, MATCH($N70, 'imp-answers'!$A$2:$A$50, 0))</f>
        <v>1</v>
      </c>
    </row>
    <row r="74" spans="13:17" x14ac:dyDescent="0.15">
      <c r="M74" s="637"/>
      <c r="N74" s="637"/>
      <c r="O74" s="16"/>
    </row>
    <row r="76" spans="13:17" x14ac:dyDescent="0.15">
      <c r="M76" s="636" t="str">
        <f>CHAR(65+N76)</f>
        <v>M</v>
      </c>
      <c r="N76" s="636">
        <v>12</v>
      </c>
      <c r="O76" s="15"/>
      <c r="P76" s="18" t="str">
        <f>INDEX('imp-answers'!$B$2:$B$50, MATCH($N76, 'imp-answers'!$A$2:$A$50, 0))</f>
        <v>No</v>
      </c>
      <c r="Q76" s="18">
        <f>INDEX('imp-answers'!$F$2:$F$50, MATCH($N76, 'imp-answers'!$A$2:$A$50, 0))</f>
        <v>0</v>
      </c>
    </row>
    <row r="77" spans="13:17" x14ac:dyDescent="0.15">
      <c r="M77" s="637"/>
      <c r="N77" s="637"/>
      <c r="O77" s="11"/>
      <c r="P77" s="18" t="str">
        <f>INDEX('imp-answers'!$C$2:$C$50, MATCH($N76, 'imp-answers'!$A$2:$A$50, 0))</f>
        <v>Yes, for some of the technology domains</v>
      </c>
      <c r="Q77" s="18">
        <f>INDEX('imp-answers'!$G$2:$G$50, MATCH($N76, 'imp-answers'!$A$2:$A$50, 0))</f>
        <v>0.25</v>
      </c>
    </row>
    <row r="78" spans="13:17" x14ac:dyDescent="0.15">
      <c r="M78" s="637"/>
      <c r="N78" s="637"/>
      <c r="O78" s="17"/>
      <c r="P78" s="18" t="str">
        <f>INDEX('imp-answers'!$D$2:$D$50, MATCH($N76, 'imp-answers'!$A$2:$A$50, 0))</f>
        <v>Yes, for at least half of the technology domains</v>
      </c>
      <c r="Q78" s="18">
        <f>INDEX('imp-answers'!$H$2:$H$50, MATCH($N76, 'imp-answers'!$A$2:$A$50, 0))</f>
        <v>0.5</v>
      </c>
    </row>
    <row r="79" spans="13:17" x14ac:dyDescent="0.15">
      <c r="M79" s="637"/>
      <c r="N79" s="637"/>
      <c r="O79" s="13"/>
      <c r="P79" s="18" t="str">
        <f>INDEX('imp-answers'!$E$2:$E$50, MATCH($N76, 'imp-answers'!$A$2:$A$50, 0))</f>
        <v>Yes, for most or all of the technology domains</v>
      </c>
      <c r="Q79" s="18">
        <f>INDEX('imp-answers'!$I$2:$I$50, MATCH($N76, 'imp-answers'!$A$2:$A$50, 0))</f>
        <v>1</v>
      </c>
    </row>
    <row r="80" spans="13:17" x14ac:dyDescent="0.15">
      <c r="M80" s="637"/>
      <c r="N80" s="637"/>
      <c r="O80" s="16"/>
    </row>
    <row r="82" spans="13:17" x14ac:dyDescent="0.15">
      <c r="M82" s="636" t="str">
        <f>CHAR(65+N82)</f>
        <v>N</v>
      </c>
      <c r="N82" s="636">
        <v>13</v>
      </c>
      <c r="O82" s="15"/>
      <c r="P82" s="18" t="str">
        <f>INDEX('imp-answers'!$B$2:$B$50, MATCH($N82, 'imp-answers'!$A$2:$A$50, 0))</f>
        <v>No</v>
      </c>
      <c r="Q82" s="18">
        <f>INDEX('imp-answers'!$F$2:$F$50, MATCH($N82, 'imp-answers'!$A$2:$A$50, 0))</f>
        <v>0</v>
      </c>
    </row>
    <row r="83" spans="13:17" x14ac:dyDescent="0.15">
      <c r="M83" s="637"/>
      <c r="N83" s="637"/>
      <c r="O83" s="11"/>
      <c r="P83" s="18" t="str">
        <f>INDEX('imp-answers'!$C$2:$C$50, MATCH($N82, 'imp-answers'!$A$2:$A$50, 0))</f>
        <v>Yes, it covers general risks</v>
      </c>
      <c r="Q83" s="18">
        <f>INDEX('imp-answers'!$G$2:$G$50, MATCH($N82, 'imp-answers'!$A$2:$A$50, 0))</f>
        <v>0.25</v>
      </c>
    </row>
    <row r="84" spans="13:17" x14ac:dyDescent="0.15">
      <c r="M84" s="637"/>
      <c r="N84" s="637"/>
      <c r="O84" s="17"/>
      <c r="P84" s="18" t="str">
        <f>INDEX('imp-answers'!$D$2:$D$50, MATCH($N82, 'imp-answers'!$A$2:$A$50, 0))</f>
        <v>Yes, it covers organization-specific risks</v>
      </c>
      <c r="Q84" s="18">
        <f>INDEX('imp-answers'!$H$2:$H$50, MATCH($N82, 'imp-answers'!$A$2:$A$50, 0))</f>
        <v>0.5</v>
      </c>
    </row>
    <row r="85" spans="13:17" x14ac:dyDescent="0.15">
      <c r="M85" s="637"/>
      <c r="N85" s="637"/>
      <c r="O85" s="13"/>
      <c r="P85" s="18" t="str">
        <f>INDEX('imp-answers'!$E$2:$E$50, MATCH($N82, 'imp-answers'!$A$2:$A$50, 0))</f>
        <v>Yes, it covers risks and opportunities</v>
      </c>
      <c r="Q85" s="18">
        <f>INDEX('imp-answers'!$I$2:$I$50, MATCH($N82, 'imp-answers'!$A$2:$A$50, 0))</f>
        <v>1</v>
      </c>
    </row>
    <row r="86" spans="13:17" x14ac:dyDescent="0.15">
      <c r="M86" s="637"/>
      <c r="N86" s="637"/>
      <c r="O86" s="16"/>
    </row>
    <row r="88" spans="13:17" x14ac:dyDescent="0.15">
      <c r="M88" s="636" t="str">
        <f>CHAR(65+N88)</f>
        <v>O</v>
      </c>
      <c r="N88" s="636">
        <v>14</v>
      </c>
      <c r="O88" s="15"/>
      <c r="P88" s="18" t="str">
        <f>INDEX('imp-answers'!$B$2:$B$50, MATCH($N88, 'imp-answers'!$A$2:$A$50, 0))</f>
        <v>No</v>
      </c>
      <c r="Q88" s="18">
        <f>INDEX('imp-answers'!$F$2:$F$50, MATCH($N88, 'imp-answers'!$A$2:$A$50, 0))</f>
        <v>0</v>
      </c>
    </row>
    <row r="89" spans="13:17" x14ac:dyDescent="0.15">
      <c r="M89" s="637"/>
      <c r="N89" s="637"/>
      <c r="O89" s="11"/>
      <c r="P89" s="18" t="str">
        <f>INDEX('imp-answers'!$C$2:$C$50, MATCH($N88, 'imp-answers'!$A$2:$A$50, 0))</f>
        <v>Yes, we review it annually</v>
      </c>
      <c r="Q89" s="18">
        <f>INDEX('imp-answers'!$G$2:$G$50, MATCH($N88, 'imp-answers'!$A$2:$A$50, 0))</f>
        <v>0.25</v>
      </c>
    </row>
    <row r="90" spans="13:17" x14ac:dyDescent="0.15">
      <c r="M90" s="637"/>
      <c r="N90" s="637"/>
      <c r="O90" s="17"/>
      <c r="P90" s="18" t="str">
        <f>INDEX('imp-answers'!$D$2:$D$50, MATCH($N88, 'imp-answers'!$A$2:$A$50, 0))</f>
        <v>Yes, we consult the plan before making significant decisions</v>
      </c>
      <c r="Q90" s="18">
        <f>INDEX('imp-answers'!$H$2:$H$50, MATCH($N88, 'imp-answers'!$A$2:$A$50, 0))</f>
        <v>0.5</v>
      </c>
    </row>
    <row r="91" spans="13:17" x14ac:dyDescent="0.15">
      <c r="M91" s="637"/>
      <c r="N91" s="637"/>
      <c r="O91" s="13"/>
      <c r="P91" s="18" t="str">
        <f>INDEX('imp-answers'!$E$2:$E$50, MATCH($N88, 'imp-answers'!$A$2:$A$50, 0))</f>
        <v>Yes, we consult the plan often, and it is aligned with our application security strategy</v>
      </c>
      <c r="Q91" s="18">
        <f>INDEX('imp-answers'!$I$2:$I$50, MATCH($N88, 'imp-answers'!$A$2:$A$50, 0))</f>
        <v>1</v>
      </c>
    </row>
    <row r="92" spans="13:17" x14ac:dyDescent="0.15">
      <c r="M92" s="637"/>
      <c r="N92" s="637"/>
      <c r="O92" s="16"/>
    </row>
    <row r="94" spans="13:17" x14ac:dyDescent="0.15">
      <c r="M94" s="636" t="str">
        <f>CHAR(65+N94)</f>
        <v>P</v>
      </c>
      <c r="N94" s="636">
        <v>15</v>
      </c>
      <c r="O94" s="15"/>
      <c r="P94" s="18" t="str">
        <f>INDEX('imp-answers'!$B$2:$B$50, MATCH($N94, 'imp-answers'!$A$2:$A$50, 0))</f>
        <v>No</v>
      </c>
      <c r="Q94" s="18">
        <f>INDEX('imp-answers'!$F$2:$F$50, MATCH($N94, 'imp-answers'!$A$2:$A$50, 0))</f>
        <v>0</v>
      </c>
    </row>
    <row r="95" spans="13:17" x14ac:dyDescent="0.15">
      <c r="M95" s="637"/>
      <c r="N95" s="637"/>
      <c r="O95" s="11"/>
      <c r="P95" s="18" t="str">
        <f>INDEX('imp-answers'!$C$2:$C$50, MATCH($N94, 'imp-answers'!$A$2:$A$50, 0))</f>
        <v>Yes, but review is ad-hoc</v>
      </c>
      <c r="Q95" s="18">
        <f>INDEX('imp-answers'!$G$2:$G$50, MATCH($N94, 'imp-answers'!$A$2:$A$50, 0))</f>
        <v>0.25</v>
      </c>
    </row>
    <row r="96" spans="13:17" x14ac:dyDescent="0.15">
      <c r="M96" s="637"/>
      <c r="N96" s="637"/>
      <c r="O96" s="17"/>
      <c r="P96" s="18" t="str">
        <f>INDEX('imp-answers'!$D$2:$D$50, MATCH($N94, 'imp-answers'!$A$2:$A$50, 0))</f>
        <v>Yes, we review it at regular times</v>
      </c>
      <c r="Q96" s="18">
        <f>INDEX('imp-answers'!$H$2:$H$50, MATCH($N94, 'imp-answers'!$A$2:$A$50, 0))</f>
        <v>0.5</v>
      </c>
    </row>
    <row r="97" spans="13:17" x14ac:dyDescent="0.15">
      <c r="M97" s="637"/>
      <c r="N97" s="637"/>
      <c r="O97" s="13"/>
      <c r="P97" s="18" t="str">
        <f>INDEX('imp-answers'!$E$2:$E$50, MATCH($N94, 'imp-answers'!$A$2:$A$50, 0))</f>
        <v>Yes, we review it at least annually</v>
      </c>
      <c r="Q97" s="18">
        <f>INDEX('imp-answers'!$I$2:$I$50, MATCH($N94, 'imp-answers'!$A$2:$A$50, 0))</f>
        <v>1</v>
      </c>
    </row>
    <row r="98" spans="13:17" x14ac:dyDescent="0.15">
      <c r="M98" s="637"/>
      <c r="N98" s="637"/>
      <c r="O98" s="16"/>
    </row>
    <row r="100" spans="13:17" x14ac:dyDescent="0.15">
      <c r="M100" s="636" t="str">
        <f>CHAR(65+N100)</f>
        <v>Q</v>
      </c>
      <c r="N100" s="636">
        <v>16</v>
      </c>
      <c r="O100" s="15"/>
      <c r="P100" s="18" t="str">
        <f>INDEX('imp-answers'!$B$2:$B$50, MATCH($N100, 'imp-answers'!$A$2:$A$50, 0))</f>
        <v>No</v>
      </c>
      <c r="Q100" s="18">
        <f>INDEX('imp-answers'!$F$2:$F$50, MATCH($N100, 'imp-answers'!$A$2:$A$50, 0))</f>
        <v>0</v>
      </c>
    </row>
    <row r="101" spans="13:17" x14ac:dyDescent="0.15">
      <c r="M101" s="637"/>
      <c r="N101" s="637"/>
      <c r="O101" s="11"/>
      <c r="P101" s="18" t="str">
        <f>INDEX('imp-answers'!$C$2:$C$50, MATCH($N100, 'imp-answers'!$A$2:$A$50, 0))</f>
        <v>Yes, for one metrics category</v>
      </c>
      <c r="Q101" s="18">
        <f>INDEX('imp-answers'!$G$2:$G$50, MATCH($N100, 'imp-answers'!$A$2:$A$50, 0))</f>
        <v>0.25</v>
      </c>
    </row>
    <row r="102" spans="13:17" x14ac:dyDescent="0.15">
      <c r="M102" s="637"/>
      <c r="N102" s="637"/>
      <c r="O102" s="17"/>
      <c r="P102" s="18" t="str">
        <f>INDEX('imp-answers'!$D$2:$D$50, MATCH($N100, 'imp-answers'!$A$2:$A$50, 0))</f>
        <v>Yes, for two metrics categories</v>
      </c>
      <c r="Q102" s="18">
        <f>INDEX('imp-answers'!$H$2:$H$50, MATCH($N100, 'imp-answers'!$A$2:$A$50, 0))</f>
        <v>0.5</v>
      </c>
    </row>
    <row r="103" spans="13:17" x14ac:dyDescent="0.15">
      <c r="M103" s="637"/>
      <c r="N103" s="637"/>
      <c r="O103" s="13"/>
      <c r="P103" s="18" t="str">
        <f>INDEX('imp-answers'!$E$2:$E$50, MATCH($N100, 'imp-answers'!$A$2:$A$50, 0))</f>
        <v>Yes, for all three metrics categories</v>
      </c>
      <c r="Q103" s="18">
        <f>INDEX('imp-answers'!$I$2:$I$50, MATCH($N100, 'imp-answers'!$A$2:$A$50, 0))</f>
        <v>1</v>
      </c>
    </row>
    <row r="104" spans="13:17" x14ac:dyDescent="0.15">
      <c r="M104" s="637"/>
      <c r="N104" s="637"/>
      <c r="O104" s="16"/>
    </row>
    <row r="106" spans="13:17" x14ac:dyDescent="0.15">
      <c r="M106" s="636" t="str">
        <f>CHAR(65+N106)</f>
        <v>R</v>
      </c>
      <c r="N106" s="636">
        <v>17</v>
      </c>
      <c r="O106" s="15"/>
      <c r="P106" s="18" t="str">
        <f>INDEX('imp-answers'!$B$2:$B$50, MATCH($N106, 'imp-answers'!$A$2:$A$50, 0))</f>
        <v>No</v>
      </c>
      <c r="Q106" s="18">
        <f>INDEX('imp-answers'!$F$2:$F$50, MATCH($N106, 'imp-answers'!$A$2:$A$50, 0))</f>
        <v>0</v>
      </c>
    </row>
    <row r="107" spans="13:17" x14ac:dyDescent="0.15">
      <c r="M107" s="637"/>
      <c r="N107" s="637"/>
      <c r="O107" s="11"/>
      <c r="P107" s="18" t="str">
        <f>INDEX('imp-answers'!$C$2:$C$50, MATCH($N106, 'imp-answers'!$A$2:$A$50, 0))</f>
        <v>Yes, sporadically</v>
      </c>
      <c r="Q107" s="18">
        <f>INDEX('imp-answers'!$G$2:$G$50, MATCH($N106, 'imp-answers'!$A$2:$A$50, 0))</f>
        <v>0.25</v>
      </c>
    </row>
    <row r="108" spans="13:17" x14ac:dyDescent="0.15">
      <c r="M108" s="637"/>
      <c r="N108" s="637"/>
      <c r="O108" s="17"/>
      <c r="P108" s="18" t="str">
        <f>INDEX('imp-answers'!$D$2:$D$50, MATCH($N106, 'imp-answers'!$A$2:$A$50, 0))</f>
        <v>Yes, upon change of the application</v>
      </c>
      <c r="Q108" s="18">
        <f>INDEX('imp-answers'!$H$2:$H$50, MATCH($N106, 'imp-answers'!$A$2:$A$50, 0))</f>
        <v>0.5</v>
      </c>
    </row>
    <row r="109" spans="13:17" x14ac:dyDescent="0.15">
      <c r="M109" s="637"/>
      <c r="N109" s="637"/>
      <c r="O109" s="13"/>
      <c r="P109" s="18" t="str">
        <f>INDEX('imp-answers'!$E$2:$E$50, MATCH($N106, 'imp-answers'!$A$2:$A$50, 0))</f>
        <v>Yes, at least annually</v>
      </c>
      <c r="Q109" s="18">
        <f>INDEX('imp-answers'!$I$2:$I$50, MATCH($N106, 'imp-answers'!$A$2:$A$50, 0))</f>
        <v>1</v>
      </c>
    </row>
    <row r="110" spans="13:17" x14ac:dyDescent="0.15">
      <c r="M110" s="637"/>
      <c r="N110" s="637"/>
      <c r="O110" s="16"/>
    </row>
    <row r="112" spans="13:17" x14ac:dyDescent="0.15">
      <c r="M112" s="636" t="str">
        <f>CHAR(65+N112)</f>
        <v>S</v>
      </c>
      <c r="N112" s="636">
        <v>18</v>
      </c>
      <c r="O112" s="15"/>
      <c r="P112" s="18" t="str">
        <f>INDEX('imp-answers'!$B$2:$B$50, MATCH($N112, 'imp-answers'!$A$2:$A$50, 0))</f>
        <v>No</v>
      </c>
      <c r="Q112" s="18">
        <f>INDEX('imp-answers'!$F$2:$F$50, MATCH($N112, 'imp-answers'!$A$2:$A$50, 0))</f>
        <v>0</v>
      </c>
    </row>
    <row r="113" spans="13:17" x14ac:dyDescent="0.15">
      <c r="M113" s="637"/>
      <c r="N113" s="637"/>
      <c r="O113" s="11"/>
      <c r="P113" s="18" t="str">
        <f>INDEX('imp-answers'!$C$2:$C$50, MATCH($N112, 'imp-answers'!$A$2:$A$50, 0))</f>
        <v>Yes, for some of the metrics</v>
      </c>
      <c r="Q113" s="18">
        <f>INDEX('imp-answers'!$G$2:$G$50, MATCH($N112, 'imp-answers'!$A$2:$A$50, 0))</f>
        <v>0.25</v>
      </c>
    </row>
    <row r="114" spans="13:17" x14ac:dyDescent="0.15">
      <c r="M114" s="637"/>
      <c r="N114" s="637"/>
      <c r="O114" s="17"/>
      <c r="P114" s="18" t="str">
        <f>INDEX('imp-answers'!$D$2:$D$50, MATCH($N112, 'imp-answers'!$A$2:$A$50, 0))</f>
        <v>Yes, for at least half of the metrics</v>
      </c>
      <c r="Q114" s="18">
        <f>INDEX('imp-answers'!$H$2:$H$50, MATCH($N112, 'imp-answers'!$A$2:$A$50, 0))</f>
        <v>0.5</v>
      </c>
    </row>
    <row r="115" spans="13:17" x14ac:dyDescent="0.15">
      <c r="M115" s="637"/>
      <c r="N115" s="637"/>
      <c r="O115" s="13"/>
      <c r="P115" s="18" t="str">
        <f>INDEX('imp-answers'!$E$2:$E$50, MATCH($N112, 'imp-answers'!$A$2:$A$50, 0))</f>
        <v>Yes, for most or all of the metrics</v>
      </c>
      <c r="Q115" s="18">
        <f>INDEX('imp-answers'!$I$2:$I$50, MATCH($N112, 'imp-answers'!$A$2:$A$50, 0))</f>
        <v>1</v>
      </c>
    </row>
    <row r="116" spans="13:17" x14ac:dyDescent="0.15">
      <c r="M116" s="637"/>
      <c r="N116" s="637"/>
      <c r="O116" s="16"/>
    </row>
    <row r="118" spans="13:17" x14ac:dyDescent="0.15">
      <c r="M118" s="636" t="str">
        <f>CHAR(65+N118)</f>
        <v>T</v>
      </c>
      <c r="N118" s="636">
        <v>19</v>
      </c>
      <c r="O118" s="15"/>
      <c r="P118" s="18" t="str">
        <f>INDEX('imp-answers'!$B$2:$B$50, MATCH($N118, 'imp-answers'!$A$2:$A$50, 0))</f>
        <v>No</v>
      </c>
      <c r="Q118" s="18">
        <f>INDEX('imp-answers'!$F$2:$F$50, MATCH($N118, 'imp-answers'!$A$2:$A$50, 0))</f>
        <v>0</v>
      </c>
    </row>
    <row r="119" spans="13:17" x14ac:dyDescent="0.15">
      <c r="M119" s="637"/>
      <c r="N119" s="637"/>
      <c r="O119" s="11"/>
      <c r="P119" s="18" t="str">
        <f>INDEX('imp-answers'!$C$2:$C$50, MATCH($N118, 'imp-answers'!$A$2:$A$50, 0))</f>
        <v>Yes, but reporting is ad-hoc</v>
      </c>
      <c r="Q119" s="18">
        <f>INDEX('imp-answers'!$G$2:$G$50, MATCH($N118, 'imp-answers'!$A$2:$A$50, 0))</f>
        <v>0.25</v>
      </c>
    </row>
    <row r="120" spans="13:17" x14ac:dyDescent="0.15">
      <c r="M120" s="637"/>
      <c r="N120" s="637"/>
      <c r="O120" s="17"/>
      <c r="P120" s="18" t="str">
        <f>INDEX('imp-answers'!$D$2:$D$50, MATCH($N118, 'imp-answers'!$A$2:$A$50, 0))</f>
        <v>Yes, we report at regular times</v>
      </c>
      <c r="Q120" s="18">
        <f>INDEX('imp-answers'!$H$2:$H$50, MATCH($N118, 'imp-answers'!$A$2:$A$50, 0))</f>
        <v>0.5</v>
      </c>
    </row>
    <row r="121" spans="13:17" x14ac:dyDescent="0.15">
      <c r="M121" s="637"/>
      <c r="N121" s="637"/>
      <c r="O121" s="13"/>
      <c r="P121" s="18" t="str">
        <f>INDEX('imp-answers'!$E$2:$E$50, MATCH($N118, 'imp-answers'!$A$2:$A$50, 0))</f>
        <v>Yes, we report at least annually</v>
      </c>
      <c r="Q121" s="18">
        <f>INDEX('imp-answers'!$I$2:$I$50, MATCH($N118, 'imp-answers'!$A$2:$A$50, 0))</f>
        <v>1</v>
      </c>
    </row>
    <row r="122" spans="13:17" x14ac:dyDescent="0.15">
      <c r="M122" s="637"/>
      <c r="N122" s="637"/>
      <c r="O122" s="16"/>
    </row>
    <row r="124" spans="13:17" x14ac:dyDescent="0.15">
      <c r="M124" s="636" t="str">
        <f>CHAR(65+N124)</f>
        <v>U</v>
      </c>
      <c r="N124" s="636">
        <v>20</v>
      </c>
      <c r="O124" s="15"/>
      <c r="P124" s="18" t="str">
        <f>INDEX('imp-answers'!$B$2:$B$50, MATCH($N124, 'imp-answers'!$A$2:$A$50, 0))</f>
        <v>No</v>
      </c>
      <c r="Q124" s="18">
        <f>INDEX('imp-answers'!$F$2:$F$50, MATCH($N124, 'imp-answers'!$A$2:$A$50, 0))</f>
        <v>0</v>
      </c>
    </row>
    <row r="125" spans="13:17" x14ac:dyDescent="0.15">
      <c r="M125" s="637"/>
      <c r="N125" s="637"/>
      <c r="O125" s="11"/>
      <c r="P125" s="18" t="str">
        <f>INDEX('imp-answers'!$C$2:$C$50, MATCH($N124, 'imp-answers'!$A$2:$A$50, 0))</f>
        <v>Yes, for some obligations</v>
      </c>
      <c r="Q125" s="18">
        <f>INDEX('imp-answers'!$G$2:$G$50, MATCH($N124, 'imp-answers'!$A$2:$A$50, 0))</f>
        <v>0.25</v>
      </c>
    </row>
    <row r="126" spans="13:17" x14ac:dyDescent="0.15">
      <c r="M126" s="637"/>
      <c r="N126" s="637"/>
      <c r="O126" s="17"/>
      <c r="P126" s="18" t="str">
        <f>INDEX('imp-answers'!$D$2:$D$50, MATCH($N124, 'imp-answers'!$A$2:$A$50, 0))</f>
        <v>Yes, for at least half of the obligations</v>
      </c>
      <c r="Q126" s="18">
        <f>INDEX('imp-answers'!$H$2:$H$50, MATCH($N124, 'imp-answers'!$A$2:$A$50, 0))</f>
        <v>0.5</v>
      </c>
    </row>
    <row r="127" spans="13:17" x14ac:dyDescent="0.15">
      <c r="M127" s="637"/>
      <c r="N127" s="637"/>
      <c r="O127" s="13"/>
      <c r="P127" s="18" t="str">
        <f>INDEX('imp-answers'!$E$2:$E$50, MATCH($N124, 'imp-answers'!$A$2:$A$50, 0))</f>
        <v>Yes, for most or all of the obligations</v>
      </c>
      <c r="Q127" s="18">
        <f>INDEX('imp-answers'!$I$2:$I$50, MATCH($N124, 'imp-answers'!$A$2:$A$50, 0))</f>
        <v>1</v>
      </c>
    </row>
    <row r="128" spans="13:17" x14ac:dyDescent="0.15">
      <c r="M128" s="637"/>
      <c r="N128" s="637"/>
      <c r="O128" s="16"/>
    </row>
    <row r="130" spans="13:17" x14ac:dyDescent="0.15">
      <c r="M130" s="636" t="str">
        <f>CHAR(65+N130)</f>
        <v>V</v>
      </c>
      <c r="N130" s="636">
        <v>21</v>
      </c>
      <c r="O130" s="15"/>
      <c r="P130" s="18" t="str">
        <f>INDEX('imp-answers'!$B$2:$B$50, MATCH($N130, 'imp-answers'!$A$2:$A$50, 0))</f>
        <v>No</v>
      </c>
      <c r="Q130" s="18">
        <f>INDEX('imp-answers'!$F$2:$F$50, MATCH($N130, 'imp-answers'!$A$2:$A$50, 0))</f>
        <v>0</v>
      </c>
    </row>
    <row r="131" spans="13:17" x14ac:dyDescent="0.15">
      <c r="M131" s="637"/>
      <c r="N131" s="637"/>
      <c r="O131" s="11"/>
      <c r="P131" s="18" t="str">
        <f>INDEX('imp-answers'!$C$2:$C$50, MATCH($N130, 'imp-answers'!$A$2:$A$50, 0))</f>
        <v>Yes, for some teams</v>
      </c>
      <c r="Q131" s="18">
        <f>INDEX('imp-answers'!$G$2:$G$50, MATCH($N130, 'imp-answers'!$A$2:$A$50, 0))</f>
        <v>0.25</v>
      </c>
    </row>
    <row r="132" spans="13:17" x14ac:dyDescent="0.15">
      <c r="M132" s="637"/>
      <c r="N132" s="637"/>
      <c r="O132" s="17"/>
      <c r="P132" s="18" t="str">
        <f>INDEX('imp-answers'!$D$2:$D$50, MATCH($N130, 'imp-answers'!$A$2:$A$50, 0))</f>
        <v>Yes, for at least half of the teams</v>
      </c>
      <c r="Q132" s="18">
        <f>INDEX('imp-answers'!$H$2:$H$50, MATCH($N130, 'imp-answers'!$A$2:$A$50, 0))</f>
        <v>0.5</v>
      </c>
    </row>
    <row r="133" spans="13:17" x14ac:dyDescent="0.15">
      <c r="M133" s="637"/>
      <c r="N133" s="637"/>
      <c r="O133" s="13"/>
      <c r="P133" s="18" t="str">
        <f>INDEX('imp-answers'!$E$2:$E$50, MATCH($N130, 'imp-answers'!$A$2:$A$50, 0))</f>
        <v>Yes, for most or all of the teams</v>
      </c>
      <c r="Q133" s="18">
        <f>INDEX('imp-answers'!$I$2:$I$50, MATCH($N130, 'imp-answers'!$A$2:$A$50, 0))</f>
        <v>1</v>
      </c>
    </row>
    <row r="134" spans="13:17" x14ac:dyDescent="0.15">
      <c r="M134" s="637"/>
      <c r="N134" s="637"/>
      <c r="O134" s="16"/>
    </row>
    <row r="136" spans="13:17" x14ac:dyDescent="0.15">
      <c r="M136" s="636" t="str">
        <f>CHAR(65+N136)</f>
        <v>W</v>
      </c>
      <c r="N136" s="636">
        <v>22</v>
      </c>
      <c r="O136" s="15"/>
      <c r="P136" s="18" t="str">
        <f>INDEX('imp-answers'!$B$2:$B$50, MATCH($N136, 'imp-answers'!$A$2:$A$50, 0))</f>
        <v>No</v>
      </c>
      <c r="Q136" s="18">
        <f>INDEX('imp-answers'!$F$2:$F$50, MATCH($N136, 'imp-answers'!$A$2:$A$50, 0))</f>
        <v>0</v>
      </c>
    </row>
    <row r="137" spans="13:17" x14ac:dyDescent="0.15">
      <c r="M137" s="637"/>
      <c r="N137" s="637"/>
      <c r="O137" s="11"/>
      <c r="P137" s="18" t="str">
        <f>INDEX('imp-answers'!$C$2:$C$50, MATCH($N136, 'imp-answers'!$A$2:$A$50, 0))</f>
        <v>Yes, some of it</v>
      </c>
      <c r="Q137" s="18">
        <f>INDEX('imp-answers'!$G$2:$G$50, MATCH($N136, 'imp-answers'!$A$2:$A$50, 0))</f>
        <v>0.25</v>
      </c>
    </row>
    <row r="138" spans="13:17" x14ac:dyDescent="0.15">
      <c r="M138" s="637"/>
      <c r="N138" s="637"/>
      <c r="O138" s="17"/>
      <c r="P138" s="18" t="str">
        <f>INDEX('imp-answers'!$D$2:$D$50, MATCH($N136, 'imp-answers'!$A$2:$A$50, 0))</f>
        <v>Yes, at least half of it</v>
      </c>
      <c r="Q138" s="18">
        <f>INDEX('imp-answers'!$H$2:$H$50, MATCH($N136, 'imp-answers'!$A$2:$A$50, 0))</f>
        <v>0.5</v>
      </c>
    </row>
    <row r="139" spans="13:17" x14ac:dyDescent="0.15">
      <c r="M139" s="637"/>
      <c r="N139" s="637"/>
      <c r="O139" s="13"/>
      <c r="P139" s="18" t="str">
        <f>INDEX('imp-answers'!$E$2:$E$50, MATCH($N136, 'imp-answers'!$A$2:$A$50, 0))</f>
        <v>Yes, most or all of it</v>
      </c>
      <c r="Q139" s="18">
        <f>INDEX('imp-answers'!$I$2:$I$50, MATCH($N136, 'imp-answers'!$A$2:$A$50, 0))</f>
        <v>1</v>
      </c>
    </row>
    <row r="140" spans="13:17" x14ac:dyDescent="0.15">
      <c r="M140" s="637"/>
      <c r="N140" s="637"/>
      <c r="O140" s="16"/>
    </row>
    <row r="142" spans="13:17" x14ac:dyDescent="0.15">
      <c r="M142" s="636" t="str">
        <f>CHAR(65+N142)</f>
        <v>X</v>
      </c>
      <c r="N142" s="636">
        <v>23</v>
      </c>
      <c r="O142" s="15"/>
      <c r="P142" s="18" t="str">
        <f>INDEX('imp-answers'!$B$2:$B$50, MATCH($N142, 'imp-answers'!$A$2:$A$50, 0))</f>
        <v>No</v>
      </c>
      <c r="Q142" s="18">
        <f>INDEX('imp-answers'!$F$2:$F$50, MATCH($N142, 'imp-answers'!$A$2:$A$50, 0))</f>
        <v>0</v>
      </c>
    </row>
    <row r="143" spans="13:17" x14ac:dyDescent="0.15">
      <c r="M143" s="637"/>
      <c r="N143" s="637"/>
      <c r="O143" s="11"/>
      <c r="P143" s="18" t="str">
        <f>INDEX('imp-answers'!$C$2:$C$50, MATCH($N142, 'imp-answers'!$A$2:$A$50, 0))</f>
        <v>Yes, but we improve it ad-hoc</v>
      </c>
      <c r="Q143" s="18">
        <f>INDEX('imp-answers'!$G$2:$G$50, MATCH($N142, 'imp-answers'!$A$2:$A$50, 0))</f>
        <v>0.25</v>
      </c>
    </row>
    <row r="144" spans="13:17" x14ac:dyDescent="0.15">
      <c r="M144" s="637"/>
      <c r="N144" s="637"/>
      <c r="O144" s="17"/>
      <c r="P144" s="18" t="str">
        <f>INDEX('imp-answers'!$D$2:$D$50, MATCH($N142, 'imp-answers'!$A$2:$A$50, 0))</f>
        <v>Yes, we improve it at regular times</v>
      </c>
      <c r="Q144" s="18">
        <f>INDEX('imp-answers'!$H$2:$H$50, MATCH($N142, 'imp-answers'!$A$2:$A$50, 0))</f>
        <v>0.5</v>
      </c>
    </row>
    <row r="145" spans="13:17" x14ac:dyDescent="0.15">
      <c r="M145" s="637"/>
      <c r="N145" s="637"/>
      <c r="O145" s="13"/>
      <c r="P145" s="18" t="str">
        <f>INDEX('imp-answers'!$E$2:$E$50, MATCH($N142, 'imp-answers'!$A$2:$A$50, 0))</f>
        <v>Yes, we improve it at least annually</v>
      </c>
      <c r="Q145" s="18">
        <f>INDEX('imp-answers'!$I$2:$I$50, MATCH($N142, 'imp-answers'!$A$2:$A$50, 0))</f>
        <v>1</v>
      </c>
    </row>
    <row r="146" spans="13:17" x14ac:dyDescent="0.15">
      <c r="M146" s="637"/>
      <c r="N146" s="637"/>
      <c r="O146" s="16"/>
    </row>
    <row r="148" spans="13:17" x14ac:dyDescent="0.15">
      <c r="M148" s="636" t="str">
        <f>CHAR(65+N148)</f>
        <v>Y</v>
      </c>
      <c r="N148" s="636">
        <v>24</v>
      </c>
      <c r="O148" s="15"/>
      <c r="P148" s="18" t="e">
        <f>INDEX('imp-answers'!$B$2:$B$50, MATCH($N148, 'imp-answers'!$A$2:$A$50, 0))</f>
        <v>#N/A</v>
      </c>
      <c r="Q148" s="18" t="e">
        <f>INDEX('imp-answers'!$F$2:$F$50, MATCH($N148, 'imp-answers'!$A$2:$A$50, 0))</f>
        <v>#N/A</v>
      </c>
    </row>
    <row r="149" spans="13:17" x14ac:dyDescent="0.15">
      <c r="M149" s="637"/>
      <c r="N149" s="637"/>
      <c r="O149" s="11"/>
      <c r="P149" s="18" t="e">
        <f>INDEX('imp-answers'!$C$2:$C$50, MATCH($N148, 'imp-answers'!$A$2:$A$50, 0))</f>
        <v>#N/A</v>
      </c>
      <c r="Q149" s="18" t="e">
        <f>INDEX('imp-answers'!$G$2:$G$50, MATCH($N148, 'imp-answers'!$A$2:$A$50, 0))</f>
        <v>#N/A</v>
      </c>
    </row>
    <row r="150" spans="13:17" x14ac:dyDescent="0.15">
      <c r="M150" s="637"/>
      <c r="N150" s="637"/>
      <c r="O150" s="17"/>
      <c r="P150" s="18" t="e">
        <f>INDEX('imp-answers'!$D$2:$D$50, MATCH($N148, 'imp-answers'!$A$2:$A$50, 0))</f>
        <v>#N/A</v>
      </c>
      <c r="Q150" s="18" t="e">
        <f>INDEX('imp-answers'!$H$2:$H$50, MATCH($N148, 'imp-answers'!$A$2:$A$50, 0))</f>
        <v>#N/A</v>
      </c>
    </row>
    <row r="151" spans="13:17" x14ac:dyDescent="0.15">
      <c r="M151" s="637"/>
      <c r="N151" s="637"/>
      <c r="O151" s="13"/>
      <c r="P151" s="18" t="e">
        <f>INDEX('imp-answers'!$E$2:$E$50, MATCH($N148, 'imp-answers'!$A$2:$A$50, 0))</f>
        <v>#N/A</v>
      </c>
      <c r="Q151" s="18" t="e">
        <f>INDEX('imp-answers'!$I$2:$I$50, MATCH($N148, 'imp-answers'!$A$2:$A$50, 0))</f>
        <v>#N/A</v>
      </c>
    </row>
    <row r="152" spans="13:17" x14ac:dyDescent="0.15">
      <c r="M152" s="637"/>
      <c r="N152" s="637"/>
      <c r="O152" s="16"/>
    </row>
  </sheetData>
  <mergeCells count="60">
    <mergeCell ref="M118:M122"/>
    <mergeCell ref="N118:N122"/>
    <mergeCell ref="A1:K1"/>
    <mergeCell ref="H24:H27"/>
    <mergeCell ref="H29:H32"/>
    <mergeCell ref="H34:H37"/>
    <mergeCell ref="H39:H42"/>
    <mergeCell ref="C3:E3"/>
    <mergeCell ref="H4:H7"/>
    <mergeCell ref="H9:H12"/>
    <mergeCell ref="H14:H17"/>
    <mergeCell ref="H19:H22"/>
    <mergeCell ref="N4:N8"/>
    <mergeCell ref="N10:N14"/>
    <mergeCell ref="N16:N20"/>
    <mergeCell ref="N22:N26"/>
    <mergeCell ref="N28:N32"/>
    <mergeCell ref="N34:N38"/>
    <mergeCell ref="N40:N44"/>
    <mergeCell ref="N46:N50"/>
    <mergeCell ref="N52:N56"/>
    <mergeCell ref="N58:N62"/>
    <mergeCell ref="M64:M68"/>
    <mergeCell ref="M70:M74"/>
    <mergeCell ref="M76:M80"/>
    <mergeCell ref="N64:N68"/>
    <mergeCell ref="N70:N74"/>
    <mergeCell ref="N76:N80"/>
    <mergeCell ref="M34:M38"/>
    <mergeCell ref="M40:M44"/>
    <mergeCell ref="M46:M50"/>
    <mergeCell ref="M52:M56"/>
    <mergeCell ref="M58:M62"/>
    <mergeCell ref="M4:M8"/>
    <mergeCell ref="M10:M14"/>
    <mergeCell ref="M16:M20"/>
    <mergeCell ref="M22:M26"/>
    <mergeCell ref="M28:M32"/>
    <mergeCell ref="M112:M116"/>
    <mergeCell ref="N112:N116"/>
    <mergeCell ref="M82:M86"/>
    <mergeCell ref="M88:M92"/>
    <mergeCell ref="M94:M98"/>
    <mergeCell ref="M100:M104"/>
    <mergeCell ref="M106:M110"/>
    <mergeCell ref="N94:N98"/>
    <mergeCell ref="N100:N104"/>
    <mergeCell ref="N106:N110"/>
    <mergeCell ref="N82:N86"/>
    <mergeCell ref="N88:N92"/>
    <mergeCell ref="M142:M146"/>
    <mergeCell ref="N142:N146"/>
    <mergeCell ref="M148:M152"/>
    <mergeCell ref="N148:N152"/>
    <mergeCell ref="M124:M128"/>
    <mergeCell ref="N124:N128"/>
    <mergeCell ref="M130:M134"/>
    <mergeCell ref="N130:N134"/>
    <mergeCell ref="M136:M140"/>
    <mergeCell ref="N136:N140"/>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91"/>
  <sheetViews>
    <sheetView topLeftCell="E1" zoomScale="145" zoomScaleNormal="145" workbookViewId="0">
      <selection activeCell="A2" sqref="A2"/>
    </sheetView>
  </sheetViews>
  <sheetFormatPr baseColWidth="10" defaultColWidth="11.5" defaultRowHeight="13" x14ac:dyDescent="0.15"/>
  <cols>
    <col min="4" max="4" width="19.5" customWidth="1"/>
    <col min="6" max="6" width="90.5" customWidth="1"/>
    <col min="7" max="7" width="64.5" customWidth="1"/>
  </cols>
  <sheetData>
    <row r="1" spans="1:8" x14ac:dyDescent="0.15">
      <c r="A1" t="s">
        <v>318</v>
      </c>
      <c r="B1" t="s">
        <v>319</v>
      </c>
      <c r="C1" t="s">
        <v>260</v>
      </c>
      <c r="D1" t="s">
        <v>320</v>
      </c>
      <c r="E1" t="s">
        <v>238</v>
      </c>
      <c r="F1" t="s">
        <v>321</v>
      </c>
      <c r="G1" t="s">
        <v>322</v>
      </c>
      <c r="H1" t="s">
        <v>323</v>
      </c>
    </row>
    <row r="2" spans="1:8" x14ac:dyDescent="0.15">
      <c r="A2" t="s">
        <v>54</v>
      </c>
      <c r="B2" t="s">
        <v>38</v>
      </c>
      <c r="C2" t="s">
        <v>53</v>
      </c>
      <c r="D2" t="s">
        <v>324</v>
      </c>
      <c r="E2">
        <v>1</v>
      </c>
      <c r="F2" t="s">
        <v>325</v>
      </c>
      <c r="G2" t="s">
        <v>326</v>
      </c>
      <c r="H2">
        <v>0</v>
      </c>
    </row>
    <row r="3" spans="1:8" x14ac:dyDescent="0.15">
      <c r="A3" t="s">
        <v>57</v>
      </c>
      <c r="B3" t="s">
        <v>38</v>
      </c>
      <c r="C3" t="s">
        <v>53</v>
      </c>
      <c r="D3" t="s">
        <v>327</v>
      </c>
      <c r="E3">
        <v>1</v>
      </c>
      <c r="F3" t="s">
        <v>328</v>
      </c>
      <c r="G3" t="s">
        <v>329</v>
      </c>
      <c r="H3">
        <v>0</v>
      </c>
    </row>
    <row r="4" spans="1:8" x14ac:dyDescent="0.15">
      <c r="A4" t="s">
        <v>55</v>
      </c>
      <c r="B4" t="s">
        <v>38</v>
      </c>
      <c r="C4" t="s">
        <v>53</v>
      </c>
      <c r="D4" t="s">
        <v>324</v>
      </c>
      <c r="E4">
        <v>2</v>
      </c>
      <c r="F4" t="s">
        <v>330</v>
      </c>
      <c r="G4" t="s">
        <v>331</v>
      </c>
      <c r="H4">
        <v>0</v>
      </c>
    </row>
    <row r="5" spans="1:8" x14ac:dyDescent="0.15">
      <c r="A5" t="s">
        <v>58</v>
      </c>
      <c r="B5" t="s">
        <v>38</v>
      </c>
      <c r="C5" t="s">
        <v>53</v>
      </c>
      <c r="D5" t="s">
        <v>327</v>
      </c>
      <c r="E5">
        <v>2</v>
      </c>
      <c r="F5" t="s">
        <v>332</v>
      </c>
      <c r="G5" t="s">
        <v>333</v>
      </c>
      <c r="H5">
        <v>12</v>
      </c>
    </row>
    <row r="6" spans="1:8" x14ac:dyDescent="0.15">
      <c r="A6" t="s">
        <v>56</v>
      </c>
      <c r="B6" t="s">
        <v>38</v>
      </c>
      <c r="C6" t="s">
        <v>53</v>
      </c>
      <c r="D6" t="s">
        <v>324</v>
      </c>
      <c r="E6">
        <v>3</v>
      </c>
      <c r="F6" t="s">
        <v>334</v>
      </c>
      <c r="G6" t="s">
        <v>335</v>
      </c>
      <c r="H6">
        <v>0</v>
      </c>
    </row>
    <row r="7" spans="1:8" x14ac:dyDescent="0.15">
      <c r="A7" t="s">
        <v>59</v>
      </c>
      <c r="B7" t="s">
        <v>38</v>
      </c>
      <c r="C7" t="s">
        <v>53</v>
      </c>
      <c r="D7" t="s">
        <v>327</v>
      </c>
      <c r="E7">
        <v>3</v>
      </c>
      <c r="F7" t="s">
        <v>336</v>
      </c>
      <c r="G7" t="s">
        <v>337</v>
      </c>
      <c r="H7">
        <v>0</v>
      </c>
    </row>
    <row r="8" spans="1:8" x14ac:dyDescent="0.15">
      <c r="A8" t="s">
        <v>47</v>
      </c>
      <c r="B8" t="s">
        <v>38</v>
      </c>
      <c r="C8" t="s">
        <v>46</v>
      </c>
      <c r="D8" t="s">
        <v>338</v>
      </c>
      <c r="E8">
        <v>1</v>
      </c>
      <c r="F8" t="s">
        <v>339</v>
      </c>
      <c r="G8" t="s">
        <v>340</v>
      </c>
      <c r="H8">
        <v>0</v>
      </c>
    </row>
    <row r="9" spans="1:8" x14ac:dyDescent="0.15">
      <c r="A9" t="s">
        <v>50</v>
      </c>
      <c r="B9" t="s">
        <v>38</v>
      </c>
      <c r="C9" t="s">
        <v>46</v>
      </c>
      <c r="D9" t="s">
        <v>341</v>
      </c>
      <c r="E9">
        <v>1</v>
      </c>
      <c r="F9" t="s">
        <v>342</v>
      </c>
      <c r="G9" t="s">
        <v>343</v>
      </c>
      <c r="H9">
        <v>4</v>
      </c>
    </row>
    <row r="10" spans="1:8" x14ac:dyDescent="0.15">
      <c r="A10" t="s">
        <v>48</v>
      </c>
      <c r="B10" t="s">
        <v>38</v>
      </c>
      <c r="C10" t="s">
        <v>46</v>
      </c>
      <c r="D10" t="s">
        <v>338</v>
      </c>
      <c r="E10">
        <v>2</v>
      </c>
      <c r="F10" t="s">
        <v>344</v>
      </c>
      <c r="G10" t="s">
        <v>345</v>
      </c>
      <c r="H10">
        <v>4</v>
      </c>
    </row>
    <row r="11" spans="1:8" x14ac:dyDescent="0.15">
      <c r="A11" t="s">
        <v>51</v>
      </c>
      <c r="B11" t="s">
        <v>38</v>
      </c>
      <c r="C11" t="s">
        <v>46</v>
      </c>
      <c r="D11" t="s">
        <v>341</v>
      </c>
      <c r="E11">
        <v>2</v>
      </c>
      <c r="F11" t="s">
        <v>346</v>
      </c>
      <c r="G11" t="s">
        <v>347</v>
      </c>
      <c r="H11">
        <v>4</v>
      </c>
    </row>
    <row r="12" spans="1:8" x14ac:dyDescent="0.15">
      <c r="A12" t="s">
        <v>49</v>
      </c>
      <c r="B12" t="s">
        <v>38</v>
      </c>
      <c r="C12" t="s">
        <v>46</v>
      </c>
      <c r="D12" t="s">
        <v>338</v>
      </c>
      <c r="E12">
        <v>3</v>
      </c>
      <c r="F12" t="s">
        <v>348</v>
      </c>
      <c r="G12" t="s">
        <v>349</v>
      </c>
      <c r="H12">
        <v>0</v>
      </c>
    </row>
    <row r="13" spans="1:8" x14ac:dyDescent="0.15">
      <c r="A13" t="s">
        <v>52</v>
      </c>
      <c r="B13" t="s">
        <v>38</v>
      </c>
      <c r="C13" t="s">
        <v>46</v>
      </c>
      <c r="D13" t="s">
        <v>341</v>
      </c>
      <c r="E13">
        <v>3</v>
      </c>
      <c r="F13" t="s">
        <v>350</v>
      </c>
      <c r="G13" t="s">
        <v>351</v>
      </c>
      <c r="H13">
        <v>4</v>
      </c>
    </row>
    <row r="14" spans="1:8" x14ac:dyDescent="0.15">
      <c r="A14" t="s">
        <v>40</v>
      </c>
      <c r="B14" t="s">
        <v>38</v>
      </c>
      <c r="C14" t="s">
        <v>39</v>
      </c>
      <c r="D14" t="s">
        <v>352</v>
      </c>
      <c r="E14">
        <v>1</v>
      </c>
      <c r="F14" t="s">
        <v>353</v>
      </c>
      <c r="G14" t="s">
        <v>354</v>
      </c>
      <c r="H14">
        <v>1</v>
      </c>
    </row>
    <row r="15" spans="1:8" x14ac:dyDescent="0.15">
      <c r="A15" t="s">
        <v>43</v>
      </c>
      <c r="B15" t="s">
        <v>38</v>
      </c>
      <c r="C15" t="s">
        <v>39</v>
      </c>
      <c r="D15" t="s">
        <v>355</v>
      </c>
      <c r="E15">
        <v>1</v>
      </c>
      <c r="F15" t="s">
        <v>356</v>
      </c>
      <c r="G15" t="s">
        <v>357</v>
      </c>
      <c r="H15">
        <v>1</v>
      </c>
    </row>
    <row r="16" spans="1:8" x14ac:dyDescent="0.15">
      <c r="A16" t="s">
        <v>41</v>
      </c>
      <c r="B16" t="s">
        <v>38</v>
      </c>
      <c r="C16" t="s">
        <v>39</v>
      </c>
      <c r="D16" t="s">
        <v>352</v>
      </c>
      <c r="E16">
        <v>2</v>
      </c>
      <c r="F16" t="s">
        <v>358</v>
      </c>
      <c r="G16" t="s">
        <v>359</v>
      </c>
      <c r="H16">
        <v>0</v>
      </c>
    </row>
    <row r="17" spans="1:8" x14ac:dyDescent="0.15">
      <c r="A17" t="s">
        <v>44</v>
      </c>
      <c r="B17" t="s">
        <v>38</v>
      </c>
      <c r="C17" t="s">
        <v>39</v>
      </c>
      <c r="D17" t="s">
        <v>355</v>
      </c>
      <c r="E17">
        <v>2</v>
      </c>
      <c r="F17" t="s">
        <v>360</v>
      </c>
      <c r="G17" t="s">
        <v>361</v>
      </c>
      <c r="H17">
        <v>0</v>
      </c>
    </row>
    <row r="18" spans="1:8" x14ac:dyDescent="0.15">
      <c r="A18" t="s">
        <v>42</v>
      </c>
      <c r="B18" t="s">
        <v>38</v>
      </c>
      <c r="C18" t="s">
        <v>39</v>
      </c>
      <c r="D18" t="s">
        <v>352</v>
      </c>
      <c r="E18">
        <v>3</v>
      </c>
      <c r="F18" t="s">
        <v>362</v>
      </c>
      <c r="G18" t="s">
        <v>363</v>
      </c>
      <c r="H18">
        <v>17</v>
      </c>
    </row>
    <row r="19" spans="1:8" x14ac:dyDescent="0.15">
      <c r="A19" t="s">
        <v>45</v>
      </c>
      <c r="B19" t="s">
        <v>38</v>
      </c>
      <c r="C19" t="s">
        <v>39</v>
      </c>
      <c r="D19" t="s">
        <v>355</v>
      </c>
      <c r="E19">
        <v>3</v>
      </c>
      <c r="F19" t="s">
        <v>364</v>
      </c>
      <c r="G19" t="s">
        <v>365</v>
      </c>
      <c r="H19">
        <v>15</v>
      </c>
    </row>
    <row r="20" spans="1:8" x14ac:dyDescent="0.15">
      <c r="A20" t="s">
        <v>32</v>
      </c>
      <c r="B20" t="s">
        <v>11</v>
      </c>
      <c r="C20" t="s">
        <v>366</v>
      </c>
      <c r="D20" t="s">
        <v>367</v>
      </c>
      <c r="E20">
        <v>1</v>
      </c>
      <c r="F20" t="s">
        <v>368</v>
      </c>
      <c r="G20" t="s">
        <v>369</v>
      </c>
      <c r="H20">
        <v>1</v>
      </c>
    </row>
    <row r="21" spans="1:8" x14ac:dyDescent="0.15">
      <c r="A21" t="s">
        <v>35</v>
      </c>
      <c r="B21" t="s">
        <v>11</v>
      </c>
      <c r="C21" t="s">
        <v>366</v>
      </c>
      <c r="D21" t="s">
        <v>370</v>
      </c>
      <c r="E21">
        <v>1</v>
      </c>
      <c r="F21" t="s">
        <v>371</v>
      </c>
      <c r="G21" t="s">
        <v>372</v>
      </c>
      <c r="H21">
        <v>21</v>
      </c>
    </row>
    <row r="22" spans="1:8" x14ac:dyDescent="0.15">
      <c r="A22" t="s">
        <v>33</v>
      </c>
      <c r="B22" t="s">
        <v>11</v>
      </c>
      <c r="C22" t="s">
        <v>366</v>
      </c>
      <c r="D22" t="s">
        <v>367</v>
      </c>
      <c r="E22">
        <v>2</v>
      </c>
      <c r="F22" t="s">
        <v>373</v>
      </c>
      <c r="G22" t="s">
        <v>374</v>
      </c>
      <c r="H22">
        <v>3</v>
      </c>
    </row>
    <row r="23" spans="1:8" x14ac:dyDescent="0.15">
      <c r="A23" t="s">
        <v>36</v>
      </c>
      <c r="B23" t="s">
        <v>11</v>
      </c>
      <c r="C23" t="s">
        <v>366</v>
      </c>
      <c r="D23" t="s">
        <v>370</v>
      </c>
      <c r="E23">
        <v>2</v>
      </c>
      <c r="F23" t="s">
        <v>375</v>
      </c>
      <c r="G23" t="s">
        <v>376</v>
      </c>
      <c r="H23">
        <v>5</v>
      </c>
    </row>
    <row r="24" spans="1:8" x14ac:dyDescent="0.15">
      <c r="A24" t="s">
        <v>34</v>
      </c>
      <c r="B24" t="s">
        <v>11</v>
      </c>
      <c r="C24" t="s">
        <v>366</v>
      </c>
      <c r="D24" t="s">
        <v>367</v>
      </c>
      <c r="E24">
        <v>3</v>
      </c>
      <c r="F24" t="s">
        <v>377</v>
      </c>
      <c r="G24" t="s">
        <v>378</v>
      </c>
      <c r="H24">
        <v>3</v>
      </c>
    </row>
    <row r="25" spans="1:8" x14ac:dyDescent="0.15">
      <c r="A25" t="s">
        <v>37</v>
      </c>
      <c r="B25" t="s">
        <v>11</v>
      </c>
      <c r="C25" t="s">
        <v>366</v>
      </c>
      <c r="D25" t="s">
        <v>370</v>
      </c>
      <c r="E25">
        <v>3</v>
      </c>
      <c r="F25" t="s">
        <v>379</v>
      </c>
      <c r="G25" t="s">
        <v>380</v>
      </c>
      <c r="H25">
        <v>5</v>
      </c>
    </row>
    <row r="26" spans="1:8" x14ac:dyDescent="0.15">
      <c r="A26" t="s">
        <v>25</v>
      </c>
      <c r="B26" t="s">
        <v>11</v>
      </c>
      <c r="C26" t="s">
        <v>381</v>
      </c>
      <c r="D26" t="s">
        <v>382</v>
      </c>
      <c r="E26">
        <v>1</v>
      </c>
      <c r="F26" t="s">
        <v>383</v>
      </c>
      <c r="G26" t="s">
        <v>384</v>
      </c>
      <c r="H26">
        <v>0</v>
      </c>
    </row>
    <row r="27" spans="1:8" x14ac:dyDescent="0.15">
      <c r="A27" t="s">
        <v>28</v>
      </c>
      <c r="B27" t="s">
        <v>11</v>
      </c>
      <c r="C27" t="s">
        <v>381</v>
      </c>
      <c r="D27" t="s">
        <v>385</v>
      </c>
      <c r="E27">
        <v>1</v>
      </c>
      <c r="F27" t="s">
        <v>386</v>
      </c>
      <c r="G27" t="s">
        <v>387</v>
      </c>
      <c r="H27">
        <v>0</v>
      </c>
    </row>
    <row r="28" spans="1:8" x14ac:dyDescent="0.15">
      <c r="A28" t="s">
        <v>26</v>
      </c>
      <c r="B28" t="s">
        <v>11</v>
      </c>
      <c r="C28" t="s">
        <v>381</v>
      </c>
      <c r="D28" t="s">
        <v>382</v>
      </c>
      <c r="E28">
        <v>2</v>
      </c>
      <c r="F28" t="s">
        <v>388</v>
      </c>
      <c r="G28" t="s">
        <v>389</v>
      </c>
      <c r="H28">
        <v>2</v>
      </c>
    </row>
    <row r="29" spans="1:8" x14ac:dyDescent="0.15">
      <c r="A29" t="s">
        <v>29</v>
      </c>
      <c r="B29" t="s">
        <v>11</v>
      </c>
      <c r="C29" t="s">
        <v>381</v>
      </c>
      <c r="D29" t="s">
        <v>385</v>
      </c>
      <c r="E29">
        <v>2</v>
      </c>
      <c r="F29" t="s">
        <v>390</v>
      </c>
      <c r="G29" t="s">
        <v>391</v>
      </c>
      <c r="H29">
        <v>20</v>
      </c>
    </row>
    <row r="30" spans="1:8" x14ac:dyDescent="0.15">
      <c r="A30" t="s">
        <v>27</v>
      </c>
      <c r="B30" t="s">
        <v>11</v>
      </c>
      <c r="C30" t="s">
        <v>381</v>
      </c>
      <c r="D30" t="s">
        <v>382</v>
      </c>
      <c r="E30">
        <v>3</v>
      </c>
      <c r="F30" t="s">
        <v>392</v>
      </c>
      <c r="G30" t="s">
        <v>393</v>
      </c>
      <c r="H30">
        <v>19</v>
      </c>
    </row>
    <row r="31" spans="1:8" x14ac:dyDescent="0.15">
      <c r="A31" t="s">
        <v>30</v>
      </c>
      <c r="B31" t="s">
        <v>11</v>
      </c>
      <c r="C31" t="s">
        <v>381</v>
      </c>
      <c r="D31" t="s">
        <v>385</v>
      </c>
      <c r="E31">
        <v>3</v>
      </c>
      <c r="F31" t="s">
        <v>394</v>
      </c>
      <c r="G31" t="s">
        <v>395</v>
      </c>
      <c r="H31">
        <v>19</v>
      </c>
    </row>
    <row r="32" spans="1:8" x14ac:dyDescent="0.15">
      <c r="A32" t="s">
        <v>18</v>
      </c>
      <c r="B32" t="s">
        <v>11</v>
      </c>
      <c r="C32" t="s">
        <v>396</v>
      </c>
      <c r="D32" t="s">
        <v>397</v>
      </c>
      <c r="E32">
        <v>1</v>
      </c>
      <c r="F32" t="s">
        <v>398</v>
      </c>
      <c r="G32" t="s">
        <v>399</v>
      </c>
      <c r="H32">
        <v>13</v>
      </c>
    </row>
    <row r="33" spans="1:8" x14ac:dyDescent="0.15">
      <c r="A33" t="s">
        <v>21</v>
      </c>
      <c r="B33" t="s">
        <v>11</v>
      </c>
      <c r="C33" t="s">
        <v>396</v>
      </c>
      <c r="D33" t="s">
        <v>400</v>
      </c>
      <c r="E33">
        <v>1</v>
      </c>
      <c r="F33" t="s">
        <v>401</v>
      </c>
      <c r="G33" t="s">
        <v>402</v>
      </c>
      <c r="H33">
        <v>16</v>
      </c>
    </row>
    <row r="34" spans="1:8" x14ac:dyDescent="0.15">
      <c r="A34" t="s">
        <v>19</v>
      </c>
      <c r="B34" t="s">
        <v>11</v>
      </c>
      <c r="C34" t="s">
        <v>396</v>
      </c>
      <c r="D34" t="s">
        <v>397</v>
      </c>
      <c r="E34">
        <v>2</v>
      </c>
      <c r="F34" t="s">
        <v>403</v>
      </c>
      <c r="G34" t="s">
        <v>404</v>
      </c>
      <c r="H34">
        <v>14</v>
      </c>
    </row>
    <row r="35" spans="1:8" x14ac:dyDescent="0.15">
      <c r="A35" t="s">
        <v>22</v>
      </c>
      <c r="B35" t="s">
        <v>11</v>
      </c>
      <c r="C35" t="s">
        <v>396</v>
      </c>
      <c r="D35" t="s">
        <v>400</v>
      </c>
      <c r="E35">
        <v>2</v>
      </c>
      <c r="F35" t="s">
        <v>405</v>
      </c>
      <c r="G35" t="s">
        <v>406</v>
      </c>
      <c r="H35">
        <v>18</v>
      </c>
    </row>
    <row r="36" spans="1:8" x14ac:dyDescent="0.15">
      <c r="A36" t="s">
        <v>20</v>
      </c>
      <c r="B36" t="s">
        <v>11</v>
      </c>
      <c r="C36" t="s">
        <v>396</v>
      </c>
      <c r="D36" t="s">
        <v>397</v>
      </c>
      <c r="E36">
        <v>3</v>
      </c>
      <c r="F36" t="s">
        <v>407</v>
      </c>
      <c r="G36" t="s">
        <v>408</v>
      </c>
      <c r="H36">
        <v>15</v>
      </c>
    </row>
    <row r="37" spans="1:8" x14ac:dyDescent="0.15">
      <c r="A37" t="s">
        <v>23</v>
      </c>
      <c r="B37" t="s">
        <v>11</v>
      </c>
      <c r="C37" t="s">
        <v>396</v>
      </c>
      <c r="D37" t="s">
        <v>400</v>
      </c>
      <c r="E37">
        <v>3</v>
      </c>
      <c r="F37" t="s">
        <v>409</v>
      </c>
      <c r="G37" t="s">
        <v>410</v>
      </c>
      <c r="H37">
        <v>15</v>
      </c>
    </row>
    <row r="38" spans="1:8" x14ac:dyDescent="0.15">
      <c r="A38" t="s">
        <v>76</v>
      </c>
      <c r="B38" t="s">
        <v>60</v>
      </c>
      <c r="C38" t="s">
        <v>75</v>
      </c>
      <c r="D38" t="s">
        <v>411</v>
      </c>
      <c r="E38">
        <v>1</v>
      </c>
      <c r="F38" t="s">
        <v>412</v>
      </c>
      <c r="G38" t="s">
        <v>413</v>
      </c>
      <c r="H38">
        <v>0</v>
      </c>
    </row>
    <row r="39" spans="1:8" x14ac:dyDescent="0.15">
      <c r="A39" t="s">
        <v>79</v>
      </c>
      <c r="B39" t="s">
        <v>60</v>
      </c>
      <c r="C39" t="s">
        <v>75</v>
      </c>
      <c r="D39" t="s">
        <v>414</v>
      </c>
      <c r="E39">
        <v>1</v>
      </c>
      <c r="F39" t="s">
        <v>415</v>
      </c>
      <c r="G39" t="s">
        <v>416</v>
      </c>
      <c r="H39">
        <v>0</v>
      </c>
    </row>
    <row r="40" spans="1:8" x14ac:dyDescent="0.15">
      <c r="A40" t="s">
        <v>77</v>
      </c>
      <c r="B40" t="s">
        <v>60</v>
      </c>
      <c r="C40" t="s">
        <v>75</v>
      </c>
      <c r="D40" t="s">
        <v>411</v>
      </c>
      <c r="E40">
        <v>2</v>
      </c>
      <c r="F40" t="s">
        <v>417</v>
      </c>
      <c r="G40" t="s">
        <v>418</v>
      </c>
      <c r="H40">
        <v>0</v>
      </c>
    </row>
    <row r="41" spans="1:8" x14ac:dyDescent="0.15">
      <c r="A41" t="s">
        <v>80</v>
      </c>
      <c r="B41" t="s">
        <v>60</v>
      </c>
      <c r="C41" t="s">
        <v>75</v>
      </c>
      <c r="D41" t="s">
        <v>414</v>
      </c>
      <c r="E41">
        <v>2</v>
      </c>
      <c r="F41" t="s">
        <v>419</v>
      </c>
      <c r="G41" t="s">
        <v>420</v>
      </c>
      <c r="H41">
        <v>0</v>
      </c>
    </row>
    <row r="42" spans="1:8" x14ac:dyDescent="0.15">
      <c r="A42" t="s">
        <v>78</v>
      </c>
      <c r="B42" t="s">
        <v>60</v>
      </c>
      <c r="C42" t="s">
        <v>75</v>
      </c>
      <c r="D42" t="s">
        <v>411</v>
      </c>
      <c r="E42">
        <v>3</v>
      </c>
      <c r="F42" t="s">
        <v>421</v>
      </c>
      <c r="G42" t="s">
        <v>422</v>
      </c>
      <c r="H42">
        <v>0</v>
      </c>
    </row>
    <row r="43" spans="1:8" x14ac:dyDescent="0.15">
      <c r="A43" t="s">
        <v>81</v>
      </c>
      <c r="B43" t="s">
        <v>60</v>
      </c>
      <c r="C43" t="s">
        <v>75</v>
      </c>
      <c r="D43" t="s">
        <v>414</v>
      </c>
      <c r="E43">
        <v>3</v>
      </c>
      <c r="F43" t="s">
        <v>423</v>
      </c>
      <c r="G43" t="s">
        <v>424</v>
      </c>
      <c r="H43">
        <v>0</v>
      </c>
    </row>
    <row r="44" spans="1:8" x14ac:dyDescent="0.15">
      <c r="A44" t="s">
        <v>62</v>
      </c>
      <c r="B44" t="s">
        <v>60</v>
      </c>
      <c r="C44" t="s">
        <v>61</v>
      </c>
      <c r="D44" t="s">
        <v>425</v>
      </c>
      <c r="E44">
        <v>1</v>
      </c>
      <c r="F44" t="s">
        <v>426</v>
      </c>
      <c r="G44" t="s">
        <v>427</v>
      </c>
      <c r="H44">
        <v>0</v>
      </c>
    </row>
    <row r="45" spans="1:8" x14ac:dyDescent="0.15">
      <c r="A45" t="s">
        <v>65</v>
      </c>
      <c r="B45" t="s">
        <v>60</v>
      </c>
      <c r="C45" t="s">
        <v>61</v>
      </c>
      <c r="D45" t="s">
        <v>428</v>
      </c>
      <c r="E45">
        <v>1</v>
      </c>
      <c r="F45" t="s">
        <v>429</v>
      </c>
      <c r="G45" t="s">
        <v>430</v>
      </c>
      <c r="H45">
        <v>0</v>
      </c>
    </row>
    <row r="46" spans="1:8" x14ac:dyDescent="0.15">
      <c r="A46" t="s">
        <v>63</v>
      </c>
      <c r="B46" t="s">
        <v>60</v>
      </c>
      <c r="C46" t="s">
        <v>61</v>
      </c>
      <c r="D46" t="s">
        <v>425</v>
      </c>
      <c r="E46">
        <v>2</v>
      </c>
      <c r="F46" t="s">
        <v>431</v>
      </c>
      <c r="G46" t="s">
        <v>432</v>
      </c>
      <c r="H46">
        <v>0</v>
      </c>
    </row>
    <row r="47" spans="1:8" x14ac:dyDescent="0.15">
      <c r="A47" t="s">
        <v>66</v>
      </c>
      <c r="B47" t="s">
        <v>60</v>
      </c>
      <c r="C47" t="s">
        <v>61</v>
      </c>
      <c r="D47" t="s">
        <v>428</v>
      </c>
      <c r="E47">
        <v>2</v>
      </c>
      <c r="F47" t="s">
        <v>433</v>
      </c>
      <c r="G47" t="s">
        <v>434</v>
      </c>
      <c r="H47">
        <v>0</v>
      </c>
    </row>
    <row r="48" spans="1:8" x14ac:dyDescent="0.15">
      <c r="A48" t="s">
        <v>64</v>
      </c>
      <c r="B48" t="s">
        <v>60</v>
      </c>
      <c r="C48" t="s">
        <v>61</v>
      </c>
      <c r="D48" t="s">
        <v>425</v>
      </c>
      <c r="E48">
        <v>3</v>
      </c>
      <c r="F48" t="s">
        <v>435</v>
      </c>
      <c r="G48" t="s">
        <v>436</v>
      </c>
      <c r="H48">
        <v>0</v>
      </c>
    </row>
    <row r="49" spans="1:8" x14ac:dyDescent="0.15">
      <c r="A49" t="s">
        <v>67</v>
      </c>
      <c r="B49" t="s">
        <v>60</v>
      </c>
      <c r="C49" t="s">
        <v>61</v>
      </c>
      <c r="D49" t="s">
        <v>428</v>
      </c>
      <c r="E49">
        <v>3</v>
      </c>
      <c r="F49" t="s">
        <v>437</v>
      </c>
      <c r="G49" t="s">
        <v>438</v>
      </c>
      <c r="H49">
        <v>0</v>
      </c>
    </row>
    <row r="50" spans="1:8" x14ac:dyDescent="0.15">
      <c r="A50" t="s">
        <v>69</v>
      </c>
      <c r="B50" t="s">
        <v>60</v>
      </c>
      <c r="C50" t="s">
        <v>68</v>
      </c>
      <c r="D50" t="s">
        <v>439</v>
      </c>
      <c r="E50">
        <v>1</v>
      </c>
      <c r="F50" t="s">
        <v>440</v>
      </c>
      <c r="G50" t="s">
        <v>441</v>
      </c>
      <c r="H50">
        <v>0</v>
      </c>
    </row>
    <row r="51" spans="1:8" x14ac:dyDescent="0.15">
      <c r="A51" t="s">
        <v>72</v>
      </c>
      <c r="B51" t="s">
        <v>60</v>
      </c>
      <c r="C51" t="s">
        <v>68</v>
      </c>
      <c r="D51" t="s">
        <v>442</v>
      </c>
      <c r="E51">
        <v>1</v>
      </c>
      <c r="F51" t="s">
        <v>443</v>
      </c>
      <c r="G51" t="s">
        <v>444</v>
      </c>
      <c r="H51">
        <v>0</v>
      </c>
    </row>
    <row r="52" spans="1:8" x14ac:dyDescent="0.15">
      <c r="A52" t="s">
        <v>70</v>
      </c>
      <c r="B52" t="s">
        <v>60</v>
      </c>
      <c r="C52" t="s">
        <v>68</v>
      </c>
      <c r="D52" t="s">
        <v>439</v>
      </c>
      <c r="E52">
        <v>2</v>
      </c>
      <c r="F52" t="s">
        <v>445</v>
      </c>
      <c r="G52" t="s">
        <v>446</v>
      </c>
      <c r="H52">
        <v>0</v>
      </c>
    </row>
    <row r="53" spans="1:8" x14ac:dyDescent="0.15">
      <c r="A53" t="s">
        <v>73</v>
      </c>
      <c r="B53" t="s">
        <v>60</v>
      </c>
      <c r="C53" t="s">
        <v>68</v>
      </c>
      <c r="D53" t="s">
        <v>442</v>
      </c>
      <c r="E53">
        <v>2</v>
      </c>
      <c r="F53" t="s">
        <v>447</v>
      </c>
      <c r="G53" t="s">
        <v>448</v>
      </c>
      <c r="H53">
        <v>0</v>
      </c>
    </row>
    <row r="54" spans="1:8" x14ac:dyDescent="0.15">
      <c r="A54" t="s">
        <v>71</v>
      </c>
      <c r="B54" t="s">
        <v>60</v>
      </c>
      <c r="C54" t="s">
        <v>68</v>
      </c>
      <c r="D54" t="s">
        <v>439</v>
      </c>
      <c r="E54">
        <v>3</v>
      </c>
      <c r="F54" t="s">
        <v>449</v>
      </c>
      <c r="G54" t="s">
        <v>450</v>
      </c>
      <c r="H54">
        <v>0</v>
      </c>
    </row>
    <row r="55" spans="1:8" x14ac:dyDescent="0.15">
      <c r="A55" t="s">
        <v>74</v>
      </c>
      <c r="B55" t="s">
        <v>60</v>
      </c>
      <c r="C55" t="s">
        <v>68</v>
      </c>
      <c r="D55" t="s">
        <v>442</v>
      </c>
      <c r="E55">
        <v>3</v>
      </c>
      <c r="F55" t="s">
        <v>451</v>
      </c>
      <c r="G55" t="s">
        <v>452</v>
      </c>
      <c r="H55">
        <v>0</v>
      </c>
    </row>
    <row r="56" spans="1:8" x14ac:dyDescent="0.15">
      <c r="A56" t="s">
        <v>113</v>
      </c>
      <c r="B56" t="s">
        <v>104</v>
      </c>
      <c r="C56" t="s">
        <v>112</v>
      </c>
      <c r="D56" t="s">
        <v>453</v>
      </c>
      <c r="E56">
        <v>1</v>
      </c>
      <c r="F56" t="s">
        <v>454</v>
      </c>
      <c r="G56" t="s">
        <v>455</v>
      </c>
      <c r="H56">
        <v>6</v>
      </c>
    </row>
    <row r="57" spans="1:8" x14ac:dyDescent="0.15">
      <c r="A57" t="s">
        <v>116</v>
      </c>
      <c r="B57" t="s">
        <v>104</v>
      </c>
      <c r="C57" t="s">
        <v>112</v>
      </c>
      <c r="D57" t="s">
        <v>456</v>
      </c>
      <c r="E57">
        <v>1</v>
      </c>
      <c r="F57" t="s">
        <v>457</v>
      </c>
      <c r="G57" t="s">
        <v>458</v>
      </c>
      <c r="H57">
        <v>6</v>
      </c>
    </row>
    <row r="58" spans="1:8" x14ac:dyDescent="0.15">
      <c r="A58" t="s">
        <v>114</v>
      </c>
      <c r="B58" t="s">
        <v>104</v>
      </c>
      <c r="C58" t="s">
        <v>112</v>
      </c>
      <c r="D58" t="s">
        <v>453</v>
      </c>
      <c r="E58">
        <v>2</v>
      </c>
      <c r="F58" t="s">
        <v>459</v>
      </c>
      <c r="G58" t="s">
        <v>460</v>
      </c>
      <c r="H58">
        <v>6</v>
      </c>
    </row>
    <row r="59" spans="1:8" x14ac:dyDescent="0.15">
      <c r="A59" t="s">
        <v>117</v>
      </c>
      <c r="B59" t="s">
        <v>104</v>
      </c>
      <c r="C59" t="s">
        <v>112</v>
      </c>
      <c r="D59" t="s">
        <v>456</v>
      </c>
      <c r="E59">
        <v>2</v>
      </c>
      <c r="F59" t="s">
        <v>461</v>
      </c>
      <c r="G59" t="s">
        <v>462</v>
      </c>
      <c r="H59">
        <v>6</v>
      </c>
    </row>
    <row r="60" spans="1:8" x14ac:dyDescent="0.15">
      <c r="A60" t="s">
        <v>115</v>
      </c>
      <c r="B60" t="s">
        <v>104</v>
      </c>
      <c r="C60" t="s">
        <v>112</v>
      </c>
      <c r="D60" t="s">
        <v>453</v>
      </c>
      <c r="E60">
        <v>3</v>
      </c>
      <c r="F60" t="s">
        <v>463</v>
      </c>
      <c r="G60" t="s">
        <v>464</v>
      </c>
      <c r="H60">
        <v>6</v>
      </c>
    </row>
    <row r="61" spans="1:8" x14ac:dyDescent="0.15">
      <c r="A61" t="s">
        <v>118</v>
      </c>
      <c r="B61" t="s">
        <v>104</v>
      </c>
      <c r="C61" t="s">
        <v>112</v>
      </c>
      <c r="D61" t="s">
        <v>456</v>
      </c>
      <c r="E61">
        <v>3</v>
      </c>
      <c r="F61" t="s">
        <v>465</v>
      </c>
      <c r="G61" t="s">
        <v>466</v>
      </c>
      <c r="H61">
        <v>6</v>
      </c>
    </row>
    <row r="62" spans="1:8" x14ac:dyDescent="0.15">
      <c r="A62" t="s">
        <v>106</v>
      </c>
      <c r="B62" t="s">
        <v>104</v>
      </c>
      <c r="C62" t="s">
        <v>105</v>
      </c>
      <c r="D62" t="s">
        <v>467</v>
      </c>
      <c r="E62">
        <v>1</v>
      </c>
      <c r="F62" t="s">
        <v>468</v>
      </c>
      <c r="G62" t="s">
        <v>469</v>
      </c>
      <c r="H62">
        <v>0</v>
      </c>
    </row>
    <row r="63" spans="1:8" x14ac:dyDescent="0.15">
      <c r="A63" t="s">
        <v>109</v>
      </c>
      <c r="B63" t="s">
        <v>104</v>
      </c>
      <c r="C63" t="s">
        <v>105</v>
      </c>
      <c r="D63" t="s">
        <v>470</v>
      </c>
      <c r="E63">
        <v>1</v>
      </c>
      <c r="F63" t="s">
        <v>471</v>
      </c>
      <c r="G63" t="s">
        <v>472</v>
      </c>
      <c r="H63">
        <v>7</v>
      </c>
    </row>
    <row r="64" spans="1:8" x14ac:dyDescent="0.15">
      <c r="A64" t="s">
        <v>107</v>
      </c>
      <c r="B64" t="s">
        <v>104</v>
      </c>
      <c r="C64" t="s">
        <v>105</v>
      </c>
      <c r="D64" t="s">
        <v>467</v>
      </c>
      <c r="E64">
        <v>2</v>
      </c>
      <c r="F64" t="s">
        <v>473</v>
      </c>
      <c r="G64" t="s">
        <v>474</v>
      </c>
      <c r="H64">
        <v>0</v>
      </c>
    </row>
    <row r="65" spans="1:8" x14ac:dyDescent="0.15">
      <c r="A65" t="s">
        <v>110</v>
      </c>
      <c r="B65" t="s">
        <v>104</v>
      </c>
      <c r="C65" t="s">
        <v>105</v>
      </c>
      <c r="D65" t="s">
        <v>470</v>
      </c>
      <c r="E65">
        <v>2</v>
      </c>
      <c r="F65" t="s">
        <v>475</v>
      </c>
      <c r="G65" t="s">
        <v>476</v>
      </c>
      <c r="H65">
        <v>8</v>
      </c>
    </row>
    <row r="66" spans="1:8" x14ac:dyDescent="0.15">
      <c r="A66" t="s">
        <v>108</v>
      </c>
      <c r="B66" t="s">
        <v>104</v>
      </c>
      <c r="C66" t="s">
        <v>105</v>
      </c>
      <c r="D66" t="s">
        <v>467</v>
      </c>
      <c r="E66">
        <v>3</v>
      </c>
      <c r="F66" t="s">
        <v>477</v>
      </c>
      <c r="G66" t="s">
        <v>478</v>
      </c>
      <c r="H66">
        <v>0</v>
      </c>
    </row>
    <row r="67" spans="1:8" x14ac:dyDescent="0.15">
      <c r="A67" t="s">
        <v>111</v>
      </c>
      <c r="B67" t="s">
        <v>104</v>
      </c>
      <c r="C67" t="s">
        <v>105</v>
      </c>
      <c r="D67" t="s">
        <v>470</v>
      </c>
      <c r="E67">
        <v>3</v>
      </c>
      <c r="F67" t="s">
        <v>479</v>
      </c>
      <c r="G67" t="s">
        <v>480</v>
      </c>
      <c r="H67">
        <v>4</v>
      </c>
    </row>
    <row r="68" spans="1:8" x14ac:dyDescent="0.15">
      <c r="A68" t="s">
        <v>120</v>
      </c>
      <c r="B68" t="s">
        <v>104</v>
      </c>
      <c r="C68" t="s">
        <v>119</v>
      </c>
      <c r="D68" t="s">
        <v>481</v>
      </c>
      <c r="E68">
        <v>1</v>
      </c>
      <c r="F68" t="s">
        <v>482</v>
      </c>
      <c r="G68" t="s">
        <v>483</v>
      </c>
      <c r="H68">
        <v>0</v>
      </c>
    </row>
    <row r="69" spans="1:8" x14ac:dyDescent="0.15">
      <c r="A69" t="s">
        <v>123</v>
      </c>
      <c r="B69" t="s">
        <v>104</v>
      </c>
      <c r="C69" t="s">
        <v>119</v>
      </c>
      <c r="D69" t="s">
        <v>484</v>
      </c>
      <c r="E69">
        <v>1</v>
      </c>
      <c r="F69" t="s">
        <v>485</v>
      </c>
      <c r="G69" t="s">
        <v>486</v>
      </c>
      <c r="H69">
        <v>0</v>
      </c>
    </row>
    <row r="70" spans="1:8" x14ac:dyDescent="0.15">
      <c r="A70" t="s">
        <v>121</v>
      </c>
      <c r="B70" t="s">
        <v>104</v>
      </c>
      <c r="C70" t="s">
        <v>119</v>
      </c>
      <c r="D70" t="s">
        <v>481</v>
      </c>
      <c r="E70">
        <v>2</v>
      </c>
      <c r="F70" t="s">
        <v>487</v>
      </c>
      <c r="G70" t="s">
        <v>488</v>
      </c>
      <c r="H70">
        <v>9</v>
      </c>
    </row>
    <row r="71" spans="1:8" x14ac:dyDescent="0.15">
      <c r="A71" t="s">
        <v>124</v>
      </c>
      <c r="B71" t="s">
        <v>104</v>
      </c>
      <c r="C71" t="s">
        <v>119</v>
      </c>
      <c r="D71" t="s">
        <v>484</v>
      </c>
      <c r="E71">
        <v>2</v>
      </c>
      <c r="F71" t="s">
        <v>489</v>
      </c>
      <c r="G71" t="s">
        <v>490</v>
      </c>
      <c r="H71">
        <v>4</v>
      </c>
    </row>
    <row r="72" spans="1:8" x14ac:dyDescent="0.15">
      <c r="A72" t="s">
        <v>122</v>
      </c>
      <c r="B72" t="s">
        <v>104</v>
      </c>
      <c r="C72" t="s">
        <v>119</v>
      </c>
      <c r="D72" t="s">
        <v>481</v>
      </c>
      <c r="E72">
        <v>3</v>
      </c>
      <c r="F72" t="s">
        <v>491</v>
      </c>
      <c r="G72" t="s">
        <v>492</v>
      </c>
      <c r="H72">
        <v>10</v>
      </c>
    </row>
    <row r="73" spans="1:8" x14ac:dyDescent="0.15">
      <c r="A73" t="s">
        <v>125</v>
      </c>
      <c r="B73" t="s">
        <v>104</v>
      </c>
      <c r="C73" t="s">
        <v>119</v>
      </c>
      <c r="D73" t="s">
        <v>484</v>
      </c>
      <c r="E73">
        <v>3</v>
      </c>
      <c r="F73" t="s">
        <v>493</v>
      </c>
      <c r="G73" t="s">
        <v>494</v>
      </c>
      <c r="H73">
        <v>11</v>
      </c>
    </row>
    <row r="74" spans="1:8" x14ac:dyDescent="0.15">
      <c r="A74" t="s">
        <v>84</v>
      </c>
      <c r="B74" t="s">
        <v>82</v>
      </c>
      <c r="C74" t="s">
        <v>83</v>
      </c>
      <c r="D74" t="s">
        <v>495</v>
      </c>
      <c r="E74">
        <v>1</v>
      </c>
      <c r="F74" t="s">
        <v>496</v>
      </c>
      <c r="G74" t="s">
        <v>497</v>
      </c>
      <c r="H74">
        <v>0</v>
      </c>
    </row>
    <row r="75" spans="1:8" x14ac:dyDescent="0.15">
      <c r="A75" t="s">
        <v>87</v>
      </c>
      <c r="B75" t="s">
        <v>82</v>
      </c>
      <c r="C75" t="s">
        <v>83</v>
      </c>
      <c r="D75" t="s">
        <v>498</v>
      </c>
      <c r="E75">
        <v>1</v>
      </c>
      <c r="F75" t="s">
        <v>499</v>
      </c>
      <c r="G75" t="s">
        <v>500</v>
      </c>
      <c r="H75">
        <v>0</v>
      </c>
    </row>
    <row r="76" spans="1:8" x14ac:dyDescent="0.15">
      <c r="A76" t="s">
        <v>85</v>
      </c>
      <c r="B76" t="s">
        <v>82</v>
      </c>
      <c r="C76" t="s">
        <v>83</v>
      </c>
      <c r="D76" t="s">
        <v>495</v>
      </c>
      <c r="E76">
        <v>2</v>
      </c>
      <c r="F76" t="s">
        <v>501</v>
      </c>
      <c r="G76" t="s">
        <v>502</v>
      </c>
      <c r="H76">
        <v>0</v>
      </c>
    </row>
    <row r="77" spans="1:8" x14ac:dyDescent="0.15">
      <c r="A77" t="s">
        <v>88</v>
      </c>
      <c r="B77" t="s">
        <v>82</v>
      </c>
      <c r="C77" t="s">
        <v>83</v>
      </c>
      <c r="D77" t="s">
        <v>498</v>
      </c>
      <c r="E77">
        <v>2</v>
      </c>
      <c r="F77" t="s">
        <v>503</v>
      </c>
      <c r="G77" t="s">
        <v>504</v>
      </c>
      <c r="H77">
        <v>0</v>
      </c>
    </row>
    <row r="78" spans="1:8" x14ac:dyDescent="0.15">
      <c r="A78" t="s">
        <v>86</v>
      </c>
      <c r="B78" t="s">
        <v>82</v>
      </c>
      <c r="C78" t="s">
        <v>83</v>
      </c>
      <c r="D78" t="s">
        <v>495</v>
      </c>
      <c r="E78">
        <v>3</v>
      </c>
      <c r="F78" t="s">
        <v>505</v>
      </c>
      <c r="G78" t="s">
        <v>506</v>
      </c>
      <c r="H78">
        <v>0</v>
      </c>
    </row>
    <row r="79" spans="1:8" x14ac:dyDescent="0.15">
      <c r="A79" t="s">
        <v>89</v>
      </c>
      <c r="B79" t="s">
        <v>82</v>
      </c>
      <c r="C79" t="s">
        <v>83</v>
      </c>
      <c r="D79" t="s">
        <v>498</v>
      </c>
      <c r="E79">
        <v>3</v>
      </c>
      <c r="F79" t="s">
        <v>507</v>
      </c>
      <c r="G79" t="s">
        <v>508</v>
      </c>
      <c r="H79">
        <v>0</v>
      </c>
    </row>
    <row r="80" spans="1:8" x14ac:dyDescent="0.15">
      <c r="A80" t="s">
        <v>91</v>
      </c>
      <c r="B80" t="s">
        <v>82</v>
      </c>
      <c r="C80" t="s">
        <v>509</v>
      </c>
      <c r="D80" t="s">
        <v>510</v>
      </c>
      <c r="E80">
        <v>1</v>
      </c>
      <c r="F80" t="s">
        <v>511</v>
      </c>
      <c r="G80" t="s">
        <v>512</v>
      </c>
      <c r="H80">
        <v>1</v>
      </c>
    </row>
    <row r="81" spans="1:8" x14ac:dyDescent="0.15">
      <c r="A81" t="s">
        <v>94</v>
      </c>
      <c r="B81" t="s">
        <v>82</v>
      </c>
      <c r="C81" t="s">
        <v>509</v>
      </c>
      <c r="D81" t="s">
        <v>513</v>
      </c>
      <c r="E81">
        <v>1</v>
      </c>
      <c r="F81" t="s">
        <v>514</v>
      </c>
      <c r="G81" t="s">
        <v>515</v>
      </c>
      <c r="H81">
        <v>0</v>
      </c>
    </row>
    <row r="82" spans="1:8" x14ac:dyDescent="0.15">
      <c r="A82" t="s">
        <v>92</v>
      </c>
      <c r="B82" t="s">
        <v>82</v>
      </c>
      <c r="C82" t="s">
        <v>509</v>
      </c>
      <c r="D82" t="s">
        <v>510</v>
      </c>
      <c r="E82">
        <v>2</v>
      </c>
      <c r="F82" t="s">
        <v>516</v>
      </c>
      <c r="G82" t="s">
        <v>517</v>
      </c>
      <c r="H82">
        <v>1</v>
      </c>
    </row>
    <row r="83" spans="1:8" x14ac:dyDescent="0.15">
      <c r="A83" t="s">
        <v>95</v>
      </c>
      <c r="B83" t="s">
        <v>82</v>
      </c>
      <c r="C83" t="s">
        <v>509</v>
      </c>
      <c r="D83" t="s">
        <v>513</v>
      </c>
      <c r="E83">
        <v>2</v>
      </c>
      <c r="F83" t="s">
        <v>518</v>
      </c>
      <c r="G83" t="s">
        <v>519</v>
      </c>
      <c r="H83">
        <v>4</v>
      </c>
    </row>
    <row r="84" spans="1:8" x14ac:dyDescent="0.15">
      <c r="A84" t="s">
        <v>93</v>
      </c>
      <c r="B84" t="s">
        <v>82</v>
      </c>
      <c r="C84" t="s">
        <v>509</v>
      </c>
      <c r="D84" t="s">
        <v>510</v>
      </c>
      <c r="E84">
        <v>3</v>
      </c>
      <c r="F84" t="s">
        <v>520</v>
      </c>
      <c r="G84" t="s">
        <v>521</v>
      </c>
      <c r="H84">
        <v>0</v>
      </c>
    </row>
    <row r="85" spans="1:8" x14ac:dyDescent="0.15">
      <c r="A85" t="s">
        <v>96</v>
      </c>
      <c r="B85" t="s">
        <v>82</v>
      </c>
      <c r="C85" t="s">
        <v>509</v>
      </c>
      <c r="D85" t="s">
        <v>513</v>
      </c>
      <c r="E85">
        <v>3</v>
      </c>
      <c r="F85" t="s">
        <v>522</v>
      </c>
      <c r="G85" t="s">
        <v>523</v>
      </c>
      <c r="H85">
        <v>4</v>
      </c>
    </row>
    <row r="86" spans="1:8" x14ac:dyDescent="0.15">
      <c r="A86" t="s">
        <v>98</v>
      </c>
      <c r="B86" t="s">
        <v>82</v>
      </c>
      <c r="C86" t="s">
        <v>97</v>
      </c>
      <c r="D86" t="s">
        <v>524</v>
      </c>
      <c r="E86">
        <v>1</v>
      </c>
      <c r="F86" t="s">
        <v>525</v>
      </c>
      <c r="G86" t="s">
        <v>526</v>
      </c>
      <c r="H86">
        <v>1</v>
      </c>
    </row>
    <row r="87" spans="1:8" x14ac:dyDescent="0.15">
      <c r="A87" t="s">
        <v>101</v>
      </c>
      <c r="B87" t="s">
        <v>82</v>
      </c>
      <c r="C87" t="s">
        <v>97</v>
      </c>
      <c r="D87" t="s">
        <v>527</v>
      </c>
      <c r="E87">
        <v>1</v>
      </c>
      <c r="F87" t="s">
        <v>528</v>
      </c>
      <c r="G87" t="s">
        <v>529</v>
      </c>
      <c r="H87">
        <v>6</v>
      </c>
    </row>
    <row r="88" spans="1:8" x14ac:dyDescent="0.15">
      <c r="A88" t="s">
        <v>99</v>
      </c>
      <c r="B88" t="s">
        <v>82</v>
      </c>
      <c r="C88" t="s">
        <v>97</v>
      </c>
      <c r="D88" t="s">
        <v>524</v>
      </c>
      <c r="E88">
        <v>2</v>
      </c>
      <c r="F88" t="s">
        <v>530</v>
      </c>
      <c r="G88" t="s">
        <v>531</v>
      </c>
      <c r="H88">
        <v>1</v>
      </c>
    </row>
    <row r="89" spans="1:8" x14ac:dyDescent="0.15">
      <c r="A89" t="s">
        <v>102</v>
      </c>
      <c r="B89" t="s">
        <v>82</v>
      </c>
      <c r="C89" t="s">
        <v>97</v>
      </c>
      <c r="D89" t="s">
        <v>527</v>
      </c>
      <c r="E89">
        <v>2</v>
      </c>
      <c r="F89" t="s">
        <v>532</v>
      </c>
      <c r="G89" t="s">
        <v>533</v>
      </c>
      <c r="H89">
        <v>0</v>
      </c>
    </row>
    <row r="90" spans="1:8" x14ac:dyDescent="0.15">
      <c r="A90" t="s">
        <v>100</v>
      </c>
      <c r="B90" t="s">
        <v>82</v>
      </c>
      <c r="C90" t="s">
        <v>97</v>
      </c>
      <c r="D90" t="s">
        <v>524</v>
      </c>
      <c r="E90">
        <v>3</v>
      </c>
      <c r="F90" t="s">
        <v>534</v>
      </c>
      <c r="G90" t="s">
        <v>535</v>
      </c>
      <c r="H90">
        <v>22</v>
      </c>
    </row>
    <row r="91" spans="1:8" x14ac:dyDescent="0.15">
      <c r="A91" t="s">
        <v>103</v>
      </c>
      <c r="B91" t="s">
        <v>82</v>
      </c>
      <c r="C91" t="s">
        <v>97</v>
      </c>
      <c r="D91" t="s">
        <v>527</v>
      </c>
      <c r="E91">
        <v>3</v>
      </c>
      <c r="F91" t="s">
        <v>536</v>
      </c>
      <c r="G91" t="s">
        <v>537</v>
      </c>
      <c r="H91">
        <v>23</v>
      </c>
    </row>
  </sheetData>
  <autoFilter ref="A1:H91" xr:uid="{00000000-0009-0000-0000-000007000000}"/>
  <pageMargins left="0.7" right="0.7" top="0.75" bottom="0.75"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4"/>
  <sheetViews>
    <sheetView topLeftCell="B1" zoomScaleNormal="100" workbookViewId="0">
      <selection activeCell="C17" sqref="C17"/>
    </sheetView>
  </sheetViews>
  <sheetFormatPr baseColWidth="10" defaultColWidth="8.83203125" defaultRowHeight="13" x14ac:dyDescent="0.15"/>
  <cols>
    <col min="1" max="1" width="32.5" bestFit="1" customWidth="1"/>
    <col min="2" max="2" width="28" bestFit="1" customWidth="1"/>
    <col min="3" max="3" width="28.83203125" bestFit="1" customWidth="1"/>
    <col min="4" max="4" width="26.5" bestFit="1" customWidth="1"/>
    <col min="5" max="5" width="28.83203125" bestFit="1" customWidth="1"/>
    <col min="6" max="6" width="32.83203125" bestFit="1" customWidth="1"/>
    <col min="7" max="7" width="32.5" bestFit="1" customWidth="1"/>
    <col min="8" max="12" width="10.5" bestFit="1" customWidth="1"/>
    <col min="13" max="18" width="10.6640625" bestFit="1" customWidth="1"/>
  </cols>
  <sheetData>
    <row r="1" spans="1:18" x14ac:dyDescent="0.15">
      <c r="A1" t="s">
        <v>32</v>
      </c>
      <c r="B1" t="s">
        <v>35</v>
      </c>
      <c r="C1" t="s">
        <v>33</v>
      </c>
      <c r="D1" t="s">
        <v>36</v>
      </c>
      <c r="E1" t="s">
        <v>34</v>
      </c>
      <c r="F1" t="s">
        <v>37</v>
      </c>
      <c r="G1" t="s">
        <v>25</v>
      </c>
      <c r="H1" t="s">
        <v>28</v>
      </c>
      <c r="I1" t="s">
        <v>26</v>
      </c>
      <c r="J1" t="s">
        <v>29</v>
      </c>
      <c r="K1" t="s">
        <v>27</v>
      </c>
      <c r="L1" t="s">
        <v>30</v>
      </c>
      <c r="M1" t="s">
        <v>18</v>
      </c>
      <c r="N1" t="s">
        <v>21</v>
      </c>
      <c r="O1" t="s">
        <v>19</v>
      </c>
      <c r="P1" t="s">
        <v>22</v>
      </c>
      <c r="Q1" t="s">
        <v>20</v>
      </c>
      <c r="R1" t="s">
        <v>23</v>
      </c>
    </row>
    <row r="3" spans="1:18" x14ac:dyDescent="0.15">
      <c r="A3" t="str">
        <f t="array" aca="1" ref="A3:A6" ca="1">INDIRECT("Ans"&amp;CHAR(65+VLOOKUP(A1,'imp-questions'!$A:$H,8,FALSE)))</f>
        <v>No</v>
      </c>
      <c r="B3" t="str">
        <f t="array" aca="1" ref="B3:B6" ca="1">INDIRECT("Ans"&amp;CHAR(65+VLOOKUP(B1,'imp-questions'!$A:$H,8,FALSE)))</f>
        <v>No</v>
      </c>
      <c r="C3" t="str">
        <f t="array" aca="1" ref="C3:C6" ca="1">INDIRECT("Ans"&amp;CHAR(65+VLOOKUP(C1,'imp-questions'!$A:$H,8,FALSE)))</f>
        <v>No</v>
      </c>
      <c r="D3" t="str">
        <f t="array" aca="1" ref="D3:D6" ca="1">INDIRECT("Ans"&amp;CHAR(65+VLOOKUP(D1,'imp-questions'!$A:$H,8,FALSE)))</f>
        <v>No</v>
      </c>
      <c r="E3" t="str">
        <f t="array" aca="1" ref="E3:E6" ca="1">INDIRECT("Ans"&amp;CHAR(65+VLOOKUP(E1,'imp-questions'!$A:$H,8,FALSE)))</f>
        <v>No</v>
      </c>
      <c r="F3" t="str">
        <f t="array" aca="1" ref="F3:F6" ca="1">INDIRECT("Ans"&amp;CHAR(65+VLOOKUP(F1,'imp-questions'!$A:$H,8,FALSE)))</f>
        <v>No</v>
      </c>
      <c r="G3" t="str">
        <f t="array" aca="1" ref="G3:G6" ca="1">INDIRECT("Ans"&amp;CHAR(65+VLOOKUP(G1,'imp-questions'!$A:$H,8,FALSE)))</f>
        <v>No</v>
      </c>
      <c r="H3" t="str">
        <f t="array" aca="1" ref="H3:H6" ca="1">INDIRECT("Ans"&amp;CHAR(65+VLOOKUP(H1,'imp-questions'!$A:$H,8,FALSE)))</f>
        <v>No</v>
      </c>
      <c r="I3" t="str">
        <f t="array" aca="1" ref="I3:I6" ca="1">INDIRECT("Ans"&amp;CHAR(65+VLOOKUP(I1,'imp-questions'!$A:$H,8,FALSE)))</f>
        <v>No</v>
      </c>
      <c r="J3" t="str">
        <f t="array" aca="1" ref="J3:J6" ca="1">INDIRECT("Ans"&amp;CHAR(65+VLOOKUP(J1,'imp-questions'!$A:$H,8,FALSE)))</f>
        <v>No</v>
      </c>
      <c r="K3" t="str">
        <f t="array" aca="1" ref="K3:K6" ca="1">INDIRECT("Ans"&amp;CHAR(65+VLOOKUP(K1,'imp-questions'!$A:$H,8,FALSE)))</f>
        <v>No</v>
      </c>
      <c r="L3" t="str">
        <f t="array" aca="1" ref="L3:L6" ca="1">INDIRECT("Ans"&amp;CHAR(65+VLOOKUP(L1,'imp-questions'!$A:$H,8,FALSE)))</f>
        <v>No</v>
      </c>
      <c r="M3" t="str">
        <f t="array" aca="1" ref="M3:M6" ca="1">INDIRECT("Ans"&amp;CHAR(65+VLOOKUP(M1,'imp-questions'!$A:$H,8,FALSE)))</f>
        <v>No</v>
      </c>
      <c r="N3" t="str">
        <f t="array" aca="1" ref="N3:N6" ca="1">INDIRECT("Ans"&amp;CHAR(65+VLOOKUP(N1,'imp-questions'!$A:$H,8,FALSE)))</f>
        <v>No</v>
      </c>
      <c r="O3" t="str">
        <f t="array" aca="1" ref="O3:O6" ca="1">INDIRECT("Ans"&amp;CHAR(65+VLOOKUP(O1,'imp-questions'!$A:$H,8,FALSE)))</f>
        <v>No</v>
      </c>
      <c r="P3" t="str">
        <f t="array" aca="1" ref="P3:P6" ca="1">INDIRECT("Ans"&amp;CHAR(65+VLOOKUP(P1,'imp-questions'!$A:$H,8,FALSE)))</f>
        <v>No</v>
      </c>
      <c r="Q3" t="str">
        <f t="array" aca="1" ref="Q3:Q6" ca="1">INDIRECT("Ans"&amp;CHAR(65+VLOOKUP(Q1,'imp-questions'!$A:$H,8,FALSE)))</f>
        <v>No</v>
      </c>
      <c r="R3" t="str">
        <f t="array" aca="1" ref="R3:R6" ca="1">INDIRECT("Ans"&amp;CHAR(65+VLOOKUP(R1,'imp-questions'!$A:$H,8,FALSE)))</f>
        <v>No</v>
      </c>
    </row>
    <row r="4" spans="1:18" x14ac:dyDescent="0.15">
      <c r="A4" t="str">
        <f ca="1"/>
        <v>Yes, some of them</v>
      </c>
      <c r="B4" t="str">
        <f ca="1"/>
        <v>Yes, for some teams</v>
      </c>
      <c r="C4" t="str">
        <f ca="1"/>
        <v>Yes, for some of the training</v>
      </c>
      <c r="D4" t="str">
        <f ca="1"/>
        <v>Yes, we started implementing it</v>
      </c>
      <c r="E4" t="str">
        <f ca="1"/>
        <v>Yes, for some of the training</v>
      </c>
      <c r="F4" t="str">
        <f ca="1"/>
        <v>Yes, we started implementing it</v>
      </c>
      <c r="G4" t="str">
        <f ca="1"/>
        <v>Yes, for some applications</v>
      </c>
      <c r="H4" t="str">
        <f ca="1"/>
        <v>Yes, for some applications</v>
      </c>
      <c r="I4" t="str">
        <f ca="1"/>
        <v>Yes, some content</v>
      </c>
      <c r="J4" t="str">
        <f ca="1"/>
        <v>Yes, for some obligations</v>
      </c>
      <c r="K4" t="str">
        <f ca="1"/>
        <v>Yes, but reporting is ad-hoc</v>
      </c>
      <c r="L4" t="str">
        <f ca="1"/>
        <v>Yes, but reporting is ad-hoc</v>
      </c>
      <c r="M4" t="str">
        <f ca="1"/>
        <v>Yes, it covers general risks</v>
      </c>
      <c r="N4" t="str">
        <f ca="1"/>
        <v>Yes, for one metrics category</v>
      </c>
      <c r="O4" t="str">
        <f ca="1"/>
        <v>Yes, we review it annually</v>
      </c>
      <c r="P4" t="str">
        <f ca="1"/>
        <v>Yes, for some of the metrics</v>
      </c>
      <c r="Q4" t="str">
        <f ca="1"/>
        <v>Yes, but review is ad-hoc</v>
      </c>
      <c r="R4" t="str">
        <f ca="1"/>
        <v>Yes, but review is ad-hoc</v>
      </c>
    </row>
    <row r="5" spans="1:18" x14ac:dyDescent="0.15">
      <c r="A5" t="str">
        <f ca="1"/>
        <v>Yes, at least half of them</v>
      </c>
      <c r="B5" t="str">
        <f ca="1"/>
        <v>Yes, for at least half of the teams</v>
      </c>
      <c r="C5" t="str">
        <f ca="1"/>
        <v>Yes, for at least half of the training</v>
      </c>
      <c r="D5" t="str">
        <f ca="1"/>
        <v>Yes, for part of the organization</v>
      </c>
      <c r="E5" t="str">
        <f ca="1"/>
        <v>Yes, for at least half of the training</v>
      </c>
      <c r="F5" t="str">
        <f ca="1"/>
        <v>Yes, for part of the organization</v>
      </c>
      <c r="G5" t="str">
        <f ca="1"/>
        <v>Yes, for at least half of the applications</v>
      </c>
      <c r="H5" t="str">
        <f ca="1"/>
        <v>Yes, for at least half of the applications</v>
      </c>
      <c r="I5" t="str">
        <f ca="1"/>
        <v>Yes, at least half of the content</v>
      </c>
      <c r="J5" t="str">
        <f ca="1"/>
        <v>Yes, for at least half of the obligations</v>
      </c>
      <c r="K5" t="str">
        <f ca="1"/>
        <v>Yes, we report at regular times</v>
      </c>
      <c r="L5" t="str">
        <f ca="1"/>
        <v>Yes, we report at regular times</v>
      </c>
      <c r="M5" t="str">
        <f ca="1"/>
        <v>Yes, it covers organization-specific risks</v>
      </c>
      <c r="N5" t="str">
        <f ca="1"/>
        <v>Yes, for two metrics categories</v>
      </c>
      <c r="O5" t="str">
        <f ca="1"/>
        <v>Yes, we consult the plan before making significant decisions</v>
      </c>
      <c r="P5" t="str">
        <f ca="1"/>
        <v>Yes, for at least half of the metrics</v>
      </c>
      <c r="Q5" t="str">
        <f ca="1"/>
        <v>Yes, we review it at regular times</v>
      </c>
      <c r="R5" t="str">
        <f ca="1"/>
        <v>Yes, we review it at regular times</v>
      </c>
    </row>
    <row r="6" spans="1:18" x14ac:dyDescent="0.15">
      <c r="A6" t="str">
        <f ca="1"/>
        <v>Yes, most or all of them</v>
      </c>
      <c r="B6" t="str">
        <f ca="1"/>
        <v>Yes, for most or all of the teams</v>
      </c>
      <c r="C6" t="str">
        <f ca="1"/>
        <v>Yes, for most or all of the training</v>
      </c>
      <c r="D6" t="str">
        <f ca="1"/>
        <v>Yes, for the entire organization</v>
      </c>
      <c r="E6" t="str">
        <f ca="1"/>
        <v>Yes, for most or all of the training</v>
      </c>
      <c r="F6" t="str">
        <f ca="1"/>
        <v>Yes, for the entire organization</v>
      </c>
      <c r="G6" t="str">
        <f ca="1"/>
        <v>Yes, for most or all of the applications</v>
      </c>
      <c r="H6" t="str">
        <f ca="1"/>
        <v>Yes, for most or all of the applications</v>
      </c>
      <c r="I6" t="str">
        <f ca="1"/>
        <v>Yes, most or all of the content</v>
      </c>
      <c r="J6" t="str">
        <f ca="1"/>
        <v>Yes, for most or all of the obligations</v>
      </c>
      <c r="K6" t="str">
        <f ca="1"/>
        <v>Yes, we report at least annually</v>
      </c>
      <c r="L6" t="str">
        <f ca="1"/>
        <v>Yes, we report at least annually</v>
      </c>
      <c r="M6" t="str">
        <f ca="1"/>
        <v>Yes, it covers risks and opportunities</v>
      </c>
      <c r="N6" t="str">
        <f ca="1"/>
        <v>Yes, for all three metrics categories</v>
      </c>
      <c r="O6" t="str">
        <f ca="1"/>
        <v>Yes, we consult the plan often, and it is aligned with our application security strategy</v>
      </c>
      <c r="P6" t="str">
        <f ca="1"/>
        <v>Yes, for most or all of the metrics</v>
      </c>
      <c r="Q6" t="str">
        <f ca="1"/>
        <v>Yes, we review it at least annually</v>
      </c>
      <c r="R6" t="str">
        <f ca="1"/>
        <v>Yes, we review it at least annually</v>
      </c>
    </row>
    <row r="8" spans="1:18" x14ac:dyDescent="0.15">
      <c r="A8" t="s">
        <v>54</v>
      </c>
      <c r="B8" t="s">
        <v>57</v>
      </c>
      <c r="C8" t="s">
        <v>55</v>
      </c>
      <c r="D8" t="s">
        <v>58</v>
      </c>
      <c r="E8" t="s">
        <v>56</v>
      </c>
      <c r="F8" t="s">
        <v>59</v>
      </c>
      <c r="G8" t="s">
        <v>47</v>
      </c>
      <c r="H8" t="s">
        <v>50</v>
      </c>
      <c r="I8" t="s">
        <v>48</v>
      </c>
      <c r="J8" t="s">
        <v>51</v>
      </c>
      <c r="K8" t="s">
        <v>49</v>
      </c>
      <c r="L8" t="s">
        <v>52</v>
      </c>
      <c r="M8" t="s">
        <v>40</v>
      </c>
      <c r="N8" t="s">
        <v>43</v>
      </c>
      <c r="O8" t="s">
        <v>41</v>
      </c>
      <c r="P8" t="s">
        <v>44</v>
      </c>
      <c r="Q8" t="s">
        <v>42</v>
      </c>
      <c r="R8" t="s">
        <v>45</v>
      </c>
    </row>
    <row r="10" spans="1:18" x14ac:dyDescent="0.15">
      <c r="A10" t="str">
        <f t="array" aca="1" ref="A10:A13" ca="1">INDIRECT("Ans"&amp;CHAR(65+VLOOKUP(A8,'imp-questions'!$A:$H,8,FALSE)))</f>
        <v>No</v>
      </c>
      <c r="B10" t="str">
        <f t="array" aca="1" ref="B10:B13" ca="1">INDIRECT("Ans"&amp;CHAR(65+VLOOKUP(B8,'imp-questions'!$A:$H,8,FALSE)))</f>
        <v>No</v>
      </c>
      <c r="C10" t="str">
        <f t="array" aca="1" ref="C10:C13" ca="1">INDIRECT("Ans"&amp;CHAR(65+VLOOKUP(C8,'imp-questions'!$A:$H,8,FALSE)))</f>
        <v>No</v>
      </c>
      <c r="D10" t="str">
        <f t="array" aca="1" ref="D10:D13" ca="1">INDIRECT("Ans"&amp;CHAR(65+VLOOKUP(D8,'imp-questions'!$A:$H,8,FALSE)))</f>
        <v>No</v>
      </c>
      <c r="E10" t="str">
        <f t="array" aca="1" ref="E10:E13" ca="1">INDIRECT("Ans"&amp;CHAR(65+VLOOKUP(E8,'imp-questions'!$A:$H,8,FALSE)))</f>
        <v>No</v>
      </c>
      <c r="F10" t="str">
        <f t="array" aca="1" ref="F10:F13" ca="1">INDIRECT("Ans"&amp;CHAR(65+VLOOKUP(F8,'imp-questions'!$A:$H,8,FALSE)))</f>
        <v>No</v>
      </c>
      <c r="G10" t="str">
        <f t="array" aca="1" ref="G10:G13" ca="1">INDIRECT("Ans"&amp;CHAR(65+VLOOKUP(G8,'imp-questions'!$A:$H,8,FALSE)))</f>
        <v>No</v>
      </c>
      <c r="H10" t="str">
        <f t="array" aca="1" ref="H10:H13" ca="1">INDIRECT("Ans"&amp;CHAR(65+VLOOKUP(H8,'imp-questions'!$A:$H,8,FALSE)))</f>
        <v>No</v>
      </c>
      <c r="I10" t="str">
        <f t="array" aca="1" ref="I10:I13" ca="1">INDIRECT("Ans"&amp;CHAR(65+VLOOKUP(I8,'imp-questions'!$A:$H,8,FALSE)))</f>
        <v>No</v>
      </c>
      <c r="J10" t="str">
        <f t="array" aca="1" ref="J10:J13" ca="1">INDIRECT("Ans"&amp;CHAR(65+VLOOKUP(J8,'imp-questions'!$A:$H,8,FALSE)))</f>
        <v>No</v>
      </c>
      <c r="K10" t="str">
        <f t="array" aca="1" ref="K10:K13" ca="1">INDIRECT("Ans"&amp;CHAR(65+VLOOKUP(K8,'imp-questions'!$A:$H,8,FALSE)))</f>
        <v>No</v>
      </c>
      <c r="L10" t="str">
        <f t="array" aca="1" ref="L10:L13" ca="1">INDIRECT("Ans"&amp;CHAR(65+VLOOKUP(L8,'imp-questions'!$A:$H,8,FALSE)))</f>
        <v>No</v>
      </c>
      <c r="M10" t="str">
        <f t="array" aca="1" ref="M10:M13" ca="1">INDIRECT("Ans"&amp;CHAR(65+VLOOKUP(M8,'imp-questions'!$A:$H,8,FALSE)))</f>
        <v>No</v>
      </c>
      <c r="N10" t="str">
        <f t="array" aca="1" ref="N10:N13" ca="1">INDIRECT("Ans"&amp;CHAR(65+VLOOKUP(N8,'imp-questions'!$A:$H,8,FALSE)))</f>
        <v>No</v>
      </c>
      <c r="O10" t="str">
        <f t="array" aca="1" ref="O10:O13" ca="1">INDIRECT("Ans"&amp;CHAR(65+VLOOKUP(O8,'imp-questions'!$A:$H,8,FALSE)))</f>
        <v>No</v>
      </c>
      <c r="P10" t="str">
        <f t="array" aca="1" ref="P10:P13" ca="1">INDIRECT("Ans"&amp;CHAR(65+VLOOKUP(P8,'imp-questions'!$A:$H,8,FALSE)))</f>
        <v>No</v>
      </c>
      <c r="Q10" t="str">
        <f t="array" aca="1" ref="Q10:Q13" ca="1">INDIRECT("Ans"&amp;CHAR(65+VLOOKUP(Q8,'imp-questions'!$A:$H,8,FALSE)))</f>
        <v>No</v>
      </c>
      <c r="R10" t="str">
        <f t="array" aca="1" ref="R10:R13" ca="1">INDIRECT("Ans"&amp;CHAR(65+VLOOKUP(R8,'imp-questions'!$A:$H,8,FALSE)))</f>
        <v>No</v>
      </c>
    </row>
    <row r="11" spans="1:18" x14ac:dyDescent="0.15">
      <c r="A11" t="str">
        <f ca="1"/>
        <v>Yes, for some applications</v>
      </c>
      <c r="B11" t="str">
        <f ca="1"/>
        <v>Yes, for some applications</v>
      </c>
      <c r="C11" t="str">
        <f ca="1"/>
        <v>Yes, for some applications</v>
      </c>
      <c r="D11" t="str">
        <f ca="1"/>
        <v>Yes, for some of the technology domains</v>
      </c>
      <c r="E11" t="str">
        <f ca="1"/>
        <v>Yes, for some applications</v>
      </c>
      <c r="F11" t="str">
        <f ca="1"/>
        <v>Yes, for some applications</v>
      </c>
      <c r="G11" t="str">
        <f ca="1"/>
        <v>Yes, for some applications</v>
      </c>
      <c r="H11" t="str">
        <f ca="1"/>
        <v>Yes, some of the time</v>
      </c>
      <c r="I11" t="str">
        <f ca="1"/>
        <v>Yes, some of the time</v>
      </c>
      <c r="J11" t="str">
        <f ca="1"/>
        <v>Yes, some of the time</v>
      </c>
      <c r="K11" t="str">
        <f ca="1"/>
        <v>Yes, for some applications</v>
      </c>
      <c r="L11" t="str">
        <f ca="1"/>
        <v>Yes, some of the time</v>
      </c>
      <c r="M11" t="str">
        <f ca="1"/>
        <v>Yes, some of them</v>
      </c>
      <c r="N11" t="str">
        <f ca="1"/>
        <v>Yes, some of them</v>
      </c>
      <c r="O11" t="str">
        <f ca="1"/>
        <v>Yes, for some applications</v>
      </c>
      <c r="P11" t="str">
        <f ca="1"/>
        <v>Yes, for some applications</v>
      </c>
      <c r="Q11" t="str">
        <f ca="1"/>
        <v>Yes, sporadically</v>
      </c>
      <c r="R11" t="str">
        <f ca="1"/>
        <v>Yes, but review is ad-hoc</v>
      </c>
    </row>
    <row r="12" spans="1:18" x14ac:dyDescent="0.15">
      <c r="A12" t="str">
        <f ca="1"/>
        <v>Yes, for at least half of the applications</v>
      </c>
      <c r="B12" t="str">
        <f ca="1"/>
        <v>Yes, for at least half of the applications</v>
      </c>
      <c r="C12" t="str">
        <f ca="1"/>
        <v>Yes, for at least half of the applications</v>
      </c>
      <c r="D12" t="str">
        <f ca="1"/>
        <v>Yes, for at least half of the technology domains</v>
      </c>
      <c r="E12" t="str">
        <f ca="1"/>
        <v>Yes, for at least half of the applications</v>
      </c>
      <c r="F12" t="str">
        <f ca="1"/>
        <v>Yes, for at least half of the applications</v>
      </c>
      <c r="G12" t="str">
        <f ca="1"/>
        <v>Yes, for at least half of the applications</v>
      </c>
      <c r="H12" t="str">
        <f ca="1"/>
        <v>Yes, at least half of the time</v>
      </c>
      <c r="I12" t="str">
        <f ca="1"/>
        <v>Yes, at least half of the time</v>
      </c>
      <c r="J12" t="str">
        <f ca="1"/>
        <v>Yes, at least half of the time</v>
      </c>
      <c r="K12" t="str">
        <f ca="1"/>
        <v>Yes, for at least half of the applications</v>
      </c>
      <c r="L12" t="str">
        <f ca="1"/>
        <v>Yes, at least half of the time</v>
      </c>
      <c r="M12" t="str">
        <f ca="1"/>
        <v>Yes, at least half of them</v>
      </c>
      <c r="N12" t="str">
        <f ca="1"/>
        <v>Yes, at least half of them</v>
      </c>
      <c r="O12" t="str">
        <f ca="1"/>
        <v>Yes, for at least half of the applications</v>
      </c>
      <c r="P12" t="str">
        <f ca="1"/>
        <v>Yes, for at least half of the applications</v>
      </c>
      <c r="Q12" t="str">
        <f ca="1"/>
        <v>Yes, upon change of the application</v>
      </c>
      <c r="R12" t="str">
        <f ca="1"/>
        <v>Yes, we review it at regular times</v>
      </c>
    </row>
    <row r="13" spans="1:18" x14ac:dyDescent="0.15">
      <c r="A13" t="str">
        <f ca="1"/>
        <v>Yes, for most or all of the applications</v>
      </c>
      <c r="B13" t="str">
        <f ca="1"/>
        <v>Yes, for most or all of the applications</v>
      </c>
      <c r="C13" t="str">
        <f ca="1"/>
        <v>Yes, for most or all of the applications</v>
      </c>
      <c r="D13" t="str">
        <f ca="1"/>
        <v>Yes, for most or all of the technology domains</v>
      </c>
      <c r="E13" t="str">
        <f ca="1"/>
        <v>Yes, for most or all of the applications</v>
      </c>
      <c r="F13" t="str">
        <f ca="1"/>
        <v>Yes, for most or all of the applications</v>
      </c>
      <c r="G13" t="str">
        <f ca="1"/>
        <v>Yes, for most or all of the applications</v>
      </c>
      <c r="H13" t="str">
        <f ca="1"/>
        <v>Yes, most or all of the time</v>
      </c>
      <c r="I13" t="str">
        <f ca="1"/>
        <v>Yes, most or all of the time</v>
      </c>
      <c r="J13" t="str">
        <f ca="1"/>
        <v>Yes, most or all of the time</v>
      </c>
      <c r="K13" t="str">
        <f ca="1"/>
        <v>Yes, for most or all of the applications</v>
      </c>
      <c r="L13" t="str">
        <f ca="1"/>
        <v>Yes, most or all of the time</v>
      </c>
      <c r="M13" t="str">
        <f ca="1"/>
        <v>Yes, most or all of them</v>
      </c>
      <c r="N13" t="str">
        <f ca="1"/>
        <v>Yes, most or all of them</v>
      </c>
      <c r="O13" t="str">
        <f ca="1"/>
        <v>Yes, for most or all of the applications</v>
      </c>
      <c r="P13" t="str">
        <f ca="1"/>
        <v>Yes, for most or all of the applications</v>
      </c>
      <c r="Q13" t="str">
        <f ca="1"/>
        <v>Yes, at least annually</v>
      </c>
      <c r="R13" t="str">
        <f ca="1"/>
        <v>Yes, we review it at least annually</v>
      </c>
    </row>
    <row r="15" spans="1:18" x14ac:dyDescent="0.15">
      <c r="A15" t="s">
        <v>76</v>
      </c>
      <c r="B15" t="s">
        <v>79</v>
      </c>
      <c r="C15" t="s">
        <v>77</v>
      </c>
      <c r="D15" t="s">
        <v>80</v>
      </c>
      <c r="E15" t="s">
        <v>78</v>
      </c>
      <c r="F15" t="s">
        <v>81</v>
      </c>
      <c r="G15" t="s">
        <v>62</v>
      </c>
      <c r="H15" t="s">
        <v>65</v>
      </c>
      <c r="I15" t="s">
        <v>63</v>
      </c>
      <c r="J15" t="s">
        <v>66</v>
      </c>
      <c r="K15" t="s">
        <v>64</v>
      </c>
      <c r="L15" t="s">
        <v>67</v>
      </c>
      <c r="M15" t="s">
        <v>69</v>
      </c>
      <c r="N15" t="s">
        <v>72</v>
      </c>
      <c r="O15" t="s">
        <v>70</v>
      </c>
      <c r="P15" t="s">
        <v>73</v>
      </c>
      <c r="Q15" t="s">
        <v>71</v>
      </c>
      <c r="R15" t="s">
        <v>74</v>
      </c>
    </row>
    <row r="17" spans="1:18" x14ac:dyDescent="0.15">
      <c r="A17" t="str">
        <f t="array" aca="1" ref="A17:A20" ca="1">INDIRECT("Ans"&amp;CHAR(65+VLOOKUP(A15,'imp-questions'!$A:$H,8,FALSE)))</f>
        <v>No</v>
      </c>
      <c r="B17" t="str">
        <f t="array" aca="1" ref="B17:B20" ca="1">INDIRECT("Ans"&amp;CHAR(65+VLOOKUP(B15,'imp-questions'!$A:$H,8,FALSE)))</f>
        <v>No</v>
      </c>
      <c r="C17" t="str">
        <f t="array" aca="1" ref="C17:C20" ca="1">INDIRECT("Ans"&amp;CHAR(65+VLOOKUP(C15,'imp-questions'!$A:$H,8,FALSE)))</f>
        <v>No</v>
      </c>
      <c r="D17" t="str">
        <f t="array" aca="1" ref="D17:D20" ca="1">INDIRECT("Ans"&amp;CHAR(65+VLOOKUP(D15,'imp-questions'!$A:$H,8,FALSE)))</f>
        <v>No</v>
      </c>
      <c r="E17" t="str">
        <f t="array" aca="1" ref="E17:E20" ca="1">INDIRECT("Ans"&amp;CHAR(65+VLOOKUP(E15,'imp-questions'!$A:$H,8,FALSE)))</f>
        <v>No</v>
      </c>
      <c r="F17" t="str">
        <f t="array" aca="1" ref="F17:F20" ca="1">INDIRECT("Ans"&amp;CHAR(65+VLOOKUP(F15,'imp-questions'!$A:$H,8,FALSE)))</f>
        <v>No</v>
      </c>
      <c r="G17" t="str">
        <f t="array" aca="1" ref="G17:G20" ca="1">INDIRECT("Ans"&amp;CHAR(65+VLOOKUP(G15,'imp-questions'!$A:$H,8,FALSE)))</f>
        <v>No</v>
      </c>
      <c r="H17" t="str">
        <f t="array" aca="1" ref="H17:H20" ca="1">INDIRECT("Ans"&amp;CHAR(65+VLOOKUP(H15,'imp-questions'!$A:$H,8,FALSE)))</f>
        <v>No</v>
      </c>
      <c r="I17" t="str">
        <f t="array" aca="1" ref="I17:I20" ca="1">INDIRECT("Ans"&amp;CHAR(65+VLOOKUP(I15,'imp-questions'!$A:$H,8,FALSE)))</f>
        <v>No</v>
      </c>
      <c r="J17" t="str">
        <f t="array" aca="1" ref="J17:J20" ca="1">INDIRECT("Ans"&amp;CHAR(65+VLOOKUP(J15,'imp-questions'!$A:$H,8,FALSE)))</f>
        <v>No</v>
      </c>
      <c r="K17" t="str">
        <f t="array" aca="1" ref="K17:K20" ca="1">INDIRECT("Ans"&amp;CHAR(65+VLOOKUP(K15,'imp-questions'!$A:$H,8,FALSE)))</f>
        <v>No</v>
      </c>
      <c r="L17" t="str">
        <f t="array" aca="1" ref="L17:L20" ca="1">INDIRECT("Ans"&amp;CHAR(65+VLOOKUP(L15,'imp-questions'!$A:$H,8,FALSE)))</f>
        <v>No</v>
      </c>
      <c r="M17" t="str">
        <f t="array" aca="1" ref="M17:M20" ca="1">INDIRECT("Ans"&amp;CHAR(65+VLOOKUP(M15,'imp-questions'!$A:$H,8,FALSE)))</f>
        <v>No</v>
      </c>
      <c r="N17" t="str">
        <f t="array" aca="1" ref="N17:N20" ca="1">INDIRECT("Ans"&amp;CHAR(65+VLOOKUP(N15,'imp-questions'!$A:$H,8,FALSE)))</f>
        <v>No</v>
      </c>
      <c r="O17" t="str">
        <f t="array" aca="1" ref="O17:O20" ca="1">INDIRECT("Ans"&amp;CHAR(65+VLOOKUP(O15,'imp-questions'!$A:$H,8,FALSE)))</f>
        <v>No</v>
      </c>
      <c r="P17" t="str">
        <f t="array" aca="1" ref="P17:P20" ca="1">INDIRECT("Ans"&amp;CHAR(65+VLOOKUP(P15,'imp-questions'!$A:$H,8,FALSE)))</f>
        <v>No</v>
      </c>
      <c r="Q17" t="str">
        <f t="array" aca="1" ref="Q17:Q20" ca="1">INDIRECT("Ans"&amp;CHAR(65+VLOOKUP(Q15,'imp-questions'!$A:$H,8,FALSE)))</f>
        <v>No</v>
      </c>
      <c r="R17" t="str">
        <f t="array" aca="1" ref="R17:R20" ca="1">INDIRECT("Ans"&amp;CHAR(65+VLOOKUP(R15,'imp-questions'!$A:$H,8,FALSE)))</f>
        <v>No</v>
      </c>
    </row>
    <row r="18" spans="1:18" x14ac:dyDescent="0.15">
      <c r="A18" t="str">
        <f ca="1"/>
        <v>Yes, for some applications</v>
      </c>
      <c r="B18" t="str">
        <f ca="1"/>
        <v>Yes, for some applications</v>
      </c>
      <c r="C18" t="str">
        <f ca="1"/>
        <v>Yes, for some applications</v>
      </c>
      <c r="D18" t="str">
        <f ca="1"/>
        <v>Yes, for some applications</v>
      </c>
      <c r="E18" t="str">
        <f ca="1"/>
        <v>Yes, for some applications</v>
      </c>
      <c r="F18" t="str">
        <f ca="1"/>
        <v>Yes, for some applications</v>
      </c>
      <c r="G18" t="str">
        <f ca="1"/>
        <v>Yes, for some applications</v>
      </c>
      <c r="H18" t="str">
        <f ca="1"/>
        <v>Yes, for some applications</v>
      </c>
      <c r="I18" t="str">
        <f ca="1"/>
        <v>Yes, for some applications</v>
      </c>
      <c r="J18" t="str">
        <f ca="1"/>
        <v>Yes, for some applications</v>
      </c>
      <c r="K18" t="str">
        <f ca="1"/>
        <v>Yes, for some applications</v>
      </c>
      <c r="L18" t="str">
        <f ca="1"/>
        <v>Yes, for some applications</v>
      </c>
      <c r="M18" t="str">
        <f ca="1"/>
        <v>Yes, for some applications</v>
      </c>
      <c r="N18" t="str">
        <f ca="1"/>
        <v>Yes, for some applications</v>
      </c>
      <c r="O18" t="str">
        <f ca="1"/>
        <v>Yes, for some applications</v>
      </c>
      <c r="P18" t="str">
        <f ca="1"/>
        <v>Yes, for some applications</v>
      </c>
      <c r="Q18" t="str">
        <f ca="1"/>
        <v>Yes, for some applications</v>
      </c>
      <c r="R18" t="str">
        <f ca="1"/>
        <v>Yes, for some applications</v>
      </c>
    </row>
    <row r="19" spans="1:18" x14ac:dyDescent="0.15">
      <c r="A19" t="str">
        <f ca="1"/>
        <v>Yes, for at least half of the applications</v>
      </c>
      <c r="B19" t="str">
        <f ca="1"/>
        <v>Yes, for at least half of the applications</v>
      </c>
      <c r="C19" t="str">
        <f ca="1"/>
        <v>Yes, for at least half of the applications</v>
      </c>
      <c r="D19" t="str">
        <f ca="1"/>
        <v>Yes, for at least half of the applications</v>
      </c>
      <c r="E19" t="str">
        <f ca="1"/>
        <v>Yes, for at least half of the applications</v>
      </c>
      <c r="F19" t="str">
        <f ca="1"/>
        <v>Yes, for at least half of the applications</v>
      </c>
      <c r="G19" t="str">
        <f ca="1"/>
        <v>Yes, for at least half of the applications</v>
      </c>
      <c r="H19" t="str">
        <f ca="1"/>
        <v>Yes, for at least half of the applications</v>
      </c>
      <c r="I19" t="str">
        <f ca="1"/>
        <v>Yes, for at least half of the applications</v>
      </c>
      <c r="J19" t="str">
        <f ca="1"/>
        <v>Yes, for at least half of the applications</v>
      </c>
      <c r="K19" t="str">
        <f ca="1"/>
        <v>Yes, for at least half of the applications</v>
      </c>
      <c r="L19" t="str">
        <f ca="1"/>
        <v>Yes, for at least half of the applications</v>
      </c>
      <c r="M19" t="str">
        <f ca="1"/>
        <v>Yes, for at least half of the applications</v>
      </c>
      <c r="N19" t="str">
        <f ca="1"/>
        <v>Yes, for at least half of the applications</v>
      </c>
      <c r="O19" t="str">
        <f ca="1"/>
        <v>Yes, for at least half of the applications</v>
      </c>
      <c r="P19" t="str">
        <f ca="1"/>
        <v>Yes, for at least half of the applications</v>
      </c>
      <c r="Q19" t="str">
        <f ca="1"/>
        <v>Yes, for at least half of the applications</v>
      </c>
      <c r="R19" t="str">
        <f ca="1"/>
        <v>Yes, for at least half of the applications</v>
      </c>
    </row>
    <row r="20" spans="1:18" x14ac:dyDescent="0.15">
      <c r="A20" t="str">
        <f ca="1"/>
        <v>Yes, for most or all of the applications</v>
      </c>
      <c r="B20" t="str">
        <f ca="1"/>
        <v>Yes, for most or all of the applications</v>
      </c>
      <c r="C20" t="str">
        <f ca="1"/>
        <v>Yes, for most or all of the applications</v>
      </c>
      <c r="D20" t="str">
        <f ca="1"/>
        <v>Yes, for most or all of the applications</v>
      </c>
      <c r="E20" t="str">
        <f ca="1"/>
        <v>Yes, for most or all of the applications</v>
      </c>
      <c r="F20" t="str">
        <f ca="1"/>
        <v>Yes, for most or all of the applications</v>
      </c>
      <c r="G20" t="str">
        <f ca="1"/>
        <v>Yes, for most or all of the applications</v>
      </c>
      <c r="H20" t="str">
        <f ca="1"/>
        <v>Yes, for most or all of the applications</v>
      </c>
      <c r="I20" t="str">
        <f ca="1"/>
        <v>Yes, for most or all of the applications</v>
      </c>
      <c r="J20" t="str">
        <f ca="1"/>
        <v>Yes, for most or all of the applications</v>
      </c>
      <c r="K20" t="str">
        <f ca="1"/>
        <v>Yes, for most or all of the applications</v>
      </c>
      <c r="L20" t="str">
        <f ca="1"/>
        <v>Yes, for most or all of the applications</v>
      </c>
      <c r="M20" t="str">
        <f ca="1"/>
        <v>Yes, for most or all of the applications</v>
      </c>
      <c r="N20" t="str">
        <f ca="1"/>
        <v>Yes, for most or all of the applications</v>
      </c>
      <c r="O20" t="str">
        <f ca="1"/>
        <v>Yes, for most or all of the applications</v>
      </c>
      <c r="P20" t="str">
        <f ca="1"/>
        <v>Yes, for most or all of the applications</v>
      </c>
      <c r="Q20" t="str">
        <f ca="1"/>
        <v>Yes, for most or all of the applications</v>
      </c>
      <c r="R20" t="str">
        <f ca="1"/>
        <v>Yes, for most or all of the applications</v>
      </c>
    </row>
    <row r="22" spans="1:18" x14ac:dyDescent="0.15">
      <c r="A22" t="s">
        <v>84</v>
      </c>
      <c r="B22" t="s">
        <v>87</v>
      </c>
      <c r="C22" t="s">
        <v>85</v>
      </c>
      <c r="D22" t="s">
        <v>88</v>
      </c>
      <c r="E22" t="s">
        <v>86</v>
      </c>
      <c r="F22" t="s">
        <v>89</v>
      </c>
      <c r="G22" t="s">
        <v>91</v>
      </c>
      <c r="H22" t="s">
        <v>94</v>
      </c>
      <c r="I22" t="s">
        <v>92</v>
      </c>
      <c r="J22" t="s">
        <v>95</v>
      </c>
      <c r="K22" t="s">
        <v>93</v>
      </c>
      <c r="L22" t="s">
        <v>96</v>
      </c>
      <c r="M22" t="s">
        <v>98</v>
      </c>
      <c r="N22" t="s">
        <v>101</v>
      </c>
      <c r="O22" t="s">
        <v>99</v>
      </c>
      <c r="P22" t="s">
        <v>102</v>
      </c>
      <c r="Q22" t="s">
        <v>100</v>
      </c>
      <c r="R22" t="s">
        <v>103</v>
      </c>
    </row>
    <row r="24" spans="1:18" x14ac:dyDescent="0.15">
      <c r="A24" t="str">
        <f t="array" aca="1" ref="A24:A27" ca="1">INDIRECT("Ans"&amp;CHAR(65+VLOOKUP(A22,'imp-questions'!$A:$H,8,FALSE)))</f>
        <v>No</v>
      </c>
      <c r="B24" t="str">
        <f t="array" aca="1" ref="B24:B27" ca="1">INDIRECT("Ans"&amp;CHAR(65+VLOOKUP(B22,'imp-questions'!$A:$H,8,FALSE)))</f>
        <v>No</v>
      </c>
      <c r="C24" t="str">
        <f t="array" aca="1" ref="C24:C27" ca="1">INDIRECT("Ans"&amp;CHAR(65+VLOOKUP(C22,'imp-questions'!$A:$H,8,FALSE)))</f>
        <v>No</v>
      </c>
      <c r="D24" t="str">
        <f t="array" aca="1" ref="D24:D27" ca="1">INDIRECT("Ans"&amp;CHAR(65+VLOOKUP(D22,'imp-questions'!$A:$H,8,FALSE)))</f>
        <v>No</v>
      </c>
      <c r="E24" t="str">
        <f t="array" aca="1" ref="E24:E27" ca="1">INDIRECT("Ans"&amp;CHAR(65+VLOOKUP(E22,'imp-questions'!$A:$H,8,FALSE)))</f>
        <v>No</v>
      </c>
      <c r="F24" t="str">
        <f t="array" aca="1" ref="F24:F27" ca="1">INDIRECT("Ans"&amp;CHAR(65+VLOOKUP(F22,'imp-questions'!$A:$H,8,FALSE)))</f>
        <v>No</v>
      </c>
      <c r="G24" t="str">
        <f t="array" aca="1" ref="G24:G27" ca="1">INDIRECT("Ans"&amp;CHAR(65+VLOOKUP(G22,'imp-questions'!$A:$H,8,FALSE)))</f>
        <v>No</v>
      </c>
      <c r="H24" t="str">
        <f t="array" aca="1" ref="H24:H27" ca="1">INDIRECT("Ans"&amp;CHAR(65+VLOOKUP(H22,'imp-questions'!$A:$H,8,FALSE)))</f>
        <v>No</v>
      </c>
      <c r="I24" t="str">
        <f t="array" aca="1" ref="I24:I27" ca="1">INDIRECT("Ans"&amp;CHAR(65+VLOOKUP(I22,'imp-questions'!$A:$H,8,FALSE)))</f>
        <v>No</v>
      </c>
      <c r="J24" t="str">
        <f t="array" aca="1" ref="J24:J27" ca="1">INDIRECT("Ans"&amp;CHAR(65+VLOOKUP(J22,'imp-questions'!$A:$H,8,FALSE)))</f>
        <v>No</v>
      </c>
      <c r="K24" t="str">
        <f t="array" aca="1" ref="K24:K27" ca="1">INDIRECT("Ans"&amp;CHAR(65+VLOOKUP(K22,'imp-questions'!$A:$H,8,FALSE)))</f>
        <v>No</v>
      </c>
      <c r="L24" t="str">
        <f t="array" aca="1" ref="L24:L27" ca="1">INDIRECT("Ans"&amp;CHAR(65+VLOOKUP(L22,'imp-questions'!$A:$H,8,FALSE)))</f>
        <v>No</v>
      </c>
      <c r="M24" t="str">
        <f t="array" aca="1" ref="M24:M27" ca="1">INDIRECT("Ans"&amp;CHAR(65+VLOOKUP(M22,'imp-questions'!$A:$H,8,FALSE)))</f>
        <v>No</v>
      </c>
      <c r="N24" t="str">
        <f t="array" aca="1" ref="N24:N27" ca="1">INDIRECT("Ans"&amp;CHAR(65+VLOOKUP(N22,'imp-questions'!$A:$H,8,FALSE)))</f>
        <v>No</v>
      </c>
      <c r="O24" t="str">
        <f t="array" aca="1" ref="O24:O27" ca="1">INDIRECT("Ans"&amp;CHAR(65+VLOOKUP(O22,'imp-questions'!$A:$H,8,FALSE)))</f>
        <v>No</v>
      </c>
      <c r="P24" t="str">
        <f t="array" aca="1" ref="P24:P27" ca="1">INDIRECT("Ans"&amp;CHAR(65+VLOOKUP(P22,'imp-questions'!$A:$H,8,FALSE)))</f>
        <v>No</v>
      </c>
      <c r="Q24" t="str">
        <f t="array" aca="1" ref="Q24:Q27" ca="1">INDIRECT("Ans"&amp;CHAR(65+VLOOKUP(Q22,'imp-questions'!$A:$H,8,FALSE)))</f>
        <v>No</v>
      </c>
      <c r="R24" t="str">
        <f t="array" aca="1" ref="R24:R27" ca="1">INDIRECT("Ans"&amp;CHAR(65+VLOOKUP(R22,'imp-questions'!$A:$H,8,FALSE)))</f>
        <v>No</v>
      </c>
    </row>
    <row r="25" spans="1:18" x14ac:dyDescent="0.15">
      <c r="A25" t="str">
        <f ca="1"/>
        <v>Yes, for some applications</v>
      </c>
      <c r="B25" t="str">
        <f ca="1"/>
        <v>Yes, for some applications</v>
      </c>
      <c r="C25" t="str">
        <f ca="1"/>
        <v>Yes, for some applications</v>
      </c>
      <c r="D25" t="str">
        <f ca="1"/>
        <v>Yes, for some applications</v>
      </c>
      <c r="E25" t="str">
        <f ca="1"/>
        <v>Yes, for some applications</v>
      </c>
      <c r="F25" t="str">
        <f ca="1"/>
        <v>Yes, for some applications</v>
      </c>
      <c r="G25" t="str">
        <f ca="1"/>
        <v>Yes, some of them</v>
      </c>
      <c r="H25" t="str">
        <f ca="1"/>
        <v>Yes, for some applications</v>
      </c>
      <c r="I25" t="str">
        <f ca="1"/>
        <v>Yes, some of them</v>
      </c>
      <c r="J25" t="str">
        <f ca="1"/>
        <v>Yes, some of the time</v>
      </c>
      <c r="K25" t="str">
        <f ca="1"/>
        <v>Yes, for some applications</v>
      </c>
      <c r="L25" t="str">
        <f ca="1"/>
        <v>Yes, some of the time</v>
      </c>
      <c r="M25" t="str">
        <f ca="1"/>
        <v>Yes, some of them</v>
      </c>
      <c r="N25" t="str">
        <f ca="1"/>
        <v>Yes, for some components</v>
      </c>
      <c r="O25" t="str">
        <f ca="1"/>
        <v>Yes, some of them</v>
      </c>
      <c r="P25" t="str">
        <f ca="1"/>
        <v>Yes, for some applications</v>
      </c>
      <c r="Q25" t="str">
        <f ca="1"/>
        <v>Yes, some of it</v>
      </c>
      <c r="R25" t="str">
        <f ca="1"/>
        <v>Yes, but we improve it ad-hoc</v>
      </c>
    </row>
    <row r="26" spans="1:18" x14ac:dyDescent="0.15">
      <c r="A26" t="str">
        <f ca="1"/>
        <v>Yes, for at least half of the applications</v>
      </c>
      <c r="B26" t="str">
        <f ca="1"/>
        <v>Yes, for at least half of the applications</v>
      </c>
      <c r="C26" t="str">
        <f ca="1"/>
        <v>Yes, for at least half of the applications</v>
      </c>
      <c r="D26" t="str">
        <f ca="1"/>
        <v>Yes, for at least half of the applications</v>
      </c>
      <c r="E26" t="str">
        <f ca="1"/>
        <v>Yes, for at least half of the applications</v>
      </c>
      <c r="F26" t="str">
        <f ca="1"/>
        <v>Yes, for at least half of the applications</v>
      </c>
      <c r="G26" t="str">
        <f ca="1"/>
        <v>Yes, at least half of them</v>
      </c>
      <c r="H26" t="str">
        <f ca="1"/>
        <v>Yes, for at least half of the applications</v>
      </c>
      <c r="I26" t="str">
        <f ca="1"/>
        <v>Yes, at least half of them</v>
      </c>
      <c r="J26" t="str">
        <f ca="1"/>
        <v>Yes, at least half of the time</v>
      </c>
      <c r="K26" t="str">
        <f ca="1"/>
        <v>Yes, for at least half of the applications</v>
      </c>
      <c r="L26" t="str">
        <f ca="1"/>
        <v>Yes, at least half of the time</v>
      </c>
      <c r="M26" t="str">
        <f ca="1"/>
        <v>Yes, at least half of them</v>
      </c>
      <c r="N26" t="str">
        <f ca="1"/>
        <v>Yes, for at least half of the components</v>
      </c>
      <c r="O26" t="str">
        <f ca="1"/>
        <v>Yes, at least half of them</v>
      </c>
      <c r="P26" t="str">
        <f ca="1"/>
        <v>Yes, for at least half of the applications</v>
      </c>
      <c r="Q26" t="str">
        <f ca="1"/>
        <v>Yes, at least half of it</v>
      </c>
      <c r="R26" t="str">
        <f ca="1"/>
        <v>Yes, we improve it at regular times</v>
      </c>
    </row>
    <row r="27" spans="1:18" x14ac:dyDescent="0.15">
      <c r="A27" t="str">
        <f ca="1"/>
        <v>Yes, for most or all of the applications</v>
      </c>
      <c r="B27" t="str">
        <f ca="1"/>
        <v>Yes, for most or all of the applications</v>
      </c>
      <c r="C27" t="str">
        <f ca="1"/>
        <v>Yes, for most or all of the applications</v>
      </c>
      <c r="D27" t="str">
        <f ca="1"/>
        <v>Yes, for most or all of the applications</v>
      </c>
      <c r="E27" t="str">
        <f ca="1"/>
        <v>Yes, for most or all of the applications</v>
      </c>
      <c r="F27" t="str">
        <f ca="1"/>
        <v>Yes, for most or all of the applications</v>
      </c>
      <c r="G27" t="str">
        <f ca="1"/>
        <v>Yes, most or all of them</v>
      </c>
      <c r="H27" t="str">
        <f ca="1"/>
        <v>Yes, for most or all of the applications</v>
      </c>
      <c r="I27" t="str">
        <f ca="1"/>
        <v>Yes, most or all of them</v>
      </c>
      <c r="J27" t="str">
        <f ca="1"/>
        <v>Yes, most or all of the time</v>
      </c>
      <c r="K27" t="str">
        <f ca="1"/>
        <v>Yes, for most or all of the applications</v>
      </c>
      <c r="L27" t="str">
        <f ca="1"/>
        <v>Yes, most or all of the time</v>
      </c>
      <c r="M27" t="str">
        <f ca="1"/>
        <v>Yes, most or all of them</v>
      </c>
      <c r="N27" t="str">
        <f ca="1"/>
        <v>Yes, for most or all of the components</v>
      </c>
      <c r="O27" t="str">
        <f ca="1"/>
        <v>Yes, most or all of them</v>
      </c>
      <c r="P27" t="str">
        <f ca="1"/>
        <v>Yes, for most or all of the applications</v>
      </c>
      <c r="Q27" t="str">
        <f ca="1"/>
        <v>Yes, most or all of it</v>
      </c>
      <c r="R27" t="str">
        <f ca="1"/>
        <v>Yes, we improve it at least annually</v>
      </c>
    </row>
    <row r="29" spans="1:18" x14ac:dyDescent="0.15">
      <c r="A29" t="s">
        <v>113</v>
      </c>
      <c r="B29" t="s">
        <v>116</v>
      </c>
      <c r="C29" t="s">
        <v>114</v>
      </c>
      <c r="D29" t="s">
        <v>117</v>
      </c>
      <c r="E29" t="s">
        <v>115</v>
      </c>
      <c r="F29" t="s">
        <v>118</v>
      </c>
      <c r="G29" t="s">
        <v>106</v>
      </c>
      <c r="H29" t="s">
        <v>109</v>
      </c>
      <c r="I29" t="s">
        <v>107</v>
      </c>
      <c r="J29" t="s">
        <v>110</v>
      </c>
      <c r="K29" t="s">
        <v>108</v>
      </c>
      <c r="L29" t="s">
        <v>111</v>
      </c>
      <c r="M29" t="s">
        <v>120</v>
      </c>
      <c r="N29" t="s">
        <v>123</v>
      </c>
      <c r="O29" t="s">
        <v>121</v>
      </c>
      <c r="P29" t="s">
        <v>124</v>
      </c>
      <c r="Q29" t="s">
        <v>122</v>
      </c>
      <c r="R29" t="s">
        <v>125</v>
      </c>
    </row>
    <row r="31" spans="1:18" x14ac:dyDescent="0.15">
      <c r="A31" t="str">
        <f t="array" aca="1" ref="A31:A34" ca="1">INDIRECT("Ans"&amp;CHAR(65+VLOOKUP(A29,'imp-questions'!$A:$H,8,FALSE)))</f>
        <v>No</v>
      </c>
      <c r="B31" t="str">
        <f t="array" aca="1" ref="B31:B34" ca="1">INDIRECT("Ans"&amp;CHAR(65+VLOOKUP(B29,'imp-questions'!$A:$H,8,FALSE)))</f>
        <v>No</v>
      </c>
      <c r="C31" t="str">
        <f t="array" aca="1" ref="C31:C34" ca="1">INDIRECT("Ans"&amp;CHAR(65+VLOOKUP(C29,'imp-questions'!$A:$H,8,FALSE)))</f>
        <v>No</v>
      </c>
      <c r="D31" t="str">
        <f t="array" aca="1" ref="D31:D34" ca="1">INDIRECT("Ans"&amp;CHAR(65+VLOOKUP(D29,'imp-questions'!$A:$H,8,FALSE)))</f>
        <v>No</v>
      </c>
      <c r="E31" t="str">
        <f t="array" aca="1" ref="E31:E34" ca="1">INDIRECT("Ans"&amp;CHAR(65+VLOOKUP(E29,'imp-questions'!$A:$H,8,FALSE)))</f>
        <v>No</v>
      </c>
      <c r="F31" t="str">
        <f t="array" aca="1" ref="F31:F34" ca="1">INDIRECT("Ans"&amp;CHAR(65+VLOOKUP(F29,'imp-questions'!$A:$H,8,FALSE)))</f>
        <v>No</v>
      </c>
      <c r="G31" t="str">
        <f t="array" aca="1" ref="G31:G34" ca="1">INDIRECT("Ans"&amp;CHAR(65+VLOOKUP(G29,'imp-questions'!$A:$H,8,FALSE)))</f>
        <v>No</v>
      </c>
      <c r="H31" t="str">
        <f t="array" aca="1" ref="H31:H34" ca="1">INDIRECT("Ans"&amp;CHAR(65+VLOOKUP(H29,'imp-questions'!$A:$H,8,FALSE)))</f>
        <v>No</v>
      </c>
      <c r="I31" t="str">
        <f t="array" aca="1" ref="I31:I34" ca="1">INDIRECT("Ans"&amp;CHAR(65+VLOOKUP(I29,'imp-questions'!$A:$H,8,FALSE)))</f>
        <v>No</v>
      </c>
      <c r="J31" t="str">
        <f t="array" aca="1" ref="J31:J34" ca="1">INDIRECT("Ans"&amp;CHAR(65+VLOOKUP(J29,'imp-questions'!$A:$H,8,FALSE)))</f>
        <v>No</v>
      </c>
      <c r="K31" t="str">
        <f t="array" aca="1" ref="K31:K34" ca="1">INDIRECT("Ans"&amp;CHAR(65+VLOOKUP(K29,'imp-questions'!$A:$H,8,FALSE)))</f>
        <v>No</v>
      </c>
      <c r="L31" t="str">
        <f t="array" aca="1" ref="L31:L34" ca="1">INDIRECT("Ans"&amp;CHAR(65+VLOOKUP(L29,'imp-questions'!$A:$H,8,FALSE)))</f>
        <v>No</v>
      </c>
      <c r="M31" t="str">
        <f t="array" aca="1" ref="M31:M34" ca="1">INDIRECT("Ans"&amp;CHAR(65+VLOOKUP(M29,'imp-questions'!$A:$H,8,FALSE)))</f>
        <v>No</v>
      </c>
      <c r="N31" t="str">
        <f t="array" aca="1" ref="N31:N34" ca="1">INDIRECT("Ans"&amp;CHAR(65+VLOOKUP(N29,'imp-questions'!$A:$H,8,FALSE)))</f>
        <v>No</v>
      </c>
      <c r="O31" t="str">
        <f t="array" aca="1" ref="O31:O34" ca="1">INDIRECT("Ans"&amp;CHAR(65+VLOOKUP(O29,'imp-questions'!$A:$H,8,FALSE)))</f>
        <v>No</v>
      </c>
      <c r="P31" t="str">
        <f t="array" aca="1" ref="P31:P34" ca="1">INDIRECT("Ans"&amp;CHAR(65+VLOOKUP(P29,'imp-questions'!$A:$H,8,FALSE)))</f>
        <v>No</v>
      </c>
      <c r="Q31" t="str">
        <f t="array" aca="1" ref="Q31:Q34" ca="1">INDIRECT("Ans"&amp;CHAR(65+VLOOKUP(Q29,'imp-questions'!$A:$H,8,FALSE)))</f>
        <v>No</v>
      </c>
      <c r="R31" t="str">
        <f t="array" aca="1" ref="R31:R34" ca="1">INDIRECT("Ans"&amp;CHAR(65+VLOOKUP(R29,'imp-questions'!$A:$H,8,FALSE)))</f>
        <v>No</v>
      </c>
    </row>
    <row r="32" spans="1:18" x14ac:dyDescent="0.15">
      <c r="A32" t="str">
        <f ca="1"/>
        <v>Yes, for some components</v>
      </c>
      <c r="B32" t="str">
        <f ca="1"/>
        <v>Yes, for some components</v>
      </c>
      <c r="C32" t="str">
        <f ca="1"/>
        <v>Yes, for some components</v>
      </c>
      <c r="D32" t="str">
        <f ca="1"/>
        <v>Yes, for some components</v>
      </c>
      <c r="E32" t="str">
        <f ca="1"/>
        <v>Yes, for some components</v>
      </c>
      <c r="F32" t="str">
        <f ca="1"/>
        <v>Yes, for some components</v>
      </c>
      <c r="G32" t="str">
        <f ca="1"/>
        <v>Yes, for some applications</v>
      </c>
      <c r="H32" t="str">
        <f ca="1"/>
        <v>Yes, for some incidents</v>
      </c>
      <c r="I32" t="str">
        <f ca="1"/>
        <v>Yes, for some applications</v>
      </c>
      <c r="J32" t="str">
        <f ca="1"/>
        <v>Yes, for some incident types</v>
      </c>
      <c r="K32" t="str">
        <f ca="1"/>
        <v>Yes, for some applications</v>
      </c>
      <c r="L32" t="str">
        <f ca="1"/>
        <v>Yes, some of the time</v>
      </c>
      <c r="M32" t="str">
        <f ca="1"/>
        <v>Yes, for some applications</v>
      </c>
      <c r="N32" t="str">
        <f ca="1"/>
        <v>Yes, for some applications</v>
      </c>
      <c r="O32" t="str">
        <f ca="1"/>
        <v>Yes, for some of our data</v>
      </c>
      <c r="P32" t="str">
        <f ca="1"/>
        <v>Yes, some of the time</v>
      </c>
      <c r="Q32" t="str">
        <f ca="1"/>
        <v>Yes, we do it when requested</v>
      </c>
      <c r="R32" t="str">
        <f ca="1"/>
        <v>Yes, for some of the assets</v>
      </c>
    </row>
    <row r="33" spans="1:18" x14ac:dyDescent="0.15">
      <c r="A33" t="str">
        <f ca="1"/>
        <v>Yes, for at least half of the components</v>
      </c>
      <c r="B33" t="str">
        <f ca="1"/>
        <v>Yes, for at least half of the components</v>
      </c>
      <c r="C33" t="str">
        <f ca="1"/>
        <v>Yes, for at least half of the components</v>
      </c>
      <c r="D33" t="str">
        <f ca="1"/>
        <v>Yes, for at least half of the components</v>
      </c>
      <c r="E33" t="str">
        <f ca="1"/>
        <v>Yes, for at least half of the components</v>
      </c>
      <c r="F33" t="str">
        <f ca="1"/>
        <v>Yes, for at least half of the components</v>
      </c>
      <c r="G33" t="str">
        <f ca="1"/>
        <v>Yes, for at least half of the applications</v>
      </c>
      <c r="H33" t="str">
        <f ca="1"/>
        <v>Yes, for at least half of the incidents</v>
      </c>
      <c r="I33" t="str">
        <f ca="1"/>
        <v>Yes, for at least half of the applications</v>
      </c>
      <c r="J33" t="str">
        <f ca="1"/>
        <v>Yes, for at least half of the incident types</v>
      </c>
      <c r="K33" t="str">
        <f ca="1"/>
        <v>Yes, for at least half of the applications</v>
      </c>
      <c r="L33" t="str">
        <f ca="1"/>
        <v>Yes, at least half of the time</v>
      </c>
      <c r="M33" t="str">
        <f ca="1"/>
        <v>Yes, for at least half of the applications</v>
      </c>
      <c r="N33" t="str">
        <f ca="1"/>
        <v>Yes, for at least half of the applications</v>
      </c>
      <c r="O33" t="str">
        <f ca="1"/>
        <v>Yes, for at least half of our data</v>
      </c>
      <c r="P33" t="str">
        <f ca="1"/>
        <v>Yes, at least half of the time</v>
      </c>
      <c r="Q33" t="str">
        <f ca="1"/>
        <v>Yes, we do it every few years</v>
      </c>
      <c r="R33" t="str">
        <f ca="1"/>
        <v>Yes, for at least half of the assets</v>
      </c>
    </row>
    <row r="34" spans="1:18" x14ac:dyDescent="0.15">
      <c r="A34" t="str">
        <f ca="1"/>
        <v>Yes, for most or all of the components</v>
      </c>
      <c r="B34" t="str">
        <f ca="1"/>
        <v>Yes, for most or all of the components</v>
      </c>
      <c r="C34" t="str">
        <f ca="1"/>
        <v>Yes, for most or all of the components</v>
      </c>
      <c r="D34" t="str">
        <f ca="1"/>
        <v>Yes, for most or all of the components</v>
      </c>
      <c r="E34" t="str">
        <f ca="1"/>
        <v>Yes, for most or all of the components</v>
      </c>
      <c r="F34" t="str">
        <f ca="1"/>
        <v>Yes, for most or all of the components</v>
      </c>
      <c r="G34" t="str">
        <f ca="1"/>
        <v>Yes, for most or all of the applications</v>
      </c>
      <c r="H34" t="str">
        <f ca="1"/>
        <v>Yes, for most or all of the incidents</v>
      </c>
      <c r="I34" t="str">
        <f ca="1"/>
        <v>Yes, for most or all of the applications</v>
      </c>
      <c r="J34" t="str">
        <f ca="1"/>
        <v>Yes, for most or all of the incident types</v>
      </c>
      <c r="K34" t="str">
        <f ca="1"/>
        <v>Yes, for most or all of the applications</v>
      </c>
      <c r="L34" t="str">
        <f ca="1"/>
        <v>Yes, most or all of the time</v>
      </c>
      <c r="M34" t="str">
        <f ca="1"/>
        <v>Yes, for most or all of the applications</v>
      </c>
      <c r="N34" t="str">
        <f ca="1"/>
        <v>Yes, for most or all of the applications</v>
      </c>
      <c r="O34" t="str">
        <f ca="1"/>
        <v>Yes, for most or all of our data</v>
      </c>
      <c r="P34" t="str">
        <f ca="1"/>
        <v>Yes, most or all of the time</v>
      </c>
      <c r="Q34" t="str">
        <f ca="1"/>
        <v>Yes, we do it at least annually</v>
      </c>
      <c r="R34" t="str">
        <f ca="1"/>
        <v>Yes, for most or all of the assets</v>
      </c>
    </row>
  </sheetData>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I25"/>
  <sheetViews>
    <sheetView workbookViewId="0"/>
  </sheetViews>
  <sheetFormatPr baseColWidth="10" defaultColWidth="11.5" defaultRowHeight="13" x14ac:dyDescent="0.15"/>
  <cols>
    <col min="1" max="1" width="15.83203125" bestFit="1" customWidth="1"/>
    <col min="3" max="3" width="33.5" bestFit="1" customWidth="1"/>
    <col min="4" max="4" width="27.5" customWidth="1"/>
    <col min="5" max="5" width="29.5" customWidth="1"/>
  </cols>
  <sheetData>
    <row r="1" spans="1:9" x14ac:dyDescent="0.15">
      <c r="A1" t="s">
        <v>538</v>
      </c>
      <c r="B1" t="s">
        <v>273</v>
      </c>
      <c r="C1" t="s">
        <v>281</v>
      </c>
      <c r="D1" t="s">
        <v>288</v>
      </c>
      <c r="E1" t="s">
        <v>296</v>
      </c>
      <c r="F1" t="s">
        <v>539</v>
      </c>
      <c r="G1" t="s">
        <v>540</v>
      </c>
      <c r="H1" t="s">
        <v>541</v>
      </c>
      <c r="I1" t="s">
        <v>542</v>
      </c>
    </row>
    <row r="2" spans="1:9" x14ac:dyDescent="0.15">
      <c r="A2">
        <v>0</v>
      </c>
      <c r="B2" t="s">
        <v>274</v>
      </c>
      <c r="C2" t="s">
        <v>543</v>
      </c>
      <c r="D2" t="s">
        <v>544</v>
      </c>
      <c r="E2" t="s">
        <v>545</v>
      </c>
      <c r="F2">
        <v>0</v>
      </c>
      <c r="G2">
        <v>0.25</v>
      </c>
      <c r="H2">
        <v>0.5</v>
      </c>
      <c r="I2">
        <v>1</v>
      </c>
    </row>
    <row r="3" spans="1:9" x14ac:dyDescent="0.15">
      <c r="A3">
        <v>1</v>
      </c>
      <c r="B3" t="s">
        <v>274</v>
      </c>
      <c r="C3" t="s">
        <v>546</v>
      </c>
      <c r="D3" t="s">
        <v>547</v>
      </c>
      <c r="E3" t="s">
        <v>548</v>
      </c>
      <c r="F3">
        <v>0</v>
      </c>
      <c r="G3">
        <v>0.25</v>
      </c>
      <c r="H3">
        <v>0.5</v>
      </c>
      <c r="I3">
        <v>1</v>
      </c>
    </row>
    <row r="4" spans="1:9" x14ac:dyDescent="0.15">
      <c r="A4">
        <v>2</v>
      </c>
      <c r="B4" t="s">
        <v>274</v>
      </c>
      <c r="C4" t="s">
        <v>549</v>
      </c>
      <c r="D4" t="s">
        <v>550</v>
      </c>
      <c r="E4" t="s">
        <v>551</v>
      </c>
      <c r="F4">
        <v>0</v>
      </c>
      <c r="G4">
        <v>0.25</v>
      </c>
      <c r="H4">
        <v>0.5</v>
      </c>
      <c r="I4">
        <v>1</v>
      </c>
    </row>
    <row r="5" spans="1:9" x14ac:dyDescent="0.15">
      <c r="A5">
        <v>3</v>
      </c>
      <c r="B5" t="s">
        <v>274</v>
      </c>
      <c r="C5" t="s">
        <v>552</v>
      </c>
      <c r="D5" t="s">
        <v>553</v>
      </c>
      <c r="E5" t="s">
        <v>554</v>
      </c>
      <c r="F5">
        <v>0</v>
      </c>
      <c r="G5">
        <v>0.25</v>
      </c>
      <c r="H5">
        <v>0.5</v>
      </c>
      <c r="I5">
        <v>1</v>
      </c>
    </row>
    <row r="6" spans="1:9" x14ac:dyDescent="0.15">
      <c r="A6">
        <v>4</v>
      </c>
      <c r="B6" t="s">
        <v>274</v>
      </c>
      <c r="C6" t="s">
        <v>555</v>
      </c>
      <c r="D6" t="s">
        <v>556</v>
      </c>
      <c r="E6" t="s">
        <v>557</v>
      </c>
      <c r="F6">
        <v>0</v>
      </c>
      <c r="G6">
        <v>0.25</v>
      </c>
      <c r="H6">
        <v>0.5</v>
      </c>
      <c r="I6">
        <v>1</v>
      </c>
    </row>
    <row r="7" spans="1:9" x14ac:dyDescent="0.15">
      <c r="A7">
        <v>5</v>
      </c>
      <c r="B7" t="s">
        <v>274</v>
      </c>
      <c r="C7" t="s">
        <v>558</v>
      </c>
      <c r="D7" t="s">
        <v>559</v>
      </c>
      <c r="E7" t="s">
        <v>560</v>
      </c>
      <c r="F7">
        <v>0</v>
      </c>
      <c r="G7">
        <v>0.25</v>
      </c>
      <c r="H7">
        <v>0.5</v>
      </c>
      <c r="I7">
        <v>1</v>
      </c>
    </row>
    <row r="8" spans="1:9" x14ac:dyDescent="0.15">
      <c r="A8">
        <v>6</v>
      </c>
      <c r="B8" t="s">
        <v>274</v>
      </c>
      <c r="C8" t="s">
        <v>561</v>
      </c>
      <c r="D8" t="s">
        <v>562</v>
      </c>
      <c r="E8" t="s">
        <v>563</v>
      </c>
      <c r="F8">
        <v>0</v>
      </c>
      <c r="G8">
        <v>0.25</v>
      </c>
      <c r="H8">
        <v>0.5</v>
      </c>
      <c r="I8">
        <v>1</v>
      </c>
    </row>
    <row r="9" spans="1:9" x14ac:dyDescent="0.15">
      <c r="A9">
        <v>7</v>
      </c>
      <c r="B9" t="s">
        <v>274</v>
      </c>
      <c r="C9" t="s">
        <v>564</v>
      </c>
      <c r="D9" t="s">
        <v>565</v>
      </c>
      <c r="E9" t="s">
        <v>566</v>
      </c>
      <c r="F9">
        <v>0</v>
      </c>
      <c r="G9">
        <v>0.25</v>
      </c>
      <c r="H9">
        <v>0.5</v>
      </c>
      <c r="I9">
        <v>1</v>
      </c>
    </row>
    <row r="10" spans="1:9" x14ac:dyDescent="0.15">
      <c r="A10">
        <v>8</v>
      </c>
      <c r="B10" t="s">
        <v>274</v>
      </c>
      <c r="C10" t="s">
        <v>567</v>
      </c>
      <c r="D10" t="s">
        <v>568</v>
      </c>
      <c r="E10" t="s">
        <v>569</v>
      </c>
      <c r="F10">
        <v>0</v>
      </c>
      <c r="G10">
        <v>0.25</v>
      </c>
      <c r="H10">
        <v>0.5</v>
      </c>
      <c r="I10">
        <v>1</v>
      </c>
    </row>
    <row r="11" spans="1:9" x14ac:dyDescent="0.15">
      <c r="A11">
        <v>9</v>
      </c>
      <c r="B11" t="s">
        <v>274</v>
      </c>
      <c r="C11" t="s">
        <v>570</v>
      </c>
      <c r="D11" t="s">
        <v>571</v>
      </c>
      <c r="E11" t="s">
        <v>572</v>
      </c>
      <c r="F11">
        <v>0</v>
      </c>
      <c r="G11">
        <v>0.25</v>
      </c>
      <c r="H11">
        <v>0.5</v>
      </c>
      <c r="I11">
        <v>1</v>
      </c>
    </row>
    <row r="12" spans="1:9" x14ac:dyDescent="0.15">
      <c r="A12">
        <v>10</v>
      </c>
      <c r="B12" t="s">
        <v>274</v>
      </c>
      <c r="C12" t="s">
        <v>573</v>
      </c>
      <c r="D12" t="s">
        <v>299</v>
      </c>
      <c r="E12" t="s">
        <v>300</v>
      </c>
      <c r="F12">
        <v>0</v>
      </c>
      <c r="G12">
        <v>0.25</v>
      </c>
      <c r="H12">
        <v>0.5</v>
      </c>
      <c r="I12">
        <v>1</v>
      </c>
    </row>
    <row r="13" spans="1:9" x14ac:dyDescent="0.15">
      <c r="A13">
        <v>11</v>
      </c>
      <c r="B13" t="s">
        <v>274</v>
      </c>
      <c r="C13" t="s">
        <v>574</v>
      </c>
      <c r="D13" t="s">
        <v>575</v>
      </c>
      <c r="E13" t="s">
        <v>576</v>
      </c>
      <c r="F13">
        <v>0</v>
      </c>
      <c r="G13">
        <v>0.25</v>
      </c>
      <c r="H13">
        <v>0.5</v>
      </c>
      <c r="I13">
        <v>1</v>
      </c>
    </row>
    <row r="14" spans="1:9" x14ac:dyDescent="0.15">
      <c r="A14">
        <v>12</v>
      </c>
      <c r="B14" t="s">
        <v>274</v>
      </c>
      <c r="C14" t="s">
        <v>577</v>
      </c>
      <c r="D14" t="s">
        <v>578</v>
      </c>
      <c r="E14" t="s">
        <v>579</v>
      </c>
      <c r="F14">
        <v>0</v>
      </c>
      <c r="G14">
        <v>0.25</v>
      </c>
      <c r="H14">
        <v>0.5</v>
      </c>
      <c r="I14">
        <v>1</v>
      </c>
    </row>
    <row r="15" spans="1:9" x14ac:dyDescent="0.15">
      <c r="A15">
        <v>13</v>
      </c>
      <c r="B15" t="s">
        <v>274</v>
      </c>
      <c r="C15" t="s">
        <v>580</v>
      </c>
      <c r="D15" t="s">
        <v>581</v>
      </c>
      <c r="E15" t="s">
        <v>582</v>
      </c>
      <c r="F15">
        <v>0</v>
      </c>
      <c r="G15">
        <v>0.25</v>
      </c>
      <c r="H15">
        <v>0.5</v>
      </c>
      <c r="I15">
        <v>1</v>
      </c>
    </row>
    <row r="16" spans="1:9" x14ac:dyDescent="0.15">
      <c r="A16">
        <v>14</v>
      </c>
      <c r="B16" t="s">
        <v>274</v>
      </c>
      <c r="C16" t="s">
        <v>583</v>
      </c>
      <c r="D16" t="s">
        <v>584</v>
      </c>
      <c r="E16" t="s">
        <v>585</v>
      </c>
      <c r="F16">
        <v>0</v>
      </c>
      <c r="G16">
        <v>0.25</v>
      </c>
      <c r="H16">
        <v>0.5</v>
      </c>
      <c r="I16">
        <v>1</v>
      </c>
    </row>
    <row r="17" spans="1:9" x14ac:dyDescent="0.15">
      <c r="A17">
        <v>15</v>
      </c>
      <c r="B17" t="s">
        <v>274</v>
      </c>
      <c r="C17" t="s">
        <v>586</v>
      </c>
      <c r="D17" t="s">
        <v>587</v>
      </c>
      <c r="E17" t="s">
        <v>588</v>
      </c>
      <c r="F17">
        <v>0</v>
      </c>
      <c r="G17">
        <v>0.25</v>
      </c>
      <c r="H17">
        <v>0.5</v>
      </c>
      <c r="I17">
        <v>1</v>
      </c>
    </row>
    <row r="18" spans="1:9" x14ac:dyDescent="0.15">
      <c r="A18">
        <v>16</v>
      </c>
      <c r="B18" t="s">
        <v>274</v>
      </c>
      <c r="C18" t="s">
        <v>589</v>
      </c>
      <c r="D18" t="s">
        <v>590</v>
      </c>
      <c r="E18" t="s">
        <v>591</v>
      </c>
      <c r="F18">
        <v>0</v>
      </c>
      <c r="G18">
        <v>0.25</v>
      </c>
      <c r="H18">
        <v>0.5</v>
      </c>
      <c r="I18">
        <v>1</v>
      </c>
    </row>
    <row r="19" spans="1:9" x14ac:dyDescent="0.15">
      <c r="A19">
        <v>17</v>
      </c>
      <c r="B19" t="s">
        <v>274</v>
      </c>
      <c r="C19" t="s">
        <v>592</v>
      </c>
      <c r="D19" t="s">
        <v>593</v>
      </c>
      <c r="E19" t="s">
        <v>594</v>
      </c>
      <c r="F19">
        <v>0</v>
      </c>
      <c r="G19">
        <v>0.25</v>
      </c>
      <c r="H19">
        <v>0.5</v>
      </c>
      <c r="I19">
        <v>1</v>
      </c>
    </row>
    <row r="20" spans="1:9" x14ac:dyDescent="0.15">
      <c r="A20">
        <v>18</v>
      </c>
      <c r="B20" t="s">
        <v>274</v>
      </c>
      <c r="C20" t="s">
        <v>595</v>
      </c>
      <c r="D20" t="s">
        <v>596</v>
      </c>
      <c r="E20" t="s">
        <v>597</v>
      </c>
      <c r="F20">
        <v>0</v>
      </c>
      <c r="G20">
        <v>0.25</v>
      </c>
      <c r="H20">
        <v>0.5</v>
      </c>
      <c r="I20">
        <v>1</v>
      </c>
    </row>
    <row r="21" spans="1:9" x14ac:dyDescent="0.15">
      <c r="A21">
        <v>19</v>
      </c>
      <c r="B21" t="s">
        <v>274</v>
      </c>
      <c r="C21" t="s">
        <v>598</v>
      </c>
      <c r="D21" t="s">
        <v>599</v>
      </c>
      <c r="E21" t="s">
        <v>600</v>
      </c>
      <c r="F21">
        <v>0</v>
      </c>
      <c r="G21">
        <v>0.25</v>
      </c>
      <c r="H21">
        <v>0.5</v>
      </c>
      <c r="I21">
        <v>1</v>
      </c>
    </row>
    <row r="22" spans="1:9" x14ac:dyDescent="0.15">
      <c r="A22">
        <v>20</v>
      </c>
      <c r="B22" t="s">
        <v>274</v>
      </c>
      <c r="C22" t="s">
        <v>601</v>
      </c>
      <c r="D22" t="s">
        <v>602</v>
      </c>
      <c r="E22" t="s">
        <v>603</v>
      </c>
      <c r="F22">
        <v>0</v>
      </c>
      <c r="G22">
        <v>0.25</v>
      </c>
      <c r="H22">
        <v>0.5</v>
      </c>
      <c r="I22">
        <v>1</v>
      </c>
    </row>
    <row r="23" spans="1:9" x14ac:dyDescent="0.15">
      <c r="A23">
        <v>21</v>
      </c>
      <c r="B23" t="s">
        <v>274</v>
      </c>
      <c r="C23" t="s">
        <v>604</v>
      </c>
      <c r="D23" t="s">
        <v>605</v>
      </c>
      <c r="E23" t="s">
        <v>606</v>
      </c>
      <c r="F23">
        <v>0</v>
      </c>
      <c r="G23">
        <v>0.25</v>
      </c>
      <c r="H23">
        <v>0.5</v>
      </c>
      <c r="I23">
        <v>1</v>
      </c>
    </row>
    <row r="24" spans="1:9" x14ac:dyDescent="0.15">
      <c r="A24">
        <v>22</v>
      </c>
      <c r="B24" t="s">
        <v>274</v>
      </c>
      <c r="C24" t="s">
        <v>607</v>
      </c>
      <c r="D24" t="s">
        <v>608</v>
      </c>
      <c r="E24" t="s">
        <v>609</v>
      </c>
      <c r="F24">
        <v>0</v>
      </c>
      <c r="G24">
        <v>0.25</v>
      </c>
      <c r="H24">
        <v>0.5</v>
      </c>
      <c r="I24">
        <v>1</v>
      </c>
    </row>
    <row r="25" spans="1:9" x14ac:dyDescent="0.15">
      <c r="A25">
        <v>23</v>
      </c>
      <c r="B25" t="s">
        <v>274</v>
      </c>
      <c r="C25" t="s">
        <v>610</v>
      </c>
      <c r="D25" t="s">
        <v>611</v>
      </c>
      <c r="E25" t="s">
        <v>612</v>
      </c>
      <c r="F25">
        <v>0</v>
      </c>
      <c r="G25">
        <v>0.25</v>
      </c>
      <c r="H25">
        <v>0.5</v>
      </c>
      <c r="I25">
        <v>1</v>
      </c>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7"/>
  <dimension ref="A1"/>
  <sheetViews>
    <sheetView workbookViewId="0"/>
  </sheetViews>
  <sheetFormatPr baseColWidth="10" defaultColWidth="8.83203125" defaultRowHeight="13" x14ac:dyDescent="0.15"/>
  <cols>
    <col min="1" max="1" width="170.5" style="10" customWidth="1"/>
    <col min="2" max="3" width="8.83203125" style="10" customWidth="1"/>
    <col min="4" max="16384" width="8.83203125" style="10"/>
  </cols>
  <sheetData>
    <row r="1" spans="1:1" ht="25" customHeight="1" x14ac:dyDescent="0.15">
      <c r="A1" s="9" t="s">
        <v>613</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141</vt:i4>
      </vt:variant>
    </vt:vector>
  </HeadingPairs>
  <TitlesOfParts>
    <vt:vector size="153" baseType="lpstr">
      <vt:lpstr>Attribution and License</vt:lpstr>
      <vt:lpstr>Getting Started</vt:lpstr>
      <vt:lpstr>Benchmark</vt:lpstr>
      <vt:lpstr>Interview</vt:lpstr>
      <vt:lpstr>Scorecard</vt:lpstr>
      <vt:lpstr>Roadmap</vt:lpstr>
      <vt:lpstr>Roadmap Chart</vt:lpstr>
      <vt:lpstr>Lookups</vt:lpstr>
      <vt:lpstr>imp-questions</vt:lpstr>
      <vt:lpstr>DV-Lists</vt:lpstr>
      <vt:lpstr>imp-answers</vt:lpstr>
      <vt:lpstr>Background Images</vt:lpstr>
      <vt:lpstr>AnsA</vt:lpstr>
      <vt:lpstr>AnsATBL</vt:lpstr>
      <vt:lpstr>AnsB</vt:lpstr>
      <vt:lpstr>AnsBTBL</vt:lpstr>
      <vt:lpstr>AnsC</vt:lpstr>
      <vt:lpstr>AnsCTBL</vt:lpstr>
      <vt:lpstr>AnsD</vt:lpstr>
      <vt:lpstr>AnsDTBL</vt:lpstr>
      <vt:lpstr>AnsE</vt:lpstr>
      <vt:lpstr>AnsETBL</vt:lpstr>
      <vt:lpstr>AnsF</vt:lpstr>
      <vt:lpstr>AnsFTBL</vt:lpstr>
      <vt:lpstr>AnsG</vt:lpstr>
      <vt:lpstr>AnsGTBL</vt:lpstr>
      <vt:lpstr>AnsH</vt:lpstr>
      <vt:lpstr>AnsHTBL</vt:lpstr>
      <vt:lpstr>AnsI</vt:lpstr>
      <vt:lpstr>AnsITBL</vt:lpstr>
      <vt:lpstr>AnsJ</vt:lpstr>
      <vt:lpstr>AnsJTBL</vt:lpstr>
      <vt:lpstr>AnsK</vt:lpstr>
      <vt:lpstr>AnsKTBL</vt:lpstr>
      <vt:lpstr>AnsL</vt:lpstr>
      <vt:lpstr>AnsLTBL</vt:lpstr>
      <vt:lpstr>AnsM</vt:lpstr>
      <vt:lpstr>AnsMTBL</vt:lpstr>
      <vt:lpstr>AnsN</vt:lpstr>
      <vt:lpstr>AnsNTBL</vt:lpstr>
      <vt:lpstr>AnsO</vt:lpstr>
      <vt:lpstr>AnsOTBL</vt:lpstr>
      <vt:lpstr>AnsP</vt:lpstr>
      <vt:lpstr>AnsPTBL</vt:lpstr>
      <vt:lpstr>AnsQ</vt:lpstr>
      <vt:lpstr>AnsQTBL</vt:lpstr>
      <vt:lpstr>AnsR</vt:lpstr>
      <vt:lpstr>AnsRTBL</vt:lpstr>
      <vt:lpstr>AnsS</vt:lpstr>
      <vt:lpstr>AnsSTBL</vt:lpstr>
      <vt:lpstr>AnsT</vt:lpstr>
      <vt:lpstr>AnsTTBL</vt:lpstr>
      <vt:lpstr>AnsU</vt:lpstr>
      <vt:lpstr>AnsUTBL</vt:lpstr>
      <vt:lpstr>AnsV</vt:lpstr>
      <vt:lpstr>AnsVTBL</vt:lpstr>
      <vt:lpstr>AnsW</vt:lpstr>
      <vt:lpstr>AnsWTBL</vt:lpstr>
      <vt:lpstr>AnsX</vt:lpstr>
      <vt:lpstr>AnsXTBL</vt:lpstr>
      <vt:lpstr>AnsY</vt:lpstr>
      <vt:lpstr>AnsYTBL</vt:lpstr>
      <vt:lpstr>D_SA_A_1_1</vt:lpstr>
      <vt:lpstr>D_SA_A_2_1</vt:lpstr>
      <vt:lpstr>D_SA_A_3_1</vt:lpstr>
      <vt:lpstr>D_SA_B_1_1</vt:lpstr>
      <vt:lpstr>D_SA_B_2_1</vt:lpstr>
      <vt:lpstr>D_SA_B_3_1</vt:lpstr>
      <vt:lpstr>D_SR_A_1_1</vt:lpstr>
      <vt:lpstr>D_SR_A_2_1</vt:lpstr>
      <vt:lpstr>D_SR_A_3_1</vt:lpstr>
      <vt:lpstr>D_SR_B_1_1</vt:lpstr>
      <vt:lpstr>D_SR_B_2_1</vt:lpstr>
      <vt:lpstr>D_SR_B_3_1</vt:lpstr>
      <vt:lpstr>D_TA_A_1_1</vt:lpstr>
      <vt:lpstr>D_TA_A_2_1</vt:lpstr>
      <vt:lpstr>D_TA_A_3_1</vt:lpstr>
      <vt:lpstr>D_TA_B_1_1</vt:lpstr>
      <vt:lpstr>D_TA_B_2_1</vt:lpstr>
      <vt:lpstr>D_TA_B_3_1</vt:lpstr>
      <vt:lpstr>G_EG_A_1_1</vt:lpstr>
      <vt:lpstr>G_EG_A_2_1</vt:lpstr>
      <vt:lpstr>G_EG_A_3_1</vt:lpstr>
      <vt:lpstr>G_EG_B_1_1</vt:lpstr>
      <vt:lpstr>G_EG_B_2_1</vt:lpstr>
      <vt:lpstr>G_EG_B_3_1</vt:lpstr>
      <vt:lpstr>G_PC_A_1_1</vt:lpstr>
      <vt:lpstr>G_PC_A_2_1</vt:lpstr>
      <vt:lpstr>G_PC_A_3_1</vt:lpstr>
      <vt:lpstr>G_PC_B_1_1</vt:lpstr>
      <vt:lpstr>G_PC_B_2_1</vt:lpstr>
      <vt:lpstr>G_PC_B_3_1</vt:lpstr>
      <vt:lpstr>G_SM_A_1_1</vt:lpstr>
      <vt:lpstr>G_SM_A_2_1</vt:lpstr>
      <vt:lpstr>G_SM_A_3_1</vt:lpstr>
      <vt:lpstr>G_SM_B_1_1</vt:lpstr>
      <vt:lpstr>G_SM_B_2_1</vt:lpstr>
      <vt:lpstr>G_SM_B_3_1</vt:lpstr>
      <vt:lpstr>I_DM_A_1_1</vt:lpstr>
      <vt:lpstr>I_DM_A_2_1</vt:lpstr>
      <vt:lpstr>I_DM_A_3_1</vt:lpstr>
      <vt:lpstr>I_DM_B_1_1</vt:lpstr>
      <vt:lpstr>I_DM_B_2_1</vt:lpstr>
      <vt:lpstr>I_DM_B_3_1</vt:lpstr>
      <vt:lpstr>I_SB_A_1_1</vt:lpstr>
      <vt:lpstr>I_SB_A_2_1</vt:lpstr>
      <vt:lpstr>I_SB_A_3_1</vt:lpstr>
      <vt:lpstr>I_SB_B_1_1</vt:lpstr>
      <vt:lpstr>I_SB_B_2_1</vt:lpstr>
      <vt:lpstr>I_SB_B_3_1</vt:lpstr>
      <vt:lpstr>I_SD_A_1_1</vt:lpstr>
      <vt:lpstr>I_SD_A_2_1</vt:lpstr>
      <vt:lpstr>I_SD_A_3_1</vt:lpstr>
      <vt:lpstr>I_SD_B_1_1</vt:lpstr>
      <vt:lpstr>I_SD_B_2_1</vt:lpstr>
      <vt:lpstr>I_SD_B_3_1</vt:lpstr>
      <vt:lpstr>O_EM_A_1_1</vt:lpstr>
      <vt:lpstr>O_EM_A_2_1</vt:lpstr>
      <vt:lpstr>O_EM_A_3_1</vt:lpstr>
      <vt:lpstr>O_EM_B_1_1</vt:lpstr>
      <vt:lpstr>O_EM_B_2_1</vt:lpstr>
      <vt:lpstr>O_EM_B_3_1</vt:lpstr>
      <vt:lpstr>O_IM_A_1_1</vt:lpstr>
      <vt:lpstr>O_IM_A_2_1</vt:lpstr>
      <vt:lpstr>O_IM_A_3_1</vt:lpstr>
      <vt:lpstr>O_IM_B_1_1</vt:lpstr>
      <vt:lpstr>O_IM_B_2_1</vt:lpstr>
      <vt:lpstr>O_IM_B_3_1</vt:lpstr>
      <vt:lpstr>O_OM_A_1_1</vt:lpstr>
      <vt:lpstr>O_OM_A_2_1</vt:lpstr>
      <vt:lpstr>O_OM_A_3_1</vt:lpstr>
      <vt:lpstr>O_OM_B_1_1</vt:lpstr>
      <vt:lpstr>O_OM_B_2_1</vt:lpstr>
      <vt:lpstr>O_OM_B_3_1</vt:lpstr>
      <vt:lpstr>'Roadmap Chart'!Print_Area</vt:lpstr>
      <vt:lpstr>V_AA_A_1_1</vt:lpstr>
      <vt:lpstr>V_AA_A_2_1</vt:lpstr>
      <vt:lpstr>V_AA_A_3_1</vt:lpstr>
      <vt:lpstr>V_AA_B_1_1</vt:lpstr>
      <vt:lpstr>V_AA_B_2_1</vt:lpstr>
      <vt:lpstr>V_AA_B_3_1</vt:lpstr>
      <vt:lpstr>V_RT_A_1_1</vt:lpstr>
      <vt:lpstr>V_RT_A_2_1</vt:lpstr>
      <vt:lpstr>V_RT_A_3_1</vt:lpstr>
      <vt:lpstr>V_RT_B_1_1</vt:lpstr>
      <vt:lpstr>V_RT_B_2_1</vt:lpstr>
      <vt:lpstr>V_RT_B_3_1</vt:lpstr>
      <vt:lpstr>V_ST_A_1_1</vt:lpstr>
      <vt:lpstr>V_ST_A_2_1</vt:lpstr>
      <vt:lpstr>V_ST_A_3_1</vt:lpstr>
      <vt:lpstr>V_ST_B_1_1</vt:lpstr>
      <vt:lpstr>V_ST_B_2_1</vt:lpstr>
      <vt:lpstr>V_ST_B_3_1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Sebastien Deleersnyder</cp:lastModifiedBy>
  <dcterms:created xsi:type="dcterms:W3CDTF">2024-06-24T20:20:10Z</dcterms:created>
  <dcterms:modified xsi:type="dcterms:W3CDTF">2026-04-21T11:35:55Z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d6eec08-3916-454d-825e-219775cc1119_Enabled">
    <vt:lpwstr>true</vt:lpwstr>
  </property>
  <property fmtid="{D5CDD505-2E9C-101B-9397-08002B2CF9AE}" pid="3" name="MSIP_Label_8d6eec08-3916-454d-825e-219775cc1119_SetDate">
    <vt:lpwstr>2026-04-20T18:16:47Z</vt:lpwstr>
  </property>
  <property fmtid="{D5CDD505-2E9C-101B-9397-08002B2CF9AE}" pid="4" name="MSIP_Label_8d6eec08-3916-454d-825e-219775cc1119_Method">
    <vt:lpwstr>Privileged</vt:lpwstr>
  </property>
  <property fmtid="{D5CDD505-2E9C-101B-9397-08002B2CF9AE}" pid="5" name="MSIP_Label_8d6eec08-3916-454d-825e-219775cc1119_Name">
    <vt:lpwstr>TOR_Public</vt:lpwstr>
  </property>
  <property fmtid="{D5CDD505-2E9C-101B-9397-08002B2CF9AE}" pid="6" name="MSIP_Label_8d6eec08-3916-454d-825e-219775cc1119_SiteId">
    <vt:lpwstr>17075fe6-81b6-42f8-8120-de58650ac4fc</vt:lpwstr>
  </property>
  <property fmtid="{D5CDD505-2E9C-101B-9397-08002B2CF9AE}" pid="7" name="MSIP_Label_8d6eec08-3916-454d-825e-219775cc1119_ActionId">
    <vt:lpwstr>d527c8d3-1fe3-43b1-b5be-c9c7a07f2ef3</vt:lpwstr>
  </property>
  <property fmtid="{D5CDD505-2E9C-101B-9397-08002B2CF9AE}" pid="8" name="MSIP_Label_8d6eec08-3916-454d-825e-219775cc1119_ContentBits">
    <vt:lpwstr>0</vt:lpwstr>
  </property>
  <property fmtid="{D5CDD505-2E9C-101B-9397-08002B2CF9AE}" pid="9" name="MSIP_Label_8d6eec08-3916-454d-825e-219775cc1119_Tag">
    <vt:lpwstr>50, 0, 1, 1</vt:lpwstr>
  </property>
</Properties>
</file>