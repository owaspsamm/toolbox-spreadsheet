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22.xml" ContentType="application/vnd.openxmlformats-officedocument.drawingml.chart+xml"/>
  <Override PartName="/xl/charts/chart4.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3.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ttribution and License" sheetId="1" state="visible" r:id="rId3"/>
    <sheet name="Benchmark" sheetId="2" state="visible" r:id="rId4"/>
    <sheet name="Interview" sheetId="3" state="visible" r:id="rId5"/>
    <sheet name="Scorecard" sheetId="4" state="visible" r:id="rId6"/>
    <sheet name="Roadmap" sheetId="5" state="visible" r:id="rId7"/>
    <sheet name="Roadmap Chart" sheetId="6" state="hidden" r:id="rId8"/>
    <sheet name="Lookups" sheetId="7" state="hidden" r:id="rId9"/>
    <sheet name="imp-questions" sheetId="8" state="hidden" r:id="rId10"/>
    <sheet name="DV-Lists" sheetId="9" state="hidden" r:id="rId11"/>
    <sheet name="imp-answers" sheetId="10" state="hidden" r:id="rId12"/>
    <sheet name="Background Images" sheetId="11" state="hidden" r:id="rId13"/>
  </sheets>
  <definedNames>
    <definedName function="false" hidden="true" localSheetId="7" name="_xlnm._FilterDatabase" vbProcedure="false">'imp-questions'!$A$1:$H$91</definedName>
    <definedName function="false" hidden="false" localSheetId="5" name="_xlnm.Print_Area" vbProcedure="false">'Roadmap Chart'!$L$3:$W$108</definedName>
    <definedName function="false" hidden="false" name="AnsA" vbProcedure="false">Lookups!$P$4:$P$7</definedName>
    <definedName function="false" hidden="false" name="AnsATBL" vbProcedure="false">Lookups!$P$4:$Q$7</definedName>
    <definedName function="false" hidden="false" name="AnsB" vbProcedure="false">Lookups!$P$10:$P$13</definedName>
    <definedName function="false" hidden="false" name="AnsBTBL" vbProcedure="false">Lookups!$P$10:$Q$13</definedName>
    <definedName function="false" hidden="false" name="AnsC" vbProcedure="false">Lookups!$P$16:$P$19</definedName>
    <definedName function="false" hidden="false" name="AnsCTBL" vbProcedure="false">Lookups!$P$16:$Q$19</definedName>
    <definedName function="false" hidden="false" name="AnsD" vbProcedure="false">Lookups!$P$22:$P$25</definedName>
    <definedName function="false" hidden="false" name="AnsDTBL" vbProcedure="false">Lookups!$P$22:$Q$25</definedName>
    <definedName function="false" hidden="false" name="AnsE" vbProcedure="false">Lookups!$P$28:$P$31</definedName>
    <definedName function="false" hidden="false" name="AnsETBL" vbProcedure="false">Lookups!$P$28:$Q$31</definedName>
    <definedName function="false" hidden="false" name="AnsF" vbProcedure="false">Lookups!$P$34:$P$37</definedName>
    <definedName function="false" hidden="false" name="AnsFTBL" vbProcedure="false">Lookups!$P$34:$Q$37</definedName>
    <definedName function="false" hidden="false" name="AnsG" vbProcedure="false">Lookups!$P$40:$P$43</definedName>
    <definedName function="false" hidden="false" name="AnsGTBL" vbProcedure="false">Lookups!$P$40:$Q$43</definedName>
    <definedName function="false" hidden="false" name="AnsH" vbProcedure="false">Lookups!$P$46:$P$49</definedName>
    <definedName function="false" hidden="false" name="AnsHTBL" vbProcedure="false">Lookups!$P$46:$Q$49</definedName>
    <definedName function="false" hidden="false" name="AnsI" vbProcedure="false">Lookups!$P$52:$P$55</definedName>
    <definedName function="false" hidden="false" name="AnsITBL" vbProcedure="false">Lookups!$P$52:$Q$55</definedName>
    <definedName function="false" hidden="false" name="AnsJ" vbProcedure="false">Lookups!$P$58:$P$61</definedName>
    <definedName function="false" hidden="false" name="AnsJTBL" vbProcedure="false">Lookups!$P$58:$Q$61</definedName>
    <definedName function="false" hidden="false" name="AnsK" vbProcedure="false">Lookups!$P$64:$P$67</definedName>
    <definedName function="false" hidden="false" name="AnsKTBL" vbProcedure="false">Lookups!$P$64:$Q$67</definedName>
    <definedName function="false" hidden="false" name="AnsL" vbProcedure="false">Lookups!$P$70:$P$73</definedName>
    <definedName function="false" hidden="false" name="AnsLTBL" vbProcedure="false">Lookups!$P$70:$Q$73</definedName>
    <definedName function="false" hidden="false" name="AnsM" vbProcedure="false">Lookups!$P$76:$P$79</definedName>
    <definedName function="false" hidden="false" name="AnsMTBL" vbProcedure="false">Lookups!$P$76:$Q$79</definedName>
    <definedName function="false" hidden="false" name="AnsN" vbProcedure="false">Lookups!$P$82:$P$85</definedName>
    <definedName function="false" hidden="false" name="AnsNTBL" vbProcedure="false">Lookups!$P$82:$Q$85</definedName>
    <definedName function="false" hidden="false" name="AnsO" vbProcedure="false">Lookups!$P$88:$P$91</definedName>
    <definedName function="false" hidden="false" name="AnsOTBL" vbProcedure="false">Lookups!$P$88:$Q$91</definedName>
    <definedName function="false" hidden="false" name="AnsP" vbProcedure="false">Lookups!$P$94:$P$97</definedName>
    <definedName function="false" hidden="false" name="AnsPTBL" vbProcedure="false">Lookups!$P$94:$Q$97</definedName>
    <definedName function="false" hidden="false" name="AnsQ" vbProcedure="false">Lookups!$P$100:$P$103</definedName>
    <definedName function="false" hidden="false" name="AnsQTBL" vbProcedure="false">Lookups!$P$100:$Q$103</definedName>
    <definedName function="false" hidden="false" name="AnsR" vbProcedure="false">Lookups!$P$106:$P$109</definedName>
    <definedName function="false" hidden="false" name="AnsRTBL" vbProcedure="false">Lookups!$P$106:$Q$109</definedName>
    <definedName function="false" hidden="false" name="AnsS" vbProcedure="false">Lookups!$P$112:$P$115</definedName>
    <definedName function="false" hidden="false" name="AnsSTBL" vbProcedure="false">Lookups!$P$112:$Q$115</definedName>
    <definedName function="false" hidden="false" name="AnsT" vbProcedure="false">Lookups!$P$118:$P$121</definedName>
    <definedName function="false" hidden="false" name="AnsTTBL" vbProcedure="false">Lookups!$P$118:$Q$121</definedName>
    <definedName function="false" hidden="false" name="AnsU" vbProcedure="false">Lookups!$P$124:$P$127</definedName>
    <definedName function="false" hidden="false" name="AnsUTBL" vbProcedure="false">Lookups!$P$124:$Q$127</definedName>
    <definedName function="false" hidden="false" name="AnsV" vbProcedure="false">Lookups!$P$130:$P$133</definedName>
    <definedName function="false" hidden="false" name="AnsVTBL" vbProcedure="false">Lookups!$P$130:$Q$133</definedName>
    <definedName function="false" hidden="false" name="AnsW" vbProcedure="false">Lookups!$P$136:$P$139</definedName>
    <definedName function="false" hidden="false" name="AnsWTBL" vbProcedure="false">Lookups!$P$136:$Q$139</definedName>
    <definedName function="false" hidden="false" name="AnsX" vbProcedure="false">Lookups!$P$142:$P$145</definedName>
    <definedName function="false" hidden="false" name="AnsXTBL" vbProcedure="false">Lookups!$P$142:$Q$145</definedName>
    <definedName function="false" hidden="false" name="AnsY" vbProcedure="false">Lookups!$P$148:$P$151</definedName>
    <definedName function="false" hidden="false" name="AnsYTBL" vbProcedure="false">Lookups!$P$148:$Q$151</definedName>
    <definedName function="false" hidden="false" name="D_SA_A_1_1" vbProcedure="false">'DV-Lists'!$A$9:$A$13</definedName>
    <definedName function="false" hidden="false" name="D_SA_A_2_1" vbProcedure="false">'DV-Lists'!$C$9:$C$13</definedName>
    <definedName function="false" hidden="false" name="D_SA_A_3_1" vbProcedure="false">'DV-Lists'!$E$9:$E$13</definedName>
    <definedName function="false" hidden="false" name="D_SA_B_1_1" vbProcedure="false">'DV-Lists'!$B$9:$B$13</definedName>
    <definedName function="false" hidden="false" name="D_SA_B_2_1" vbProcedure="false">'DV-Lists'!$D$9:$D$13</definedName>
    <definedName function="false" hidden="false" name="D_SA_B_3_1" vbProcedure="false">'DV-Lists'!$F$9:$F$13</definedName>
    <definedName function="false" hidden="false" name="D_SR_A_1_1" vbProcedure="false">'DV-Lists'!$G$9:$G$13</definedName>
    <definedName function="false" hidden="false" name="D_SR_A_2_1" vbProcedure="false">'DV-Lists'!$I$9:$I$13</definedName>
    <definedName function="false" hidden="false" name="D_SR_A_3_1" vbProcedure="false">'DV-Lists'!$K$9:$K$13</definedName>
    <definedName function="false" hidden="false" name="D_SR_B_1_1" vbProcedure="false">'DV-Lists'!$H$9:$H$13</definedName>
    <definedName function="false" hidden="false" name="D_SR_B_2_1" vbProcedure="false">'DV-Lists'!$J$9:$J$13</definedName>
    <definedName function="false" hidden="false" name="D_SR_B_3_1" vbProcedure="false">'DV-Lists'!$L$9:$L$13</definedName>
    <definedName function="false" hidden="false" name="D_TA_A_1_1" vbProcedure="false">'DV-Lists'!$M$9:$M$13</definedName>
    <definedName function="false" hidden="false" name="D_TA_A_2_1" vbProcedure="false">'DV-Lists'!$O$9:$O$13</definedName>
    <definedName function="false" hidden="false" name="D_TA_A_3_1" vbProcedure="false">'DV-Lists'!$Q$9:$Q$13</definedName>
    <definedName function="false" hidden="false" name="D_TA_B_1_1" vbProcedure="false">'DV-Lists'!$N$9:$N$13</definedName>
    <definedName function="false" hidden="false" name="D_TA_B_2_1" vbProcedure="false">'DV-Lists'!$P$9:$P$13</definedName>
    <definedName function="false" hidden="false" name="D_TA_B_3_1" vbProcedure="false">'DV-Lists'!$R$9:$R$13</definedName>
    <definedName function="false" hidden="false" name="G_EG_A_1_1" vbProcedure="false">'DV-Lists'!$A$2:$A$6</definedName>
    <definedName function="false" hidden="false" name="G_EG_A_2_1" vbProcedure="false">'DV-Lists'!$C$2:$C$6</definedName>
    <definedName function="false" hidden="false" name="G_EG_A_3_1" vbProcedure="false">'DV-Lists'!$E$2:$E$6</definedName>
    <definedName function="false" hidden="false" name="G_EG_B_1_1" vbProcedure="false">'DV-Lists'!$B$2:$B$6</definedName>
    <definedName function="false" hidden="false" name="G_EG_B_2_1" vbProcedure="false">'DV-Lists'!$D$2:$D$6</definedName>
    <definedName function="false" hidden="false" name="G_EG_B_3_1" vbProcedure="false">'DV-Lists'!$F$2:$F$6</definedName>
    <definedName function="false" hidden="false" name="G_PC_A_1_1" vbProcedure="false">'DV-Lists'!$G$2:$G$6</definedName>
    <definedName function="false" hidden="false" name="G_PC_A_2_1" vbProcedure="false">'DV-Lists'!$I$2:$I$6</definedName>
    <definedName function="false" hidden="false" name="G_PC_A_3_1" vbProcedure="false">'DV-Lists'!$K$2:$K$6</definedName>
    <definedName function="false" hidden="false" name="G_PC_B_1_1" vbProcedure="false">'DV-Lists'!$H$2:$H$6</definedName>
    <definedName function="false" hidden="false" name="G_PC_B_2_1" vbProcedure="false">'DV-Lists'!$J$2:$J$6</definedName>
    <definedName function="false" hidden="false" name="G_PC_B_3_1" vbProcedure="false">'DV-Lists'!$L$2:$L$6</definedName>
    <definedName function="false" hidden="false" name="G_SM_A_1_1" vbProcedure="false">'DV-Lists'!$M$2:$M$6</definedName>
    <definedName function="false" hidden="false" name="G_SM_A_2_1" vbProcedure="false">'DV-Lists'!$O$2:$O$6</definedName>
    <definedName function="false" hidden="false" name="G_SM_A_3_1" vbProcedure="false">'DV-Lists'!$Q$2:$Q$6</definedName>
    <definedName function="false" hidden="false" name="G_SM_B_1_1" vbProcedure="false">'DV-Lists'!$N$2:$N$6</definedName>
    <definedName function="false" hidden="false" name="G_SM_B_2_1" vbProcedure="false">'DV-Lists'!$P$2:$P$6</definedName>
    <definedName function="false" hidden="false" name="G_SM_B_3_1" vbProcedure="false">'DV-Lists'!$R$2:$R$6</definedName>
    <definedName function="false" hidden="false" name="I_DM_A_1_1" vbProcedure="false">'DV-Lists'!$A$16:$A$20</definedName>
    <definedName function="false" hidden="false" name="I_DM_A_2_1" vbProcedure="false">'DV-Lists'!$C$16:$C$20</definedName>
    <definedName function="false" hidden="false" name="I_DM_A_3_1" vbProcedure="false">'DV-Lists'!$E$16:$E$20</definedName>
    <definedName function="false" hidden="false" name="I_DM_B_1_1" vbProcedure="false">'DV-Lists'!$B$16:$B$20</definedName>
    <definedName function="false" hidden="false" name="I_DM_B_2_1" vbProcedure="false">'DV-Lists'!$D$16:$D$20</definedName>
    <definedName function="false" hidden="false" name="I_DM_B_3_1" vbProcedure="false">'DV-Lists'!$F$16:$F$20</definedName>
    <definedName function="false" hidden="false" name="I_SB_A_1_1" vbProcedure="false">'DV-Lists'!$G$16:$G$20</definedName>
    <definedName function="false" hidden="false" name="I_SB_A_2_1" vbProcedure="false">'DV-Lists'!$I$16:$I$20</definedName>
    <definedName function="false" hidden="false" name="I_SB_A_3_1" vbProcedure="false">'DV-Lists'!$K$16:$K$20</definedName>
    <definedName function="false" hidden="false" name="I_SB_B_1_1" vbProcedure="false">'DV-Lists'!$H$16:$H$20</definedName>
    <definedName function="false" hidden="false" name="I_SB_B_2_1" vbProcedure="false">'DV-Lists'!$J$16:$J$20</definedName>
    <definedName function="false" hidden="false" name="I_SB_B_3_1" vbProcedure="false">'DV-Lists'!$L$16:$L$20</definedName>
    <definedName function="false" hidden="false" name="I_SD_A_1_1" vbProcedure="false">'DV-Lists'!$M$16:$M$20</definedName>
    <definedName function="false" hidden="false" name="I_SD_A_2_1" vbProcedure="false">'DV-Lists'!$O$16:$O$20</definedName>
    <definedName function="false" hidden="false" name="I_SD_A_3_1" vbProcedure="false">'DV-Lists'!$Q$16:$Q$20</definedName>
    <definedName function="false" hidden="false" name="I_SD_B_1_1" vbProcedure="false">'DV-Lists'!$N$16:$N$20</definedName>
    <definedName function="false" hidden="false" name="I_SD_B_2_1" vbProcedure="false">'DV-Lists'!$P$16:$P$20</definedName>
    <definedName function="false" hidden="false" name="I_SD_B_3_1" vbProcedure="false">'DV-Lists'!$R$16:$R$20</definedName>
    <definedName function="false" hidden="false" name="O_EM_A_1_1" vbProcedure="false">'DV-Lists'!$A$30:$A$34</definedName>
    <definedName function="false" hidden="false" name="O_EM_A_2_1" vbProcedure="false">'DV-Lists'!$C$30:$C$34</definedName>
    <definedName function="false" hidden="false" name="O_EM_A_3_1" vbProcedure="false">'DV-Lists'!$E$30:$E$34</definedName>
    <definedName function="false" hidden="false" name="O_EM_B_1_1" vbProcedure="false">'DV-Lists'!$B$30:$B$34</definedName>
    <definedName function="false" hidden="false" name="O_EM_B_2_1" vbProcedure="false">'DV-Lists'!$D$30:$D$34</definedName>
    <definedName function="false" hidden="false" name="O_EM_B_3_1" vbProcedure="false">'DV-Lists'!$F$30:$F$34</definedName>
    <definedName function="false" hidden="false" name="O_IM_A_1_1" vbProcedure="false">'DV-Lists'!$G$30:$G$34</definedName>
    <definedName function="false" hidden="false" name="O_IM_A_2_1" vbProcedure="false">'DV-Lists'!$I$30:$I$34</definedName>
    <definedName function="false" hidden="false" name="O_IM_A_3_1" vbProcedure="false">'DV-Lists'!$K$30:$K$34</definedName>
    <definedName function="false" hidden="false" name="O_IM_B_1_1" vbProcedure="false">'DV-Lists'!$H$30:$H$34</definedName>
    <definedName function="false" hidden="false" name="O_IM_B_2_1" vbProcedure="false">'DV-Lists'!$J$30:$J$34</definedName>
    <definedName function="false" hidden="false" name="O_IM_B_3_1" vbProcedure="false">'DV-Lists'!$L$30:$L$34</definedName>
    <definedName function="false" hidden="false" name="O_OM_A_1_1" vbProcedure="false">'DV-Lists'!$M$30:$M$34</definedName>
    <definedName function="false" hidden="false" name="O_OM_A_2_1" vbProcedure="false">'DV-Lists'!$O$30:$O$34</definedName>
    <definedName function="false" hidden="false" name="O_OM_A_3_1" vbProcedure="false">'DV-Lists'!$Q$30:$Q$34</definedName>
    <definedName function="false" hidden="false" name="O_OM_B_1_1" vbProcedure="false">'DV-Lists'!$N$30:$N$34</definedName>
    <definedName function="false" hidden="false" name="O_OM_B_2_1" vbProcedure="false">'DV-Lists'!$P$30:$P$34</definedName>
    <definedName function="false" hidden="false" name="O_OM_B_3_1" vbProcedure="false">'DV-Lists'!$R$30:$R$34</definedName>
    <definedName function="false" hidden="false" name="V_AA_A_1_1" vbProcedure="false">'DV-Lists'!$A$23:$A$27</definedName>
    <definedName function="false" hidden="false" name="V_AA_A_2_1" vbProcedure="false">'DV-Lists'!$C$23:$C$27</definedName>
    <definedName function="false" hidden="false" name="V_AA_A_3_1" vbProcedure="false">'DV-Lists'!$E$23:$E$27</definedName>
    <definedName function="false" hidden="false" name="V_AA_B_1_1" vbProcedure="false">'DV-Lists'!$B$23:$B$27</definedName>
    <definedName function="false" hidden="false" name="V_AA_B_2_1" vbProcedure="false">'DV-Lists'!$D$23:$D$27</definedName>
    <definedName function="false" hidden="false" name="V_AA_B_3_1" vbProcedure="false">'DV-Lists'!$F$23:$F$27</definedName>
    <definedName function="false" hidden="false" name="V_RT_A_1_1" vbProcedure="false">'DV-Lists'!$G$23:$G$27</definedName>
    <definedName function="false" hidden="false" name="V_RT_A_2_1" vbProcedure="false">'DV-Lists'!$I$23:$I$27</definedName>
    <definedName function="false" hidden="false" name="V_RT_A_3_1" vbProcedure="false">'DV-Lists'!$K$23:$K$27</definedName>
    <definedName function="false" hidden="false" name="V_RT_B_1_1" vbProcedure="false">'DV-Lists'!$H$23:$H$27</definedName>
    <definedName function="false" hidden="false" name="V_RT_B_2_1" vbProcedure="false">'DV-Lists'!$J$23:$J$27</definedName>
    <definedName function="false" hidden="false" name="V_RT_B_3_1" vbProcedure="false">'DV-Lists'!$L$23:$L$27</definedName>
    <definedName function="false" hidden="false" name="V_ST_A_1_1" vbProcedure="false">'DV-Lists'!$M$23:$M$27</definedName>
    <definedName function="false" hidden="false" name="V_ST_A_2_1" vbProcedure="false">'DV-Lists'!$O$23:$O$27</definedName>
    <definedName function="false" hidden="false" name="V_ST_A_3_1" vbProcedure="false">'DV-Lists'!$Q$23:$Q$27</definedName>
    <definedName function="false" hidden="false" name="V_ST_B_1_1" vbProcedure="false">'DV-Lists'!$N$23:$N$27</definedName>
    <definedName function="false" hidden="false" name="V_ST_B_2_1" vbProcedure="false">'DV-Lists'!$P$23:$P$27</definedName>
    <definedName function="false" hidden="false" name="V_ST_B_3_1" vbProcedure="false">'DV-Lists'!$R$23:$R$27</definedName>
    <definedName function="false" hidden="false" localSheetId="1" name="D_SA_A_1_1" vbProcedure="false">#REF!</definedName>
    <definedName function="false" hidden="false" localSheetId="1" name="D_SA_A_2_1" vbProcedure="false">#REF!</definedName>
    <definedName function="false" hidden="false" localSheetId="1" name="D_SA_A_3_1" vbProcedure="false">#REF!</definedName>
    <definedName function="false" hidden="false" localSheetId="1" name="D_SA_B_1_1" vbProcedure="false">#REF!</definedName>
    <definedName function="false" hidden="false" localSheetId="1" name="D_SA_B_2_1" vbProcedure="false">#REF!</definedName>
    <definedName function="false" hidden="false" localSheetId="1" name="D_SA_B_3_1" vbProcedure="false">#REF!</definedName>
    <definedName function="false" hidden="false" localSheetId="1" name="D_SR_A_1_1" vbProcedure="false">#REF!</definedName>
    <definedName function="false" hidden="false" localSheetId="1" name="D_SR_A_2_1" vbProcedure="false">#REF!</definedName>
    <definedName function="false" hidden="false" localSheetId="1" name="D_SR_A_3_1" vbProcedure="false">#REF!</definedName>
    <definedName function="false" hidden="false" localSheetId="1" name="D_SR_B_1_1" vbProcedure="false">#REF!</definedName>
    <definedName function="false" hidden="false" localSheetId="1" name="D_SR_B_2_1" vbProcedure="false">#REF!</definedName>
    <definedName function="false" hidden="false" localSheetId="1" name="D_SR_B_3_1" vbProcedure="false">#REF!</definedName>
    <definedName function="false" hidden="false" localSheetId="1" name="D_TA_A_1_1" vbProcedure="false">#REF!</definedName>
    <definedName function="false" hidden="false" localSheetId="1" name="D_TA_A_2_1" vbProcedure="false">#REF!</definedName>
    <definedName function="false" hidden="false" localSheetId="1" name="D_TA_A_3_1" vbProcedure="false">#REF!</definedName>
    <definedName function="false" hidden="false" localSheetId="1" name="D_TA_B_1_1" vbProcedure="false">#REF!</definedName>
    <definedName function="false" hidden="false" localSheetId="1" name="D_TA_B_2_1" vbProcedure="false">#REF!</definedName>
    <definedName function="false" hidden="false" localSheetId="1" name="D_TA_B_3_1" vbProcedure="false">#REF!</definedName>
    <definedName function="false" hidden="false" localSheetId="1" name="G_EG_A_1_1" vbProcedure="false">#REF!</definedName>
    <definedName function="false" hidden="false" localSheetId="1" name="G_EG_A_2_1" vbProcedure="false">#REF!</definedName>
    <definedName function="false" hidden="false" localSheetId="1" name="G_EG_A_3_1" vbProcedure="false">#REF!</definedName>
    <definedName function="false" hidden="false" localSheetId="1" name="G_EG_B_1_1" vbProcedure="false">#REF!</definedName>
    <definedName function="false" hidden="false" localSheetId="1" name="G_EG_B_2_1" vbProcedure="false">#REF!</definedName>
    <definedName function="false" hidden="false" localSheetId="1" name="G_EG_B_3_1" vbProcedure="false">#REF!</definedName>
    <definedName function="false" hidden="false" localSheetId="1" name="G_PC_A_1_1" vbProcedure="false">#REF!</definedName>
    <definedName function="false" hidden="false" localSheetId="1" name="G_PC_A_2_1" vbProcedure="false">#REF!</definedName>
    <definedName function="false" hidden="false" localSheetId="1" name="G_PC_A_3_1" vbProcedure="false">#REF!</definedName>
    <definedName function="false" hidden="false" localSheetId="1" name="G_PC_B_1_1" vbProcedure="false">#REF!</definedName>
    <definedName function="false" hidden="false" localSheetId="1" name="G_PC_B_2_1" vbProcedure="false">#REF!</definedName>
    <definedName function="false" hidden="false" localSheetId="1" name="G_PC_B_3_1" vbProcedure="false">#REF!</definedName>
    <definedName function="false" hidden="false" localSheetId="1" name="G_SM_A_1_1" vbProcedure="false">#REF!</definedName>
    <definedName function="false" hidden="false" localSheetId="1" name="G_SM_A_2_1" vbProcedure="false">#REF!</definedName>
    <definedName function="false" hidden="false" localSheetId="1" name="G_SM_A_3_1" vbProcedure="false">#REF!</definedName>
    <definedName function="false" hidden="false" localSheetId="1" name="G_SM_B_1_1" vbProcedure="false">#REF!</definedName>
    <definedName function="false" hidden="false" localSheetId="1" name="G_SM_B_2_1" vbProcedure="false">#REF!</definedName>
    <definedName function="false" hidden="false" localSheetId="1" name="G_SM_B_3_1" vbProcedure="false">#REF!</definedName>
    <definedName function="false" hidden="false" localSheetId="1" name="I_DM_A_1_1" vbProcedure="false">#REF!</definedName>
    <definedName function="false" hidden="false" localSheetId="1" name="I_DM_A_2_1" vbProcedure="false">#REF!</definedName>
    <definedName function="false" hidden="false" localSheetId="1" name="I_DM_A_3_1" vbProcedure="false">#REF!</definedName>
    <definedName function="false" hidden="false" localSheetId="1" name="I_DM_B_1_1" vbProcedure="false">#REF!</definedName>
    <definedName function="false" hidden="false" localSheetId="1" name="I_DM_B_2_1" vbProcedure="false">#REF!</definedName>
    <definedName function="false" hidden="false" localSheetId="1" name="I_DM_B_3_1" vbProcedure="false">#REF!</definedName>
    <definedName function="false" hidden="false" localSheetId="1" name="I_SB_A_1_1" vbProcedure="false">#REF!</definedName>
    <definedName function="false" hidden="false" localSheetId="1" name="I_SB_A_2_1" vbProcedure="false">#REF!</definedName>
    <definedName function="false" hidden="false" localSheetId="1" name="I_SB_A_3_1" vbProcedure="false">#REF!</definedName>
    <definedName function="false" hidden="false" localSheetId="1" name="I_SB_B_1_1" vbProcedure="false">#REF!</definedName>
    <definedName function="false" hidden="false" localSheetId="1" name="I_SB_B_2_1" vbProcedure="false">#REF!</definedName>
    <definedName function="false" hidden="false" localSheetId="1" name="I_SB_B_3_1" vbProcedure="false">#REF!</definedName>
    <definedName function="false" hidden="false" localSheetId="1" name="I_SD_A_1_1" vbProcedure="false">#REF!</definedName>
    <definedName function="false" hidden="false" localSheetId="1" name="I_SD_A_2_1" vbProcedure="false">#REF!</definedName>
    <definedName function="false" hidden="false" localSheetId="1" name="I_SD_A_3_1" vbProcedure="false">#REF!</definedName>
    <definedName function="false" hidden="false" localSheetId="1" name="I_SD_B_1_1" vbProcedure="false">#REF!</definedName>
    <definedName function="false" hidden="false" localSheetId="1" name="I_SD_B_2_1" vbProcedure="false">#REF!</definedName>
    <definedName function="false" hidden="false" localSheetId="1" name="I_SD_B_3_1" vbProcedure="false">#REF!</definedName>
    <definedName function="false" hidden="false" localSheetId="1" name="O_EM_A_1_1" vbProcedure="false">#REF!</definedName>
    <definedName function="false" hidden="false" localSheetId="1" name="O_EM_A_2_1" vbProcedure="false">#REF!</definedName>
    <definedName function="false" hidden="false" localSheetId="1" name="O_EM_A_3_1" vbProcedure="false">#REF!</definedName>
    <definedName function="false" hidden="false" localSheetId="1" name="O_EM_B_1_1" vbProcedure="false">#REF!</definedName>
    <definedName function="false" hidden="false" localSheetId="1" name="O_EM_B_2_1" vbProcedure="false">#REF!</definedName>
    <definedName function="false" hidden="false" localSheetId="1" name="O_EM_B_3_1" vbProcedure="false">#REF!</definedName>
    <definedName function="false" hidden="false" localSheetId="1" name="O_IM_A_1_1" vbProcedure="false">#REF!</definedName>
    <definedName function="false" hidden="false" localSheetId="1" name="O_IM_A_2_1" vbProcedure="false">#REF!</definedName>
    <definedName function="false" hidden="false" localSheetId="1" name="O_IM_A_3_1" vbProcedure="false">#REF!</definedName>
    <definedName function="false" hidden="false" localSheetId="1" name="O_IM_B_1_1" vbProcedure="false">#REF!</definedName>
    <definedName function="false" hidden="false" localSheetId="1" name="O_IM_B_2_1" vbProcedure="false">#REF!</definedName>
    <definedName function="false" hidden="false" localSheetId="1" name="O_IM_B_3_1" vbProcedure="false">#REF!</definedName>
    <definedName function="false" hidden="false" localSheetId="1" name="O_OM_A_1_1" vbProcedure="false">#REF!</definedName>
    <definedName function="false" hidden="false" localSheetId="1" name="O_OM_A_2_1" vbProcedure="false">#REF!</definedName>
    <definedName function="false" hidden="false" localSheetId="1" name="O_OM_A_3_1" vbProcedure="false">#REF!</definedName>
    <definedName function="false" hidden="false" localSheetId="1" name="O_OM_B_1_1" vbProcedure="false">#REF!</definedName>
    <definedName function="false" hidden="false" localSheetId="1" name="O_OM_B_2_1" vbProcedure="false">#REF!</definedName>
    <definedName function="false" hidden="false" localSheetId="1" name="O_OM_B_3_1" vbProcedure="false">#REF!</definedName>
    <definedName function="false" hidden="false" localSheetId="1" name="V_AA_A_1_1" vbProcedure="false">#REF!</definedName>
    <definedName function="false" hidden="false" localSheetId="1" name="V_AA_A_2_1" vbProcedure="false">#REF!</definedName>
    <definedName function="false" hidden="false" localSheetId="1" name="V_AA_A_3_1" vbProcedure="false">#REF!</definedName>
    <definedName function="false" hidden="false" localSheetId="1" name="V_AA_B_1_1" vbProcedure="false">#REF!</definedName>
    <definedName function="false" hidden="false" localSheetId="1" name="V_AA_B_2_1" vbProcedure="false">#REF!</definedName>
    <definedName function="false" hidden="false" localSheetId="1" name="V_AA_B_3_1" vbProcedure="false">#REF!</definedName>
    <definedName function="false" hidden="false" localSheetId="1" name="V_RT_A_1_1" vbProcedure="false">#REF!</definedName>
    <definedName function="false" hidden="false" localSheetId="1" name="V_RT_A_2_1" vbProcedure="false">#REF!</definedName>
    <definedName function="false" hidden="false" localSheetId="1" name="V_RT_A_3_1" vbProcedure="false">#REF!</definedName>
    <definedName function="false" hidden="false" localSheetId="1" name="V_RT_B_1_1" vbProcedure="false">#REF!</definedName>
    <definedName function="false" hidden="false" localSheetId="1" name="V_RT_B_2_1" vbProcedure="false">#REF!</definedName>
    <definedName function="false" hidden="false" localSheetId="1" name="V_RT_B_3_1" vbProcedure="false">#REF!</definedName>
    <definedName function="false" hidden="false" localSheetId="1" name="V_ST_A_1_1" vbProcedure="false">#REF!</definedName>
    <definedName function="false" hidden="false" localSheetId="1" name="V_ST_A_2_1" vbProcedure="false">#REF!</definedName>
    <definedName function="false" hidden="false" localSheetId="1" name="V_ST_A_3_1" vbProcedure="false">#REF!</definedName>
    <definedName function="false" hidden="false" localSheetId="1" name="V_ST_B_1_1" vbProcedure="false">#REF!</definedName>
    <definedName function="false" hidden="false" localSheetId="1" name="V_ST_B_2_1" vbProcedure="false">#REF!</definedName>
    <definedName function="false" hidden="false" localSheetId="1" name="V_ST_B_3_1" vbProcedure="false">#REF!</definedName>
    <definedName function="false" hidden="true" localSheetId="2" name="Z_9846C184_355C_EA4B_8C35_9561D1AEE31C_.wvu.Rows" vbProcedure="false">Interview!$1:$1</definedName>
    <definedName function="false" hidden="true" localSheetId="3" name="Z_9846C184_355C_EA4B_8C35_9561D1AEE31C_.wvu.Cols" vbProcedure="false">Scorecard!$G:$G</definedName>
    <definedName function="false" hidden="true" localSheetId="4" name="Z_9846C184_355C_EA4B_8C35_9561D1AEE31C_.wvu.Rows" vbProcedure="false">Roadmap!$1:$1</definedName>
    <definedName function="false" hidden="true" localSheetId="5" name="Z_9846C184_355C_EA4B_8C35_9561D1AEE31C_.wvu.PrintArea" vbProcedure="false">'Roadmap Chart'!$L$3:$W$108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<sst xmlns="http://schemas.openxmlformats.org/spreadsheetml/2006/main" count="1635" uniqueCount="615">
  <si>
    <t xml:space="preserve">OWASP Software Assurance Maturity Model (SAMM) </t>
  </si>
  <si>
    <t xml:space="preserve">Version:</t>
  </si>
  <si>
    <t xml:space="preserve">'v2.1.1</t>
  </si>
  <si>
    <t xml:space="preserve">Description:</t>
  </si>
  <si>
    <t xml:space="preserve">Our mission is to provide an effective and measurable way for all types of organizations to analyze and improve their software security posture. We want to raise awareness and educate organizations on how to design, develop, and deploy secure software through our self-assessment model.</t>
  </si>
  <si>
    <t xml:space="preserve">License:</t>
  </si>
  <si>
    <t xml:space="preserve">Creative Commons Attribution-ShareAlike 4.0 License</t>
  </si>
  <si>
    <t xml:space="preserve">This work is licensed under the Creative Commons Attribution-Share Alike 3.0 License. To view a copy of this license, visit http://creativecommons.org/licenses/by-sa/3.0/legalcode; or, (b) send a letter to Creative Commons, 171 2nd Street, Suite 300, San Francisco, California, 94105, USA.</t>
  </si>
  <si>
    <t xml:space="preserve">Element:</t>
  </si>
  <si>
    <t xml:space="preserve">Toolbox for v2.0</t>
  </si>
  <si>
    <t xml:space="preserve">Authors:</t>
  </si>
  <si>
    <t xml:space="preserve">Yan Kravchenko, multiple core team members</t>
  </si>
  <si>
    <t xml:space="preserve">Contributors:</t>
  </si>
  <si>
    <t xml:space="preserve">The SAMM project team</t>
  </si>
  <si>
    <t xml:space="preserve">Toolbox for v1.5</t>
  </si>
  <si>
    <t xml:space="preserve">Brian Glas</t>
  </si>
  <si>
    <t xml:space="preserve">Roadmap Chart Template v1.0</t>
  </si>
  <si>
    <t xml:space="preserve">Author:</t>
  </si>
  <si>
    <t xml:space="preserve">Colin Watson</t>
  </si>
  <si>
    <t xml:space="preserve">Aidan Lynch</t>
  </si>
  <si>
    <t xml:space="preserve">Interview Template v1.0</t>
  </si>
  <si>
    <t xml:space="preserve">Author(s):</t>
  </si>
  <si>
    <t xml:space="preserve">Nick Coblentz, Eoin Keary, and Seba Deleersnyder</t>
  </si>
  <si>
    <t xml:space="preserve">SAMM</t>
  </si>
  <si>
    <t xml:space="preserve">The Software Assurance Maturity Model (SAMM) was created by Pravir Chandra and is now an Open Web Application Security Project (OWASP) project.</t>
  </si>
  <si>
    <t xml:space="preserve">SAMM is licensed under the Creative Commons Attribution-Share Alike 4.0 License</t>
  </si>
  <si>
    <t xml:space="preserve">https://owaspsamm.org/</t>
  </si>
  <si>
    <t xml:space="preserve">This worksheet is for importing the data from this workbook into the SAMM Benchmarking system. Please complete the demographic data, all other data will auto-populate.</t>
  </si>
  <si>
    <t xml:space="preserve">To import this worksheet into your current SAMM worksheet follow these steps:
1. Have this workbook and your completed workbook open.
2. Right-clck the benchmark worksheet and choose "Move or Copy"
3. Change the workbook name to your SAMM workbook
4. Click Interview and check the box to make a copy
5. Once copied, open the Benchmark worksheet in your SAMM workbook
6. Click on the Formulas menu, and click "Show Formulas"
7. Ctrl-F and chose replace, enter in "[SAMM_spreadsheet]" and Replace All
8. Uncheck "Show Formulas", this should ensure that the auto linking is relative to your SAMM workbook.
9. Verify the scoring is represented in the table below.
10. Complete the demographic drop down selections.
11. Delete the company name if you desire before submission (it's not saved in the database either way)
12. Upload your file to https://bit.ly/sammbenchmarksubmission 
13. An automated process will move the file into a secure Azure Blob for processing and remove the file.
14. Confirm the file is no longer visible in the folder you uploaded to after approximately 5 minutes.
15. If you have any issues or questions please email brian.glas@owasp.org</t>
  </si>
  <si>
    <t xml:space="preserve">Benchmark Lookups</t>
  </si>
  <si>
    <t xml:space="preserve">Type of Assessment</t>
  </si>
  <si>
    <t xml:space="preserve">Scope</t>
  </si>
  <si>
    <t xml:space="preserve">Region</t>
  </si>
  <si>
    <t xml:space="preserve">Industry</t>
  </si>
  <si>
    <t xml:space="preserve">Developers</t>
  </si>
  <si>
    <t xml:space="preserve">App Security</t>
  </si>
  <si>
    <t xml:space="preserve">Champions</t>
  </si>
  <si>
    <t xml:space="preserve">SDL</t>
  </si>
  <si>
    <t xml:space="preserve">Please complete this section</t>
  </si>
  <si>
    <t xml:space="preserve">Do not insert or delete lines</t>
  </si>
  <si>
    <t xml:space="preserve">Description</t>
  </si>
  <si>
    <t xml:space="preserve">Self-Assessment</t>
  </si>
  <si>
    <t xml:space="preserve">Company</t>
  </si>
  <si>
    <t xml:space="preserve">Africa</t>
  </si>
  <si>
    <t xml:space="preserve">Multiple</t>
  </si>
  <si>
    <t xml:space="preserve">1-100</t>
  </si>
  <si>
    <t xml:space="preserve">1-5</t>
  </si>
  <si>
    <t xml:space="preserve">0</t>
  </si>
  <si>
    <t xml:space="preserve">Waterfall</t>
  </si>
  <si>
    <t xml:space="preserve">Third-Party Assessment</t>
  </si>
  <si>
    <t xml:space="preserve">Organization</t>
  </si>
  <si>
    <t xml:space="preserve">Asia-Pacific</t>
  </si>
  <si>
    <t xml:space="preserve">Government</t>
  </si>
  <si>
    <t xml:space="preserve">101-1000</t>
  </si>
  <si>
    <t xml:space="preserve">6-10</t>
  </si>
  <si>
    <t xml:space="preserve">1-20</t>
  </si>
  <si>
    <t xml:space="preserve">AgileFall</t>
  </si>
  <si>
    <t xml:space="preserve">Version of SAMM</t>
  </si>
  <si>
    <t xml:space="preserve">Automatic from the Attribution Page</t>
  </si>
  <si>
    <t xml:space="preserve">Team</t>
  </si>
  <si>
    <t xml:space="preserve">Europe</t>
  </si>
  <si>
    <t xml:space="preserve">Critical Infrastructure</t>
  </si>
  <si>
    <t xml:space="preserve">1001-10000</t>
  </si>
  <si>
    <t xml:space="preserve">11-20</t>
  </si>
  <si>
    <t xml:space="preserve">21-50</t>
  </si>
  <si>
    <t xml:space="preserve">Agile</t>
  </si>
  <si>
    <t xml:space="preserve">Date of Assessment</t>
  </si>
  <si>
    <t xml:space="preserve">Automatic from the Interview Page</t>
  </si>
  <si>
    <t xml:space="preserve">Latin America</t>
  </si>
  <si>
    <t xml:space="preserve">Defense</t>
  </si>
  <si>
    <t xml:space="preserve">10000+</t>
  </si>
  <si>
    <t xml:space="preserve">20+</t>
  </si>
  <si>
    <t xml:space="preserve">51-100</t>
  </si>
  <si>
    <t xml:space="preserve">Other</t>
  </si>
  <si>
    <t xml:space="preserve">Choose the type of assessment</t>
  </si>
  <si>
    <t xml:space="preserve">North America</t>
  </si>
  <si>
    <t xml:space="preserve">Aerospace</t>
  </si>
  <si>
    <t xml:space="preserve">100+</t>
  </si>
  <si>
    <t xml:space="preserve">Scope of Assessment</t>
  </si>
  <si>
    <t xml:space="preserve">Scope can be full org, a department/business unit/etc, or an individual team</t>
  </si>
  <si>
    <t xml:space="preserve">Global</t>
  </si>
  <si>
    <t xml:space="preserve">Automotive</t>
  </si>
  <si>
    <t xml:space="preserve">Geographic Region</t>
  </si>
  <si>
    <t xml:space="preserve">Select the best region</t>
  </si>
  <si>
    <t xml:space="preserve">Manufacturing</t>
  </si>
  <si>
    <t xml:space="preserve">Primary Industry</t>
  </si>
  <si>
    <t xml:space="preserve">Select the best fit for primary industry</t>
  </si>
  <si>
    <t xml:space="preserve">Healthcare</t>
  </si>
  <si>
    <t xml:space="preserve">Company Level of Developers</t>
  </si>
  <si>
    <t xml:space="preserve">How many developers within the company (estimated)</t>
  </si>
  <si>
    <t xml:space="preserve">Finance</t>
  </si>
  <si>
    <t xml:space="preserve">Company Level of App Security</t>
  </si>
  <si>
    <t xml:space="preserve">How many application security personnel in the company (estimated)</t>
  </si>
  <si>
    <t xml:space="preserve">Fintech</t>
  </si>
  <si>
    <t xml:space="preserve">Company Security Champions</t>
  </si>
  <si>
    <t xml:space="preserve">How many security champions in the company (estimated)</t>
  </si>
  <si>
    <t xml:space="preserve">IoT</t>
  </si>
  <si>
    <t xml:space="preserve">Target Level of Developers</t>
  </si>
  <si>
    <t xml:space="preserve">How many developers within the scope of the assessment (estimated)</t>
  </si>
  <si>
    <t xml:space="preserve">Cloud</t>
  </si>
  <si>
    <t xml:space="preserve">Primary SDL Methodology</t>
  </si>
  <si>
    <t xml:space="preserve">Primary software development methodology</t>
  </si>
  <si>
    <t xml:space="preserve">ISV</t>
  </si>
  <si>
    <t xml:space="preserve">Composite Score</t>
  </si>
  <si>
    <t xml:space="preserve">Automatic from the Scorecard Sheet</t>
  </si>
  <si>
    <t xml:space="preserve">Retail</t>
  </si>
  <si>
    <t xml:space="preserve">Governance Score</t>
  </si>
  <si>
    <t xml:space="preserve">Design Score</t>
  </si>
  <si>
    <t xml:space="preserve">Implementation Score</t>
  </si>
  <si>
    <t xml:space="preserve">Verification Score</t>
  </si>
  <si>
    <t xml:space="preserve">Operations Score</t>
  </si>
  <si>
    <t xml:space="preserve">G-SM-A-1-1</t>
  </si>
  <si>
    <t xml:space="preserve">Automatic from the Interview Sheet</t>
  </si>
  <si>
    <t xml:space="preserve">G-SM-A-2-1</t>
  </si>
  <si>
    <t xml:space="preserve">G-SM-A-3-1</t>
  </si>
  <si>
    <t xml:space="preserve">G-SM-B-1-1</t>
  </si>
  <si>
    <t xml:space="preserve">G-SM-B-2-1</t>
  </si>
  <si>
    <t xml:space="preserve">G-SM-B-3-1</t>
  </si>
  <si>
    <t xml:space="preserve">G-PC-A-1-1</t>
  </si>
  <si>
    <t xml:space="preserve">G-PC-A-2-1</t>
  </si>
  <si>
    <t xml:space="preserve">G-PC-A-3-1</t>
  </si>
  <si>
    <t xml:space="preserve">G-PC-B-1-1</t>
  </si>
  <si>
    <t xml:space="preserve">G-PC-B-2-1</t>
  </si>
  <si>
    <t xml:space="preserve">G-PC-B-3-1</t>
  </si>
  <si>
    <t xml:space="preserve">G-EG-A-1-1</t>
  </si>
  <si>
    <t xml:space="preserve">G-EG-A-2-1</t>
  </si>
  <si>
    <t xml:space="preserve">G-EG-A-3-1</t>
  </si>
  <si>
    <t xml:space="preserve">G-EG-B-1-1</t>
  </si>
  <si>
    <t xml:space="preserve">G-EG-B-2-1</t>
  </si>
  <si>
    <t xml:space="preserve">G-EG-B-3-1</t>
  </si>
  <si>
    <t xml:space="preserve">D-TA-A-1-1</t>
  </si>
  <si>
    <t xml:space="preserve">D-TA-A-2-1</t>
  </si>
  <si>
    <t xml:space="preserve">D-TA-A-3-1</t>
  </si>
  <si>
    <t xml:space="preserve">D-TA-B-1-1</t>
  </si>
  <si>
    <t xml:space="preserve">D-TA-B-2-1</t>
  </si>
  <si>
    <t xml:space="preserve">D-TA-B-3-1</t>
  </si>
  <si>
    <t xml:space="preserve">D-SR-A-1-1</t>
  </si>
  <si>
    <t xml:space="preserve">D-SR-A-2-1</t>
  </si>
  <si>
    <t xml:space="preserve">D-SR-A-3-1</t>
  </si>
  <si>
    <t xml:space="preserve">D-SR-B-1-1</t>
  </si>
  <si>
    <t xml:space="preserve">D-SR-B-2-1</t>
  </si>
  <si>
    <t xml:space="preserve">D-SR-B-3-1</t>
  </si>
  <si>
    <t xml:space="preserve">D-SA-A-1-1</t>
  </si>
  <si>
    <t xml:space="preserve">D-SA-A-2-1</t>
  </si>
  <si>
    <t xml:space="preserve">D-SA-A-3-1</t>
  </si>
  <si>
    <t xml:space="preserve">D-SA-B-1-1</t>
  </si>
  <si>
    <t xml:space="preserve">D-SA-B-2-1</t>
  </si>
  <si>
    <t xml:space="preserve">D-SA-B-3-1</t>
  </si>
  <si>
    <t xml:space="preserve">I-SB-A-1-1</t>
  </si>
  <si>
    <t xml:space="preserve">I-SB-A-2-1</t>
  </si>
  <si>
    <t xml:space="preserve">I-SB-A-3-1</t>
  </si>
  <si>
    <t xml:space="preserve">I-SB-B-1-1</t>
  </si>
  <si>
    <t xml:space="preserve">I-SB-B-2-1</t>
  </si>
  <si>
    <t xml:space="preserve">I-SB-B-3-1</t>
  </si>
  <si>
    <t xml:space="preserve">I-SD-A-1-1</t>
  </si>
  <si>
    <t xml:space="preserve">I-SD-A-2-1</t>
  </si>
  <si>
    <t xml:space="preserve">I-SD-A-3-1</t>
  </si>
  <si>
    <t xml:space="preserve">I-SD-B-1-1</t>
  </si>
  <si>
    <t xml:space="preserve">I-SD-B-2-1</t>
  </si>
  <si>
    <t xml:space="preserve">I-SD-B-3-1</t>
  </si>
  <si>
    <t xml:space="preserve">I-DM-A-1-1</t>
  </si>
  <si>
    <t xml:space="preserve">I-DM-A-2-1</t>
  </si>
  <si>
    <t xml:space="preserve">I-DM-A-3-1</t>
  </si>
  <si>
    <t xml:space="preserve">I-DM-B-1-1</t>
  </si>
  <si>
    <t xml:space="preserve">I-DM-B-2-1</t>
  </si>
  <si>
    <t xml:space="preserve">I-DM-B-3-1</t>
  </si>
  <si>
    <t xml:space="preserve">V-AA-A-1-1</t>
  </si>
  <si>
    <t xml:space="preserve">V-AA-A-2-1</t>
  </si>
  <si>
    <t xml:space="preserve">V-AA-A-3-1</t>
  </si>
  <si>
    <t xml:space="preserve">V-AA-B-1-1</t>
  </si>
  <si>
    <t xml:space="preserve">V-AA-B-2-1</t>
  </si>
  <si>
    <t xml:space="preserve">V-AA-B-3-1</t>
  </si>
  <si>
    <t xml:space="preserve">V-RT-A-1-1</t>
  </si>
  <si>
    <t xml:space="preserve">V-RT-A-2-1</t>
  </si>
  <si>
    <t xml:space="preserve">V-RT-A-3-1</t>
  </si>
  <si>
    <t xml:space="preserve">V-RT-B-1-1</t>
  </si>
  <si>
    <t xml:space="preserve">V-RT-B-2-1</t>
  </si>
  <si>
    <t xml:space="preserve">V-RT-B-3-1</t>
  </si>
  <si>
    <t xml:space="preserve">V-ST-A-1-1</t>
  </si>
  <si>
    <t xml:space="preserve">V-ST-A-2-1</t>
  </si>
  <si>
    <t xml:space="preserve">V-ST-A-3-1</t>
  </si>
  <si>
    <t xml:space="preserve">V-ST-B-1-1</t>
  </si>
  <si>
    <t xml:space="preserve">V-ST-B-2-1</t>
  </si>
  <si>
    <t xml:space="preserve">V-ST-B-3-1</t>
  </si>
  <si>
    <t xml:space="preserve">O-IM-A-1-1</t>
  </si>
  <si>
    <t xml:space="preserve">O-IM-A-2-1</t>
  </si>
  <si>
    <t xml:space="preserve">O-IM-A-3-1</t>
  </si>
  <si>
    <t xml:space="preserve">O-IM-B-1-1</t>
  </si>
  <si>
    <t xml:space="preserve">O-IM-B-2-1</t>
  </si>
  <si>
    <t xml:space="preserve">O-IM-B-3-1</t>
  </si>
  <si>
    <t xml:space="preserve">O-EM-A-1-1</t>
  </si>
  <si>
    <t xml:space="preserve">O-EM-A-2-1</t>
  </si>
  <si>
    <t xml:space="preserve">O-EM-A-3-1</t>
  </si>
  <si>
    <t xml:space="preserve">O-EM-B-1-1</t>
  </si>
  <si>
    <t xml:space="preserve">O-EM-B-2-1</t>
  </si>
  <si>
    <t xml:space="preserve">O-EM-B-3-1</t>
  </si>
  <si>
    <t xml:space="preserve">O-OM-A-1-1</t>
  </si>
  <si>
    <t xml:space="preserve">O-OM-A-2-1</t>
  </si>
  <si>
    <t xml:space="preserve">O-OM-A-3-1</t>
  </si>
  <si>
    <t xml:space="preserve">O-OM-B-1-1</t>
  </si>
  <si>
    <t xml:space="preserve">O-OM-B-2-1</t>
  </si>
  <si>
    <t xml:space="preserve">O-OM-B-3-1</t>
  </si>
  <si>
    <t xml:space="preserve">Instructions</t>
  </si>
  <si>
    <t xml:space="preserve">Interview an individual based on the questions below organized according to SAMM Business Functions and Security Practices.</t>
  </si>
  <si>
    <t xml:space="preserve">Select the best answer from the multiple choice drop down selections in the answer column.</t>
  </si>
  <si>
    <t xml:space="preserve">Document additional information such as how and why in the "Interview Notes" column.</t>
  </si>
  <si>
    <t xml:space="preserve">The formulas in hidden columns F-H will calculate the scores and update the Rating boxes and other worksheets as needed.</t>
  </si>
  <si>
    <t xml:space="preserve">Once the interview is complete, go to the "Scorecard" sheet and follow instructions.</t>
  </si>
  <si>
    <t xml:space="preserve">Organization:</t>
  </si>
  <si>
    <t xml:space="preserve">Team/Application:</t>
  </si>
  <si>
    <t xml:space="preserve">Interview Date:</t>
  </si>
  <si>
    <t xml:space="preserve">Team Lead: </t>
  </si>
  <si>
    <t xml:space="preserve">Governance</t>
  </si>
  <si>
    <t xml:space="preserve">Stream</t>
  </si>
  <si>
    <t xml:space="preserve">Level</t>
  </si>
  <si>
    <t xml:space="preserve">Strategy &amp; Metrics</t>
  </si>
  <si>
    <t xml:space="preserve">Answer</t>
  </si>
  <si>
    <t xml:space="preserve">Interview Notes</t>
  </si>
  <si>
    <t xml:space="preserve">Rating</t>
  </si>
  <si>
    <t xml:space="preserve">Policy &amp; Compliance</t>
  </si>
  <si>
    <t xml:space="preserve">Education &amp; Guidance</t>
  </si>
  <si>
    <t xml:space="preserve">Design</t>
  </si>
  <si>
    <t xml:space="preserve">Threat Assessment</t>
  </si>
  <si>
    <t xml:space="preserve">Security Requirements</t>
  </si>
  <si>
    <t xml:space="preserve">Secure Architecture</t>
  </si>
  <si>
    <t xml:space="preserve">Implementation</t>
  </si>
  <si>
    <t xml:space="preserve">Secure Build</t>
  </si>
  <si>
    <t xml:space="preserve">Secure Deployment</t>
  </si>
  <si>
    <t xml:space="preserve">Defect Management</t>
  </si>
  <si>
    <t xml:space="preserve">Verification</t>
  </si>
  <si>
    <t xml:space="preserve">Architecture Assessment</t>
  </si>
  <si>
    <t xml:space="preserve">Requirements Testing</t>
  </si>
  <si>
    <t xml:space="preserve">Security Testing</t>
  </si>
  <si>
    <t xml:space="preserve">Operations</t>
  </si>
  <si>
    <t xml:space="preserve">Incident Management</t>
  </si>
  <si>
    <t xml:space="preserve">Environment Management</t>
  </si>
  <si>
    <t xml:space="preserve">Operational Management</t>
  </si>
  <si>
    <t xml:space="preserve">Notes:
Data in this worksheet is automatically imported from the Interview and Roadmap worksheets and will automatically update when changed in the respective worksheets.  This is mostly a read-only worksheet, changes should be made in Interview or Roadmap worksheets.</t>
  </si>
  <si>
    <t xml:space="preserve">Current Maturity Score</t>
  </si>
  <si>
    <t xml:space="preserve">Maturity</t>
  </si>
  <si>
    <t xml:space="preserve">Business Functions</t>
  </si>
  <si>
    <t xml:space="preserve">Security Practices</t>
  </si>
  <si>
    <t xml:space="preserve">Score</t>
  </si>
  <si>
    <t xml:space="preserve">Translated Value</t>
  </si>
  <si>
    <t xml:space="preserve">Overall</t>
  </si>
  <si>
    <t xml:space="preserve">Phase 1 Maturity Score</t>
  </si>
  <si>
    <t xml:space="preserve">Phase 2 Maturity Score</t>
  </si>
  <si>
    <t xml:space="preserve">Phase 3 Maturity Score</t>
  </si>
  <si>
    <t xml:space="preserve">Phase 4 Maturity Score</t>
  </si>
  <si>
    <t xml:space="preserve">Current</t>
  </si>
  <si>
    <t xml:space="preserve">Phase 1</t>
  </si>
  <si>
    <t xml:space="preserve">Phase 2</t>
  </si>
  <si>
    <t xml:space="preserve">Phase 3</t>
  </si>
  <si>
    <t xml:space="preserve">Phase 4</t>
  </si>
  <si>
    <t xml:space="preserve">Gap vs Current</t>
  </si>
  <si>
    <t xml:space="preserve">Software Assurance Maturity Model (SAMM) Roadmap</t>
  </si>
  <si>
    <t xml:space="preserve">Date</t>
  </si>
  <si>
    <t xml:space="preserve">Team Lead:</t>
  </si>
  <si>
    <t xml:space="preserve">Source Data</t>
  </si>
  <si>
    <t xml:space="preserve">As-Is</t>
  </si>
  <si>
    <t xml:space="preserve">To-Be</t>
  </si>
  <si>
    <t xml:space="preserve">Security Practice</t>
  </si>
  <si>
    <t xml:space="preserve">Security Practices/Phase</t>
  </si>
  <si>
    <t xml:space="preserve">Start</t>
  </si>
  <si>
    <t xml:space="preserve">After 1</t>
  </si>
  <si>
    <t xml:space="preserve">After 2</t>
  </si>
  <si>
    <t xml:space="preserve">May</t>
  </si>
  <si>
    <t xml:space="preserve">After 4</t>
  </si>
  <si>
    <t xml:space="preserve">Current GAP</t>
  </si>
  <si>
    <t xml:space="preserve">SAMM velocity:</t>
  </si>
  <si>
    <t xml:space="preserve">Valid Maturity Levels</t>
  </si>
  <si>
    <t xml:space="preserve">Notes:
Data in this worksheet is used to feed the Interview worksheet and Roadmap worksheet and provides answers and values.  
Please do not edit without understanding the potential impact to the SAMM model as it will alter the scoring model.
There are currently seven categories of answers, the colors/numbers in column I indicate which questions in which Business Function are using that specific answer category.</t>
  </si>
  <si>
    <t xml:space="preserve">Rating Scale</t>
  </si>
  <si>
    <t xml:space="preserve">Yes</t>
  </si>
  <si>
    <t xml:space="preserve">A</t>
  </si>
  <si>
    <t xml:space="preserve">No</t>
  </si>
  <si>
    <t xml:space="preserve">2+</t>
  </si>
  <si>
    <t xml:space="preserve">Yes, it's less than a year old</t>
  </si>
  <si>
    <t xml:space="preserve">Yes, it's a number of years old</t>
  </si>
  <si>
    <t xml:space="preserve">1+</t>
  </si>
  <si>
    <t xml:space="preserve">Yes, it's a pretty mature program</t>
  </si>
  <si>
    <t xml:space="preserve">0+</t>
  </si>
  <si>
    <t xml:space="preserve">B</t>
  </si>
  <si>
    <t xml:space="preserve">2,3,6,9</t>
  </si>
  <si>
    <t xml:space="preserve">Yes, some of them are aware</t>
  </si>
  <si>
    <t xml:space="preserve">4,15</t>
  </si>
  <si>
    <t xml:space="preserve">Yes, approx. half of them are aware</t>
  </si>
  <si>
    <t xml:space="preserve">1,3,5,12</t>
  </si>
  <si>
    <t xml:space="preserve">Yes, most of them are aware</t>
  </si>
  <si>
    <t xml:space="preserve">C</t>
  </si>
  <si>
    <t xml:space="preserve">4,5,7,12,13,14,16,17,18</t>
  </si>
  <si>
    <t xml:space="preserve">1,2,3,6,7,8,10,11,12,15,19</t>
  </si>
  <si>
    <t xml:space="preserve">Yes, a small percentage are/do</t>
  </si>
  <si>
    <t xml:space="preserve">1,2,3,5,8,10,13,14,17,18</t>
  </si>
  <si>
    <t xml:space="preserve">Yes, at least half of them are/do</t>
  </si>
  <si>
    <t xml:space="preserve">6,7,9,11,14,15,16,17</t>
  </si>
  <si>
    <t xml:space="preserve">Yes, the majority of them are/do</t>
  </si>
  <si>
    <t xml:space="preserve">D</t>
  </si>
  <si>
    <t xml:space="preserve">8,15,20</t>
  </si>
  <si>
    <t xml:space="preserve">Yes, we did it once</t>
  </si>
  <si>
    <t xml:space="preserve">Yes, we do it every few years</t>
  </si>
  <si>
    <t xml:space="preserve">Yes, we do it at least annually</t>
  </si>
  <si>
    <t xml:space="preserve">E</t>
  </si>
  <si>
    <t xml:space="preserve">No, it is not applicable</t>
  </si>
  <si>
    <t xml:space="preserve">Yes, but on an adhoc basis</t>
  </si>
  <si>
    <t xml:space="preserve">F</t>
  </si>
  <si>
    <t xml:space="preserve">11,19</t>
  </si>
  <si>
    <t xml:space="preserve">9,14,17</t>
  </si>
  <si>
    <t xml:space="preserve">Yes, teams write/run their own</t>
  </si>
  <si>
    <t xml:space="preserve">Yes, there is a standard set</t>
  </si>
  <si>
    <t xml:space="preserve">Yes, the standard set is integrated</t>
  </si>
  <si>
    <t xml:space="preserve">G</t>
  </si>
  <si>
    <t xml:space="preserve">16,18</t>
  </si>
  <si>
    <t xml:space="preserve">Yes, localized to business areas</t>
  </si>
  <si>
    <t xml:space="preserve">6,7,9,11,12,16,19</t>
  </si>
  <si>
    <t xml:space="preserve">Yes, across the organization</t>
  </si>
  <si>
    <t xml:space="preserve">4,8,10,13</t>
  </si>
  <si>
    <t xml:space="preserve">Yes, across the organization and required</t>
  </si>
  <si>
    <t xml:space="preserve">H</t>
  </si>
  <si>
    <t xml:space="preserve">ID</t>
  </si>
  <si>
    <t xml:space="preserve">Business Function</t>
  </si>
  <si>
    <t xml:space="preserve">Activity</t>
  </si>
  <si>
    <t xml:space="preserve">Question</t>
  </si>
  <si>
    <t xml:space="preserve">Guidance</t>
  </si>
  <si>
    <t xml:space="preserve">Answer Option</t>
  </si>
  <si>
    <t xml:space="preserve">Architecture Design</t>
  </si>
  <si>
    <t xml:space="preserve">Do teams use security principles during design?</t>
  </si>
  <si>
    <t xml:space="preserve">You have an agreed upon checklist of security principles
 You store your checklist in an accessible location
 Relevant stakeholders understand security principles</t>
  </si>
  <si>
    <t xml:space="preserve">Technology Management</t>
  </si>
  <si>
    <t xml:space="preserve">Do you evaluate the security quality of important technologies used for development?</t>
  </si>
  <si>
    <t xml:space="preserve">You have a list of the most important technologies used in, or in support of, each application
 You identify and track technological risks
 You ensure the risks to these technologies are in line with the organizational baseline</t>
  </si>
  <si>
    <t xml:space="preserve">Do you use shared security services during design?</t>
  </si>
  <si>
    <t xml:space="preserve">You have a documented list of reusable security services, available to relevant stakeholders
 You have reviewed the baseline security posture for each selected service
 Your designers are trained to integrate each selected service following available guidance</t>
  </si>
  <si>
    <t xml:space="preserve">Do you have a list of recommended technologies for the organization?</t>
  </si>
  <si>
    <t xml:space="preserve">The list is based on technologies used in the software portfolio
 Lead architects and developers review and approve the list
 You share the list across the organization
 You review and update the list at least yearly</t>
  </si>
  <si>
    <t xml:space="preserve">Do you base your design on available reference architectures?</t>
  </si>
  <si>
    <t xml:space="preserve">You have one or more approved reference architectures documented and available to stakeholders
 You improve the reference architectures continuously based on insights and best practices
 You provide a set of components, libraries, and tools to implement each reference architecture</t>
  </si>
  <si>
    <t xml:space="preserve">Do you enforce the use of recommended technologies within the organization?</t>
  </si>
  <si>
    <t xml:space="preserve">You monitor applications regularly for the correct use of the recommended technologies
 You solve violations against the list accoranding to organizational policies
 You take action if the number of violations falls outside the yearly objectives</t>
  </si>
  <si>
    <t xml:space="preserve">Software Requirements</t>
  </si>
  <si>
    <t xml:space="preserve">Do project teams specify security requirements during development?</t>
  </si>
  <si>
    <t xml:space="preserve">Teams derive security requirements from functional requirements and customer or organization concerns
 Security requirements are specific, measurable, and reasonable
 Security requirements are in line with the organizational baseline</t>
  </si>
  <si>
    <t xml:space="preserve">Supplier Security</t>
  </si>
  <si>
    <t xml:space="preserve">Do stakeholders review vendor collaborations for security requirements and methodology?</t>
  </si>
  <si>
    <t xml:space="preserve">You consider including specific security requirements, activities, and processes when creating third-party agreements
 A vendor questionnaire is available and used to assess the strengths and weaknesses of your suppliers</t>
  </si>
  <si>
    <t xml:space="preserve">Do you define, structure, and include prioritization in the artifacts of the security requirements gathering process?</t>
  </si>
  <si>
    <t xml:space="preserve">Security requirements take into consideration domain specific knowledge when applying policies and guidance to product development
 Domain experts are involved in the requirements definition process
 You have an agreed upon structured notation for security requirements
 Development teams have a security champion dedicated to reviewing security requirements and outcomes</t>
  </si>
  <si>
    <t xml:space="preserve">Do vendors meet the security responsibilities and quality measures of service level agreements defined by the organization?</t>
  </si>
  <si>
    <t xml:space="preserve">You discuss security requirements with the vendor when creating vendor agreements
 Vendor agreements provide specific guidance on security defect remediation within an agreed upon timeframe
 The organization has a templated agreement of responsibilities and service levels for key vendor security processes
 You measure key performance indicators</t>
  </si>
  <si>
    <t xml:space="preserve">Do you use a standard requirements framework to streamline the elicitation of security requirements?</t>
  </si>
  <si>
    <t xml:space="preserve">A security requirements framework is available for project teams
 The framework is categorized by common requirements and standards-based requirements
 The framework gives clear guidance on the quality of requirements and how to describe them
 The framework is adaptable to specific business requirements</t>
  </si>
  <si>
    <t xml:space="preserve">Are vendors aligned with standard security controls and software development tools and processes that the organization utilizes?</t>
  </si>
  <si>
    <t xml:space="preserve">The vendor has a secure SDLC that includes secure build, secure deployment, defect management, and incident management, meets the security expectations of your organization, and is able to demonstrate operating effectiveness of practices.
 You verify the solution meets quality and security objectives before every major release
 When standard verification processes are not available, you use compensating controls such as software composition analysis and independent penetration testing</t>
  </si>
  <si>
    <t xml:space="preserve">Application Risk Profile</t>
  </si>
  <si>
    <t xml:space="preserve">Do you classify applications according to business risk based on a simple and predefined set of questions?</t>
  </si>
  <si>
    <t xml:space="preserve">An agreed-upon risk classification exists
 The application team understands the risk classification
 The risk classification covers critical aspects of business risks the organization is facing
 The organization has an inventory for the applications in scope</t>
  </si>
  <si>
    <t xml:space="preserve">Threat Modeling</t>
  </si>
  <si>
    <t xml:space="preserve">Do you identify and manage architectural design flaws with threat modeling?</t>
  </si>
  <si>
    <t xml:space="preserve">You perform threat modeling for high-risk applications
 You use simple threat checklists, such as STRIDE
 You persist the outcome of a threat model for later use</t>
  </si>
  <si>
    <t xml:space="preserve">Do you use centralized and quantified application risk profiles to evaluate business risk?</t>
  </si>
  <si>
    <t xml:space="preserve">The application risk profile is in line with the organizational risk standard
 The application risk profile covers impact to security and privacy
 You validate the quality of the risk profile manually and/or automatically
 The application risk profiles are stored in a central inventory</t>
  </si>
  <si>
    <t xml:space="preserve">Do you use a standard methodology, aligned with your application risk levels?</t>
  </si>
  <si>
    <t xml:space="preserve">You train your architects, security champions, and other stakeholders on how to do practical threat modeling
 Your threat modeling methodology includes at least diagramming, threat identification, design flaw mitigations, and how to validate your threat model artifacts
 Changes in the application or business context trigger a review of the relevant threat models
 You capture the threat modeling artifacts with tools used by your application teams</t>
  </si>
  <si>
    <t xml:space="preserve">Do you regularly review and update the risk profiles for your applications?</t>
  </si>
  <si>
    <t xml:space="preserve">The organizational risk standard considers historical feedback to improve the evaluation method
 Significant changes in the application or business context trigger a review of the relevant risk profiles</t>
  </si>
  <si>
    <t xml:space="preserve">Do you regularly review and update the threat modeling methodology for your applications?</t>
  </si>
  <si>
    <t xml:space="preserve">The threat model methodology considers historical feedback for improvement
 You regularly (e.g., yearly) review the existing threat models to verify that no new threats are relevant for your applications
 You automate parts of your threat modeling process with threat modeling tools</t>
  </si>
  <si>
    <t xml:space="preserve">Education and Guidance</t>
  </si>
  <si>
    <t xml:space="preserve">Training and Awareness</t>
  </si>
  <si>
    <t xml:space="preserve">Do you require employees involved with application development to take SDLC training?</t>
  </si>
  <si>
    <t xml:space="preserve">Training is repeatable, consistent, and available to anyone involved with software development lifecycle
 Training includes relevant content from the latest OWASP Top 10 and includes concepts such as Least Privilege, Defense-in-Depth, Fail Secure (Safe), Complete Mediation, Session Management, Open Design, and Psychological Acceptability
 Training requires a sign-off or an acknowledgement from attendees
 You have reviewed the training content within the last 12 months, and have completed any required updates
 All new covered staff are required to complete training during their onboarding process
 Existing covered staff are required to complete training when content is added/revised, or complete refresher training at least every 24 months, whichever comes first</t>
  </si>
  <si>
    <t xml:space="preserve">Organization and Culture</t>
  </si>
  <si>
    <t xml:space="preserve">Have you identified a Security Champion for each development team?</t>
  </si>
  <si>
    <t xml:space="preserve">Security Champions receive appropriate training
 Application Security and Development teams receive periodic briefings from Security Champions on the overall status of security initiatives and fixes
 The Security Champion reviews the results of external testing before adding to the application backlog</t>
  </si>
  <si>
    <t xml:space="preserve">Is training customized for individual roles such as developers, testers, or security champions?</t>
  </si>
  <si>
    <t xml:space="preserve">Training includes all topics from maturity level 1, and adds more specific tools, techniques, and demonstrations
 Training is mandatory for all employees and contractors
 Training includes input from in-house SMEs and trainees
 Training includes demonstrations of tools and techniques developed in-house
 You use feedback to enhance and make future training more relevant</t>
  </si>
  <si>
    <t xml:space="preserve">Does the organization have a Secure Software Center of Excellence (SSCE)?</t>
  </si>
  <si>
    <t xml:space="preserve">The SSCE has a charter defining its role in the organization
 Development teams review all significant architectural changes with the SSCE
 The SSCE publishes SDLC standards and guidelines related to Application Security
 Product Champions are responsible for promoting the use of specific security tools</t>
  </si>
  <si>
    <t xml:space="preserve">Have you implemented a Learning Management System or equivalent to track employee training and certification processes?</t>
  </si>
  <si>
    <t xml:space="preserve">A Learning Management System (LMS) is used to track trainings and certifications
 Training is based on internal standards, policies, and procedures
 You use certification programs or attendance records to determine access to development systems and resources</t>
  </si>
  <si>
    <t xml:space="preserve">Is there a centralized portal where developers and application security professionals from different teams and business units are able to communicate and share information?</t>
  </si>
  <si>
    <t xml:space="preserve">The organization promotes use of a single portal across different teams and business units
 The portal is used for timely information such as notification of security incidents, tool updates, architectural standard changes, and other related announcements
 The portal is widely recognized by developers and architects as a centralized repository of the organization-specific application security information
 All content is considered persistent and searchable
 The portal provides access to application-specific security metrics</t>
  </si>
  <si>
    <t xml:space="preserve">Policy and Compliance</t>
  </si>
  <si>
    <t xml:space="preserve">Policy and Standards</t>
  </si>
  <si>
    <t xml:space="preserve">Do you have and apply a common set of policies and standards throughout your organization?</t>
  </si>
  <si>
    <t xml:space="preserve">You have adapted existing standards appropriate for the organization’s industry to account for domain-specific considerations
 Your standards are aligned with your policies and incorporate technology-specific implementation guidance</t>
  </si>
  <si>
    <t xml:space="preserve">Compliance Management</t>
  </si>
  <si>
    <t xml:space="preserve">Do you have a complete picture of your external compliance obligations?</t>
  </si>
  <si>
    <t xml:space="preserve">You have identified all sources of external compliance obligations
 You have captured and reconciled compliance obligations from all sources</t>
  </si>
  <si>
    <t xml:space="preserve">Do you publish the organization's policies as test scripts or run-books for easy interpretation by development teams?</t>
  </si>
  <si>
    <t xml:space="preserve">You create verification checklists and test scripts where applicable, aligned with the policy's requirements and the implementation guidance in the associated standards
 You create versions adapted to each development methodology and technology the organization uses</t>
  </si>
  <si>
    <t xml:space="preserve">Do you have a standard set of security requirements and verification procedures addressing the organization's external compliance obligations?</t>
  </si>
  <si>
    <t xml:space="preserve">You map each external compliance obligation to a well-defined set of application requirements
 You define verification procedures, including automated tests, to verify compliance with compliance-related requirements</t>
  </si>
  <si>
    <t xml:space="preserve">Do you regularly report on policy and standard compliance, and use that information to guide compliance improvement efforts?</t>
  </si>
  <si>
    <t xml:space="preserve">You have procedures (automated, if possible) to regularly generate compliance reports
 You deliver compliance reports to all relevant stakeholders
 Stakeholders use the reported compliance status information to identify areas for improvement</t>
  </si>
  <si>
    <t xml:space="preserve">Do you regularly report on adherence to external compliance obligations and use that information to guide efforts to close compliance gaps?</t>
  </si>
  <si>
    <t xml:space="preserve">You have established, well-defined compliance metrics
 You measure and report on applications' compliance metrics regularly
 Stakeholders use the reported compliance status information to identify compliance gaps and prioritize gap remediation efforts</t>
  </si>
  <si>
    <t xml:space="preserve">Strategy and Metrics</t>
  </si>
  <si>
    <t xml:space="preserve">Create and Promote</t>
  </si>
  <si>
    <t xml:space="preserve">Do you understand the enterprise-wide risk appetite for your applications?</t>
  </si>
  <si>
    <t xml:space="preserve">You capture the risk appetite of your organization's executive leadership
 The organization's leadership vet and approve the set of risks
 You identify the main business and technical threats to your assets and data
 You document risks and store them in an accessible location</t>
  </si>
  <si>
    <t xml:space="preserve">Measure and Improve</t>
  </si>
  <si>
    <t xml:space="preserve">Do you use a set of metrics to measure the effectiveness and efficiency of the application security program across applications?</t>
  </si>
  <si>
    <t xml:space="preserve">You document each metric, including a description of the sources, measurement coverage, and guidance on how to use it to explain application security trends
 Metrics include measures of efforts, results, and the environment measurement categories
 Most of the metrics are frequently measured, easy or inexpensive to gather, and expressed as a cardinal number or a percentage
 Application security and development teams publish metrics</t>
  </si>
  <si>
    <t xml:space="preserve">Do you have a strategic plan for application security and use it to make decisions?</t>
  </si>
  <si>
    <t xml:space="preserve">The plan reflects the organization's business priorities and risk appetite
 The plan includes measurable milestones and a budget
 The plan is consistent with the organization's business drivers and risks
 The plan lays out a roadmap for strategic and tactical initiatives
 You have buy-in from stakeholders, including development teams</t>
  </si>
  <si>
    <t xml:space="preserve">Did you define Key Performance Indicators (KPI) from available application security metrics?</t>
  </si>
  <si>
    <t xml:space="preserve">You defined KPIs after gathering enough information to establish realistic objectives
 You developed KPIs with the buy-in from the leadership and teams responsible for application security
 KPIs are available to the application teams and include acceptability thresholds and guidance in case teams need to take action
 Success of the application security program is clearly visible based on defined KPIs</t>
  </si>
  <si>
    <t xml:space="preserve">Do you regularly review and update the Strategic Plan for Application Security?</t>
  </si>
  <si>
    <t xml:space="preserve">You review and update the plan in response to significant changes in the business environment, the organization, or its risk appetite
 Plan update steps include reviewing the plan with all the stakeholders and updating the business drivers and strategies
 You adjust the plan and roadmap based on lessons learned from completed roadmap activities
 You publish progress information on roadmap activities, making sure they are available to all stakeholders</t>
  </si>
  <si>
    <t xml:space="preserve">Do you update the Application Security strategy and roadmap based on application security metrics and KPIs?</t>
  </si>
  <si>
    <t xml:space="preserve">You review KPIs at least yearly for their efficiency and effectiveness
 KPIs and application security metrics trigger most of the changes to the application security strategy</t>
  </si>
  <si>
    <t xml:space="preserve">Defect Tracking</t>
  </si>
  <si>
    <t xml:space="preserve">Do you track all known security defects in accessible locations?</t>
  </si>
  <si>
    <t xml:space="preserve">You can easily get an overview of all security defects impacting one application
 You have at least a rudimentary classification scheme in place
 The process includes a strategy for handling false positives and duplicate entries
 The defect management system covers defects from various sources and activities</t>
  </si>
  <si>
    <t xml:space="preserve">Metrics and Feedback</t>
  </si>
  <si>
    <t xml:space="preserve">Do you use basic metrics about recorded security defects to carry out quick win improvement activities?</t>
  </si>
  <si>
    <t xml:space="preserve">You analyzed your recorded metrics at least once in the last year
 At least basic information about this initiative is recorded and available
 You have identified and carried out at least one quick win activity based on the data</t>
  </si>
  <si>
    <t xml:space="preserve">Do you keep an overview of the state of security defects across the organization?</t>
  </si>
  <si>
    <t xml:space="preserve">A single severity scheme is applied to all defects across the organization
 The scheme includes SLAs for fixing particular severity classes
 You regularly report compliance to SLAs</t>
  </si>
  <si>
    <t xml:space="preserve">Do you improve your security assurance program upon standardized metrics?</t>
  </si>
  <si>
    <t xml:space="preserve">You document metrics for defect classification and categorization and keep them up to date
 Executive management regularly receives information about defects and has acted upon it in the last year
 You regularly share technical details about security defects among teams</t>
  </si>
  <si>
    <t xml:space="preserve">Do you enforce SLAs for fixing security defects?</t>
  </si>
  <si>
    <t xml:space="preserve">You automatically alert of SLA breaches and transfer respective defects to the risk management process
 You integrate relevant tooling (e.g. monitoring, build, deployment) with the defect management system</t>
  </si>
  <si>
    <t xml:space="preserve">Do you regularly evaluate the effectiveness of your security metrics so that its input helps drive your security strategy?</t>
  </si>
  <si>
    <t xml:space="preserve">You have analyzed the effectiveness of the security metrics at least once in the last year
 Where possible, you verify the correctness of the data automatically
 The metrics is aggregated with other sources like threat intelligence or incident management
 You derived at least one strategic activity from the metrics in the last year</t>
  </si>
  <si>
    <t xml:space="preserve">Build Process</t>
  </si>
  <si>
    <t xml:space="preserve">Is your full build process formally described?</t>
  </si>
  <si>
    <t xml:space="preserve">You have enough information to recreate the build processes
 Your build documentation up to date
 Your build documentation is stored in an accessible location
 Produced artifact checksums are created during build to support later verification
 You harden the tools that are used within the build process</t>
  </si>
  <si>
    <t xml:space="preserve">Software Dependencies</t>
  </si>
  <si>
    <t xml:space="preserve">Do you have solid knowledge about dependencies you're relying on?</t>
  </si>
  <si>
    <t xml:space="preserve">You have a current bill of materials (BOM) for every application
 You can quickly find out which applications are affected by a particular CVE
 You have analyzed, addressed, and documented findings from dependencies at least once in the last three months</t>
  </si>
  <si>
    <t xml:space="preserve">Is the build process fully automated?</t>
  </si>
  <si>
    <t xml:space="preserve">The build process itself doesn't require any human interaction
 Your build tools are hardened as per best practice and vendor guidance
 You encrypt the secrets required by the build tools and control access based on the principle of least privilege</t>
  </si>
  <si>
    <t xml:space="preserve">Do you handle 3rd party dependency risk by a formal process?</t>
  </si>
  <si>
    <t xml:space="preserve">You keep a list of approved dependencies that meet predefined criteria
 You automatically evaluate dependencies for new CVEs and alert responsible staff
 You automatically detect and alert to license changes with possible impact on legal application usage
 You track and alert to usage of unmaintained dependencies
 You reliably detect and remove unnecessary dependencies from the software</t>
  </si>
  <si>
    <t xml:space="preserve">Do you enforce automated security checks in your build processes?</t>
  </si>
  <si>
    <t xml:space="preserve">Builds fail if the application doesn't meet a predefined security baseline
 You have a maximum accepted severity for vulnerabilities
 You log warnings and failures in a centralized system
 You select and configure tools to evaluate each application against its security requirements at least once a year</t>
  </si>
  <si>
    <t xml:space="preserve">Do you prevent build of software if it's affected by vulnerabilities in dependencies?</t>
  </si>
  <si>
    <t xml:space="preserve">Your build system is connected to a system for tracking 3rd party dependency risk, causing build to fail unless the vulnerability is evaluated to be a false positive or the risk is explicitly accepted
 You scan your dependencies using a static analysis tool
 You report findings back to dependency authors using an established responsible disclosure process
 Using a new dependency not evaluated for security risks causes the build to fail</t>
  </si>
  <si>
    <t xml:space="preserve">Deployment Process</t>
  </si>
  <si>
    <t xml:space="preserve">Do you use repeatable deployment processes?</t>
  </si>
  <si>
    <t xml:space="preserve">You have enough information to run the deployment processes
 Your deployment documentation up to date
 Your deployment documentation is accessible to relevant stakeholders
 You ensure that only defined qualified personnel can trigger a deployment
 You harden the tools that are used within the deployment process</t>
  </si>
  <si>
    <t xml:space="preserve">Secret Management</t>
  </si>
  <si>
    <t xml:space="preserve">Do you limit access to application secrets according to the least privilege principle?</t>
  </si>
  <si>
    <t xml:space="preserve">You store production secrets protected in a secured location
 Developers do not have access to production secrets
 Production secrets are not available in non-production environments</t>
  </si>
  <si>
    <t xml:space="preserve">Are deployment processes automated and employing security checks?</t>
  </si>
  <si>
    <t xml:space="preserve">Deployment processes are automated on all stages
 Deployment includes automated security testing procedures
 You alert responsible staff to identified vulnerabilities
 You have logs available for your past deployments for a defined period of time</t>
  </si>
  <si>
    <t xml:space="preserve">Do you inject production secrets into configuration files during deployment?</t>
  </si>
  <si>
    <t xml:space="preserve">Source code files no longer contain active application secrets
 Under normal circumstances, no humans access secrets during deployment procedures
 You log and alert when abnormal secrets access is attempted</t>
  </si>
  <si>
    <t xml:space="preserve">Do you consistently validate the integrity of deployed artifacts?</t>
  </si>
  <si>
    <t xml:space="preserve">You prevent or roll back deployment if you detect an integrity breach
 The verification is done against signatures created during the build time
 If checking of signatures is not possible (e.g. externally build software), you introduce compensating measures</t>
  </si>
  <si>
    <t xml:space="preserve">Do you practice proper lifecycle management for application secrets?</t>
  </si>
  <si>
    <t xml:space="preserve">You generate and synchronize secrets using a vetted solution
 Secrets are different between different application instances
 Secrets are regularly updated</t>
  </si>
  <si>
    <t xml:space="preserve">Configuration Hardening</t>
  </si>
  <si>
    <t xml:space="preserve">Do you harden configurations for key components of your technology stacks?</t>
  </si>
  <si>
    <t xml:space="preserve">You have identified the key components in each technology stack used
 You have an established configuration standard for each key component</t>
  </si>
  <si>
    <t xml:space="preserve">Patching and Updating</t>
  </si>
  <si>
    <t xml:space="preserve">Do you identify and patch vulnerable components?</t>
  </si>
  <si>
    <t xml:space="preserve">You have an up-to-date list of components, including version information
 You regularly review public sources for vulnerabilities related to your components</t>
  </si>
  <si>
    <t xml:space="preserve">Do you have hardening baselines for your components?</t>
  </si>
  <si>
    <t xml:space="preserve">You have assigned an owner for each baseline
 The owner keeps their assigned baselines up to date
 You store baselines in an accessible location
 You train employees responsible for configurations in these baselines</t>
  </si>
  <si>
    <t xml:space="preserve">Do you follow an established process for updating components of your technology stacks?</t>
  </si>
  <si>
    <t xml:space="preserve">The process includes vendor information for third-party patches
 The process considers external sources to gather information about zero day attacks, and includes appropriate risk mitigation steps
 The process includes guidance for prioritizing component updates</t>
  </si>
  <si>
    <t xml:space="preserve">Do you monitor and enforce conformity with hardening baselines?</t>
  </si>
  <si>
    <t xml:space="preserve">You perform conformity checks regularly, preferably using automation
 You store conformity check results in an accessible location
 You follow an established process to address reported non-conformities
 You review each baseline at least annually, and update it when required</t>
  </si>
  <si>
    <t xml:space="preserve">Do you regularly evaluate components and review patch level status?</t>
  </si>
  <si>
    <t xml:space="preserve">You update the list with components and versions
 You identify and update missing updates according to existing SLA
 You review and update the process based on feedback from the people who perform patching</t>
  </si>
  <si>
    <t xml:space="preserve">Incident Detection</t>
  </si>
  <si>
    <t xml:space="preserve">Do you analyze log data for security incidents periodically?</t>
  </si>
  <si>
    <t xml:space="preserve">You have a contact point for the creation of security incidents
 You analyze data in accordance with the log data retention periods
 The frequency of this analysis is aligned with the criticality of your applications</t>
  </si>
  <si>
    <t xml:space="preserve">Incident Response</t>
  </si>
  <si>
    <t xml:space="preserve">Do you respond to detected incidents?</t>
  </si>
  <si>
    <t xml:space="preserve">You have a defined person or role for incident handling
 You document security incidents</t>
  </si>
  <si>
    <t xml:space="preserve">Do you follow a documented process for incident detection?</t>
  </si>
  <si>
    <t xml:space="preserve">The process has a dedicated owner
 You store process documentation in an accessible location
 The process considers an escalation path for further analysis
 You train employees responsible for incident detection in this process
 You have a checklist of potential attacks to simplify incident detection</t>
  </si>
  <si>
    <t xml:space="preserve">Do you use a repeatable process for incident handling?</t>
  </si>
  <si>
    <t xml:space="preserve">You have an agreed upon incident classification
 The process considers Root Cause Analysis for high severity incidents
 Employees responsible for incident response are trained in this process
 Forensic analysis tooling is available</t>
  </si>
  <si>
    <t xml:space="preserve">Do you review and update the incident detection process regularly?</t>
  </si>
  <si>
    <t xml:space="preserve">You perform reviews at least annually
 You update the checklist of potential attacks with external and internal data</t>
  </si>
  <si>
    <t xml:space="preserve">Do you have a dedicated incident response team available?</t>
  </si>
  <si>
    <t xml:space="preserve">The team performs Root Cause Analysis for all security incidents unless there is a specific reason not to do so
 You review and update the response process at least annually</t>
  </si>
  <si>
    <t xml:space="preserve">Data Protection</t>
  </si>
  <si>
    <t xml:space="preserve">Do you protect and handle information according to protection requirements for data stored and processed on each application?</t>
  </si>
  <si>
    <t xml:space="preserve">You know the data elements processed and stored by each application
 You know the type and sensitivity level of each identified data element
 You have controls to prevent propagation of unsanitized sensitive data from production to lower environments</t>
  </si>
  <si>
    <t xml:space="preserve">System Decommissioning / Legacy Management</t>
  </si>
  <si>
    <t xml:space="preserve">Do you identify and remove systems, applications, application dependencies, or services that are no longer used, have reached end of life, or are no longer actively developed or supported?</t>
  </si>
  <si>
    <t xml:space="preserve">You do not use unsupported applications or dependencies
 You manage customer/user migration from older versions for each product and customer/user group</t>
  </si>
  <si>
    <t xml:space="preserve">Do you maintain a data catalog, including types, sensitivity levels, and processing and storage locations?</t>
  </si>
  <si>
    <t xml:space="preserve">The data catalog is stored in an accessible location
 You know which data elements are subject to specific regulation
 You have controls for protecting and preserving data throughout its lifetime
 You have retention requirements for data, and you destroy backups in a timely manner after the relevant retention period ends</t>
  </si>
  <si>
    <t xml:space="preserve">Do you follow an established process for removing all associated resources, as part of decommissioning of unused systems, applications, application dependencies, or services?</t>
  </si>
  <si>
    <t xml:space="preserve">You document the status of support for all released versions of your products, in an accessible location
 The process includes replacement or upgrade of third-party applications, or application dependencies, that have reached end of life
 Operating environments do not contain orphaned accounts, firewall rules, or other configuration artifacts</t>
  </si>
  <si>
    <t xml:space="preserve">Do you regularly review and update the data catalog and your data protection policies and procedures?</t>
  </si>
  <si>
    <t xml:space="preserve">You have automated monitoring to detect attempted or actual violations of the Data Protection Policy
 You have tools for data loss prevention, access control and tracking, or anomalous behavior detection
 You periodically audit the operation of automated mechanisms, including backups and record deletions</t>
  </si>
  <si>
    <t xml:space="preserve">Do you regularly evaluate the lifecycle state and support status of every software asset and underlying infrastructure component, and estimate their end of life?</t>
  </si>
  <si>
    <t xml:space="preserve">Your end of life management process is agreed upon
 You inform customers and user groups of product timelines to prevent disruption of service or support
 You review the process at least annually</t>
  </si>
  <si>
    <t xml:space="preserve">Architecture Validation</t>
  </si>
  <si>
    <t xml:space="preserve">Do you review the application architecture for key security objectives on an ad-hoc basis?</t>
  </si>
  <si>
    <t xml:space="preserve">You have an agreed upon model of the overall software architecture
 You include components, interfaces, and integrations in the architecture model
 You verify the correct provision of general security mechanisms
 You log missing security controls as defects</t>
  </si>
  <si>
    <t xml:space="preserve">Architecture Mitigation</t>
  </si>
  <si>
    <t xml:space="preserve">Do you review the application architecture for mitigations of typical threats on an ad-hoc basis?</t>
  </si>
  <si>
    <t xml:space="preserve">You have an agreed upon model of the overall software architecture
 Security savvy staff conduct the review
 You consider different types of threats, including insider and data-related ones</t>
  </si>
  <si>
    <t xml:space="preserve">Do you regularly review the security mechanisms of your architecture?</t>
  </si>
  <si>
    <t xml:space="preserve">You review compliance with internal and external requirements
 You systematically review each interface in the system
 You use a formalized review method and structured validation
 You log missing security mechanisms as defects</t>
  </si>
  <si>
    <t xml:space="preserve">Do you regularly evaluate the threats to your architecture?</t>
  </si>
  <si>
    <t xml:space="preserve">You systematically review each threat identified in the Threat Assessment
 Trained or experienced people lead review exercise
 You identify mitigating design-level features for each identified threat
 You log unhandled threats as defects</t>
  </si>
  <si>
    <t xml:space="preserve">Do you regularly review the effectiveness of the security controls?</t>
  </si>
  <si>
    <t xml:space="preserve">You evaluate the preventive, detective, and response capabilities of security controls
 You evaluate the strategy alignment, appropriate support, and scalability of security controls
 You evaluate the effectiveness at least yearly
 You log identified shortcomings as defects</t>
  </si>
  <si>
    <t xml:space="preserve">Do you regularly update your reference architectures based on architecture assessment findings?</t>
  </si>
  <si>
    <t xml:space="preserve">You assess your architectures in a standardized, documented manner
 You use recurring findings to trigger a review of reference architectures
 You independently review the quality of the architecture assessments on an ad-hoc basis
 You use reference architecture updates to trigger reviews of relevant shared solutions, in a risk-based manner</t>
  </si>
  <si>
    <t xml:space="preserve">Requirements-driven Testing</t>
  </si>
  <si>
    <t xml:space="preserve">Control Verification</t>
  </si>
  <si>
    <t xml:space="preserve">Do you test applications for the correct functioning of standard security controls?</t>
  </si>
  <si>
    <t xml:space="preserve">Security testing at least verifies the implementation of authentication, access control, input validation, encoding and escaping data, and encryption controls
 Security testing executes whenever the application changes its use of the controls</t>
  </si>
  <si>
    <t xml:space="preserve">Misuse/Abuse Testing</t>
  </si>
  <si>
    <t xml:space="preserve">Do you test applications using randomization or fuzzing techniques?</t>
  </si>
  <si>
    <t xml:space="preserve">Testing covers most or all of the application's main input parameters
 You record and inspect all application crashes for security impact on a best-effort basis</t>
  </si>
  <si>
    <t xml:space="preserve">Do you consistently write and execute test scripts to verify the functionality of security requirements?</t>
  </si>
  <si>
    <t xml:space="preserve">You tailor tests to each application and assert expected security functionality
 You capture test results as a pass or fail condition
 Tests use a standardized framework or DSL</t>
  </si>
  <si>
    <t xml:space="preserve">Do you create abuse cases from functional requirements and use them to drive security tests?</t>
  </si>
  <si>
    <t xml:space="preserve">Important business functionality has corresponding abuse cases
 You build abuse stories around relevant personas with well-defined motivations and characteristics
 You capture identified weaknesses as security requirements</t>
  </si>
  <si>
    <t xml:space="preserve">Do you automatically test applications for security regressions?</t>
  </si>
  <si>
    <t xml:space="preserve">You consistently write tests for all identified bugs (possibly exceeding a pre-defined severity threshold)
 You collect security tests in a test suite that is part of the existing unit testing framework</t>
  </si>
  <si>
    <t xml:space="preserve">Do you perform denial of service and security stress testing?</t>
  </si>
  <si>
    <t xml:space="preserve">Stress tests target specific application resources (e.g. memory exhaustion by saving large amounts of data to a user session)
 You design tests around relevant personas with well-defined capabilities (knowledge, resources)
 You feed the results back to the Design practices</t>
  </si>
  <si>
    <t xml:space="preserve">Scalable Baseline</t>
  </si>
  <si>
    <t xml:space="preserve">Do you scan applications with automated security testing tools?</t>
  </si>
  <si>
    <t xml:space="preserve">You dynamically generate inputs for security tests using automated tools
 You choose the security testing tools to fit the organization's architecture and technology stack, and balance depth and accuracy of inspection with usability of findings to the organization</t>
  </si>
  <si>
    <t xml:space="preserve">Deep Understanding</t>
  </si>
  <si>
    <t xml:space="preserve">Do you manually review the security quality of selected high-risk components?</t>
  </si>
  <si>
    <t xml:space="preserve">Criteria exist to help the reviewer focus on high-risk components
 Qualified personnel conduct reviews following documented guidelines
 You address findings in accordance with the organization's defect management policy</t>
  </si>
  <si>
    <t xml:space="preserve">Do you customize the automated security tools to your applications and technology stacks?</t>
  </si>
  <si>
    <t xml:space="preserve">You tune and select tool features which match your application or technology stack
 You minimize false positives by silencing or automatically filter irrelevant warnings or low probability findings
 You minimize false negatives by leverage tool extensions or DSLs to customize tools for your application or organizational standards</t>
  </si>
  <si>
    <t xml:space="preserve">Do you perform penetration testing for your applications at regular intervals?</t>
  </si>
  <si>
    <t xml:space="preserve">Penetration testing uses application-specific security test cases to evaluate security
 Penetration testing looks for both technical and logical issues in the application
 Stakeholders review the test results and handle them in accordance with the organization's risk management
 Qualified personnel performs penetration testing</t>
  </si>
  <si>
    <t xml:space="preserve">Do you integrate automated security testing into the build and deploy process?</t>
  </si>
  <si>
    <t xml:space="preserve">Management and business stakeholders track and review test results throughout the development cycle
 You merge test results into a central dashboard and feed them into defect management</t>
  </si>
  <si>
    <t xml:space="preserve">Do you use the results of security testing to improve the development lifecycle?</t>
  </si>
  <si>
    <t xml:space="preserve">You use results from other security activities to improve integrated security testing during development
 You review test results and incorporate them into security awareness training and security testing playbooks
 Stakeholders review the test results and handle them in accordance with the organization's risk management</t>
  </si>
  <si>
    <t xml:space="preserve">ANS_SET_CODE</t>
  </si>
  <si>
    <t xml:space="preserve">A_W</t>
  </si>
  <si>
    <t xml:space="preserve">B_W</t>
  </si>
  <si>
    <t xml:space="preserve">C_W</t>
  </si>
  <si>
    <t xml:space="preserve">D_W</t>
  </si>
  <si>
    <t xml:space="preserve">Yes, for some applications</t>
  </si>
  <si>
    <t xml:space="preserve">Yes, for at least half of the applications</t>
  </si>
  <si>
    <t xml:space="preserve">Yes, for most or all of the applications</t>
  </si>
  <si>
    <t xml:space="preserve">Yes, some of them</t>
  </si>
  <si>
    <t xml:space="preserve">Yes, at least half of them</t>
  </si>
  <si>
    <t xml:space="preserve">Yes, most or all of them</t>
  </si>
  <si>
    <t xml:space="preserve">Yes, some content</t>
  </si>
  <si>
    <t xml:space="preserve">Yes, at least half of the content</t>
  </si>
  <si>
    <t xml:space="preserve">Yes, most or all of the content</t>
  </si>
  <si>
    <t xml:space="preserve">Yes, for some of the training</t>
  </si>
  <si>
    <t xml:space="preserve">Yes, for at least half of the training</t>
  </si>
  <si>
    <t xml:space="preserve">Yes, for most or all of the training</t>
  </si>
  <si>
    <t xml:space="preserve">Yes, some of the time</t>
  </si>
  <si>
    <t xml:space="preserve">Yes, at least half of the time</t>
  </si>
  <si>
    <t xml:space="preserve">Yes, most or all of the time</t>
  </si>
  <si>
    <t xml:space="preserve">Yes, we started implementing it</t>
  </si>
  <si>
    <t xml:space="preserve">Yes, for part of the organization</t>
  </si>
  <si>
    <t xml:space="preserve">Yes, for the entire organization</t>
  </si>
  <si>
    <t xml:space="preserve">Yes, for some components</t>
  </si>
  <si>
    <t xml:space="preserve">Yes, for at least half of the components</t>
  </si>
  <si>
    <t xml:space="preserve">Yes, for most or all of the components</t>
  </si>
  <si>
    <t xml:space="preserve">Yes, for some incidents</t>
  </si>
  <si>
    <t xml:space="preserve">Yes, for at least half of the incidents</t>
  </si>
  <si>
    <t xml:space="preserve">Yes, for most or all of the incidents</t>
  </si>
  <si>
    <t xml:space="preserve">Yes, for some incident types</t>
  </si>
  <si>
    <t xml:space="preserve">Yes, for at least half of the incident types</t>
  </si>
  <si>
    <t xml:space="preserve">Yes, for most or all of the incident types</t>
  </si>
  <si>
    <t xml:space="preserve">Yes, for some of our data</t>
  </si>
  <si>
    <t xml:space="preserve">Yes, for at least half of our data</t>
  </si>
  <si>
    <t xml:space="preserve">Yes, for most or all of our data</t>
  </si>
  <si>
    <t xml:space="preserve">Yes, we do it when requested</t>
  </si>
  <si>
    <t xml:space="preserve">Yes, for some of the assets</t>
  </si>
  <si>
    <t xml:space="preserve">Yes, for at least half of the assets</t>
  </si>
  <si>
    <t xml:space="preserve">Yes, for most or all of the assets</t>
  </si>
  <si>
    <t xml:space="preserve">Yes, for some of the technology domains</t>
  </si>
  <si>
    <t xml:space="preserve">Yes, for at least half of the technology domains</t>
  </si>
  <si>
    <t xml:space="preserve">Yes, for most or all of the technology domains</t>
  </si>
  <si>
    <t xml:space="preserve">Yes, it covers general risks</t>
  </si>
  <si>
    <t xml:space="preserve">Yes, it covers organization-specific risks</t>
  </si>
  <si>
    <t xml:space="preserve">Yes, it covers risks and opportunities</t>
  </si>
  <si>
    <t xml:space="preserve">Yes, we review it annually</t>
  </si>
  <si>
    <t xml:space="preserve">Yes, we consult the plan before making significant decisions</t>
  </si>
  <si>
    <t xml:space="preserve">Yes, we consult the plan often, and it is aligned with our application security strategy</t>
  </si>
  <si>
    <t xml:space="preserve">Yes, but review is ad-hoc</t>
  </si>
  <si>
    <t xml:space="preserve">Yes, we review it at regular times</t>
  </si>
  <si>
    <t xml:space="preserve">Yes, we review it at least annually</t>
  </si>
  <si>
    <t xml:space="preserve">Yes, for one metrics category</t>
  </si>
  <si>
    <t xml:space="preserve">Yes, for two metrics categories</t>
  </si>
  <si>
    <t xml:space="preserve">Yes, for all three metrics categories</t>
  </si>
  <si>
    <t xml:space="preserve">Yes, sporadically</t>
  </si>
  <si>
    <t xml:space="preserve">Yes, upon change of the application</t>
  </si>
  <si>
    <t xml:space="preserve">Yes, at least annually</t>
  </si>
  <si>
    <t xml:space="preserve">Yes, for some of the metrics</t>
  </si>
  <si>
    <t xml:space="preserve">Yes, for at least half of the metrics</t>
  </si>
  <si>
    <t xml:space="preserve">Yes, for most or all of the metrics</t>
  </si>
  <si>
    <t xml:space="preserve">Yes, but reporting is ad-hoc</t>
  </si>
  <si>
    <t xml:space="preserve">Yes, we report at regular times</t>
  </si>
  <si>
    <t xml:space="preserve">Yes, we report at least annually</t>
  </si>
  <si>
    <t xml:space="preserve">Yes, for some obligations</t>
  </si>
  <si>
    <t xml:space="preserve">Yes, for at least half of the obligations</t>
  </si>
  <si>
    <t xml:space="preserve">Yes, for most or all of the obligations</t>
  </si>
  <si>
    <t xml:space="preserve">Yes, for some teams</t>
  </si>
  <si>
    <t xml:space="preserve">Yes, for at least half of the teams</t>
  </si>
  <si>
    <t xml:space="preserve">Yes, for most or all of the teams</t>
  </si>
  <si>
    <t xml:space="preserve">Yes, some of it</t>
  </si>
  <si>
    <t xml:space="preserve">Yes, at least half of it</t>
  </si>
  <si>
    <t xml:space="preserve">Yes, most or all of it</t>
  </si>
  <si>
    <t xml:space="preserve">Yes, but we improve it ad-hoc</t>
  </si>
  <si>
    <t xml:space="preserve">Yes, we improve it at regular times</t>
  </si>
  <si>
    <t xml:space="preserve">Yes, we improve it at least annually</t>
  </si>
  <si>
    <t xml:space="preserve">Software Assurance Maturity Model (SAMM) Roadmap Chart Template Background Images</t>
  </si>
</sst>
</file>

<file path=xl/styles.xml><?xml version="1.0" encoding="utf-8"?>
<styleSheet xmlns="http://schemas.openxmlformats.org/spreadsheetml/2006/main">
  <numFmts count="7">
    <numFmt numFmtId="164" formatCode="General"/>
    <numFmt numFmtId="165" formatCode="0%"/>
    <numFmt numFmtId="166" formatCode="@"/>
    <numFmt numFmtId="167" formatCode="d\-mmm\-yy"/>
    <numFmt numFmtId="168" formatCode="0.00"/>
    <numFmt numFmtId="169" formatCode="0.000"/>
    <numFmt numFmtId="170" formatCode="m/d/yyyy"/>
  </numFmts>
  <fonts count="46">
    <font>
      <sz val="10"/>
      <name val="Arial"/>
      <family val="0"/>
      <charset val="1"/>
    </font>
    <font>
      <sz val="10"/>
      <name val="Arial"/>
      <family val="0"/>
    </font>
    <font>
      <sz val="10"/>
      <name val="Arial"/>
      <family val="0"/>
    </font>
    <font>
      <sz val="10"/>
      <name val="Arial"/>
      <family val="0"/>
    </font>
    <font>
      <u val="single"/>
      <sz val="10"/>
      <color rgb="FF339966"/>
      <name val="Arial"/>
      <family val="2"/>
      <charset val="1"/>
    </font>
    <font>
      <sz val="10"/>
      <name val="Arial"/>
      <family val="2"/>
      <charset val="1"/>
    </font>
    <font>
      <sz val="10"/>
      <color rgb="FFFFFFFF"/>
      <name val="Open Sans"/>
      <family val="2"/>
      <charset val="1"/>
    </font>
    <font>
      <sz val="20"/>
      <color rgb="FFFFFFFF"/>
      <name val="Open Sans"/>
      <family val="2"/>
      <charset val="1"/>
    </font>
    <font>
      <b val="true"/>
      <sz val="10"/>
      <color rgb="FFFFFFFF"/>
      <name val="Open Sans"/>
      <family val="2"/>
      <charset val="1"/>
    </font>
    <font>
      <b val="true"/>
      <u val="single"/>
      <sz val="10"/>
      <color rgb="FFFFFFFF"/>
      <name val="Open Sans"/>
      <family val="2"/>
      <charset val="1"/>
    </font>
    <font>
      <sz val="10"/>
      <name val="Open Sans"/>
      <family val="2"/>
      <charset val="1"/>
    </font>
    <font>
      <b val="true"/>
      <sz val="10"/>
      <name val="Open Sans"/>
      <family val="2"/>
      <charset val="1"/>
    </font>
    <font>
      <sz val="9"/>
      <name val="Open Sans"/>
      <family val="2"/>
      <charset val="1"/>
    </font>
    <font>
      <b val="true"/>
      <sz val="9"/>
      <name val="Open Sans"/>
      <family val="2"/>
      <charset val="1"/>
    </font>
    <font>
      <b val="true"/>
      <sz val="9"/>
      <color rgb="FF010000"/>
      <name val="Open Sans"/>
      <family val="2"/>
      <charset val="1"/>
    </font>
    <font>
      <sz val="9"/>
      <color rgb="FF010000"/>
      <name val="Open Sans"/>
      <family val="2"/>
      <charset val="1"/>
    </font>
    <font>
      <b val="true"/>
      <sz val="15"/>
      <color rgb="FFFFFFFF"/>
      <name val="Open Sans"/>
      <family val="2"/>
      <charset val="1"/>
    </font>
    <font>
      <b val="true"/>
      <sz val="9"/>
      <color theme="0"/>
      <name val="Open Sans"/>
      <family val="2"/>
      <charset val="1"/>
    </font>
    <font>
      <b val="true"/>
      <sz val="24"/>
      <color theme="0"/>
      <name val="Open Sans"/>
      <family val="2"/>
      <charset val="1"/>
    </font>
    <font>
      <i val="true"/>
      <sz val="9"/>
      <color rgb="FF010000"/>
      <name val="Open Sans"/>
      <family val="2"/>
      <charset val="1"/>
    </font>
    <font>
      <b val="true"/>
      <sz val="22"/>
      <color theme="0"/>
      <name val="Open Sans"/>
      <family val="2"/>
      <charset val="1"/>
    </font>
    <font>
      <b val="true"/>
      <sz val="15"/>
      <color theme="0"/>
      <name val="Open Sans"/>
      <family val="2"/>
      <charset val="1"/>
    </font>
    <font>
      <b val="true"/>
      <sz val="9"/>
      <color rgb="FFFFFFFF"/>
      <name val="Open Sans"/>
      <family val="2"/>
      <charset val="1"/>
    </font>
    <font>
      <b val="true"/>
      <sz val="9"/>
      <color theme="3"/>
      <name val="Open Sans"/>
      <family val="2"/>
      <charset val="1"/>
    </font>
    <font>
      <b val="true"/>
      <sz val="9"/>
      <color theme="6"/>
      <name val="Open Sans"/>
      <family val="2"/>
      <charset val="1"/>
    </font>
    <font>
      <b val="true"/>
      <sz val="9"/>
      <color theme="7"/>
      <name val="Open Sans"/>
      <family val="2"/>
      <charset val="1"/>
    </font>
    <font>
      <b val="true"/>
      <sz val="9"/>
      <color theme="8"/>
      <name val="Open Sans"/>
      <family val="2"/>
      <charset val="1"/>
    </font>
    <font>
      <b val="true"/>
      <sz val="9"/>
      <color theme="9"/>
      <name val="Open Sans"/>
      <family val="2"/>
      <charset val="1"/>
    </font>
    <font>
      <b val="true"/>
      <sz val="16"/>
      <color rgb="FF727C7C"/>
      <name val="Open Sans"/>
      <family val="2"/>
    </font>
    <font>
      <sz val="9"/>
      <color rgb="FF727C7C"/>
      <name val="Open Sans"/>
      <family val="2"/>
    </font>
    <font>
      <sz val="20"/>
      <name val="Open Sans"/>
      <family val="2"/>
      <charset val="1"/>
    </font>
    <font>
      <sz val="11"/>
      <name val="Open Sans"/>
      <family val="2"/>
      <charset val="1"/>
    </font>
    <font>
      <b val="true"/>
      <sz val="10"/>
      <color rgb="FF435B70"/>
      <name val="Open Sans"/>
      <family val="2"/>
      <charset val="1"/>
    </font>
    <font>
      <sz val="10"/>
      <color rgb="FF010000"/>
      <name val="Open Sans"/>
      <family val="2"/>
      <charset val="1"/>
    </font>
    <font>
      <b val="true"/>
      <sz val="10"/>
      <color rgb="FFAD4B00"/>
      <name val="Open Sans"/>
      <family val="2"/>
      <charset val="1"/>
    </font>
    <font>
      <b val="true"/>
      <sz val="10"/>
      <color rgb="FF3A5F26"/>
      <name val="Open Sans"/>
      <family val="2"/>
      <charset val="1"/>
    </font>
    <font>
      <b val="true"/>
      <sz val="10"/>
      <color rgb="FF754858"/>
      <name val="Open Sans"/>
      <family val="2"/>
      <charset val="1"/>
    </font>
    <font>
      <b val="true"/>
      <sz val="10"/>
      <color rgb="FF5B5B62"/>
      <name val="Open Sans"/>
      <family val="2"/>
      <charset val="1"/>
    </font>
    <font>
      <u val="single"/>
      <sz val="10"/>
      <name val="Open Sans"/>
      <family val="2"/>
      <charset val="1"/>
    </font>
    <font>
      <sz val="10"/>
      <color rgb="FF2C3030"/>
      <name val="Open Sans"/>
      <family val="2"/>
    </font>
    <font>
      <b val="true"/>
      <sz val="10"/>
      <color rgb="FF2C3030"/>
      <name val="Open Sans"/>
      <family val="2"/>
    </font>
    <font>
      <sz val="11"/>
      <color rgb="FF2C3030"/>
      <name val="Open Sans"/>
      <family val="2"/>
    </font>
    <font>
      <b val="true"/>
      <sz val="10"/>
      <name val="Trebuchet MS"/>
      <family val="2"/>
      <charset val="1"/>
    </font>
    <font>
      <b val="true"/>
      <sz val="18"/>
      <name val="Arial"/>
      <family val="2"/>
      <charset val="1"/>
    </font>
    <font>
      <b val="true"/>
      <sz val="10"/>
      <name val="Arial"/>
      <family val="2"/>
      <charset val="1"/>
    </font>
    <font>
      <sz val="20"/>
      <name val="Trebuchet MS"/>
      <family val="2"/>
      <charset val="1"/>
    </font>
  </fonts>
  <fills count="33">
    <fill>
      <patternFill patternType="none"/>
    </fill>
    <fill>
      <patternFill patternType="gray125"/>
    </fill>
    <fill>
      <patternFill patternType="solid">
        <fgColor rgb="FF333333"/>
        <bgColor rgb="FF2C3030"/>
      </patternFill>
    </fill>
    <fill>
      <patternFill patternType="solid">
        <fgColor theme="2" tint="-0.25"/>
        <bgColor rgb="FFC0C0C0"/>
      </patternFill>
    </fill>
    <fill>
      <patternFill patternType="solid">
        <fgColor theme="4"/>
        <bgColor rgb="FF94BCDD"/>
      </patternFill>
    </fill>
    <fill>
      <patternFill patternType="solid">
        <fgColor rgb="FFEAF5F5"/>
        <bgColor rgb="FFE3F1F1"/>
      </patternFill>
    </fill>
    <fill>
      <patternFill patternType="solid">
        <fgColor rgb="FF435B70"/>
        <bgColor rgb="FF5B5B62"/>
      </patternFill>
    </fill>
    <fill>
      <patternFill patternType="solid">
        <fgColor rgb="FF94BCDD"/>
        <bgColor rgb="FF99CCFF"/>
      </patternFill>
    </fill>
    <fill>
      <patternFill patternType="solid">
        <fgColor rgb="FFDCE3EA"/>
        <bgColor rgb="FFDEE1E1"/>
      </patternFill>
    </fill>
    <fill>
      <patternFill patternType="solid">
        <fgColor theme="0" tint="-0.15"/>
        <bgColor rgb="FFE2D0D6"/>
      </patternFill>
    </fill>
    <fill>
      <patternFill patternType="solid">
        <fgColor theme="2" tint="-0.1"/>
        <bgColor rgb="FFD9D9D9"/>
      </patternFill>
    </fill>
    <fill>
      <patternFill patternType="solid">
        <fgColor rgb="FFD9D9D9"/>
        <bgColor rgb="FFD7D7DA"/>
      </patternFill>
    </fill>
    <fill>
      <patternFill patternType="solid">
        <fgColor rgb="FFAD4B00"/>
        <bgColor rgb="FFB75727"/>
      </patternFill>
    </fill>
    <fill>
      <patternFill patternType="solid">
        <fgColor rgb="FFF9DBB8"/>
        <bgColor rgb="FFFED4B3"/>
      </patternFill>
    </fill>
    <fill>
      <patternFill patternType="solid">
        <fgColor rgb="FFD59E7B"/>
        <bgColor rgb="FFC4BD97"/>
      </patternFill>
    </fill>
    <fill>
      <patternFill patternType="solid">
        <fgColor rgb="FF3A5F26"/>
        <bgColor rgb="FF45712D"/>
      </patternFill>
    </fill>
    <fill>
      <patternFill patternType="solid">
        <fgColor rgb="FFD7EBCC"/>
        <bgColor rgb="FFDEE1E1"/>
      </patternFill>
    </fill>
    <fill>
      <patternFill patternType="solid">
        <fgColor rgb="FF754858"/>
        <bgColor rgb="FF793E53"/>
      </patternFill>
    </fill>
    <fill>
      <patternFill patternType="solid">
        <fgColor rgb="FFEADCE1"/>
        <bgColor rgb="FFE2E2E4"/>
      </patternFill>
    </fill>
    <fill>
      <patternFill patternType="solid">
        <fgColor rgb="FF5B5B62"/>
        <bgColor rgb="FF435B70"/>
      </patternFill>
    </fill>
    <fill>
      <patternFill patternType="solid">
        <fgColor rgb="FFE2E2E4"/>
        <bgColor rgb="FFDEE1E1"/>
      </patternFill>
    </fill>
    <fill>
      <patternFill patternType="solid">
        <fgColor theme="4" tint="0.7999"/>
        <bgColor rgb="FFEAF5F5"/>
      </patternFill>
    </fill>
    <fill>
      <patternFill patternType="solid">
        <fgColor rgb="FFDDDDDD"/>
        <bgColor rgb="FFDEE1E1"/>
      </patternFill>
    </fill>
    <fill>
      <patternFill patternType="solid">
        <fgColor rgb="FFCA5902"/>
        <bgColor rgb="FFB75727"/>
      </patternFill>
    </fill>
    <fill>
      <patternFill patternType="solid">
        <fgColor rgb="FF45712D"/>
        <bgColor rgb="FF37793E"/>
      </patternFill>
    </fill>
    <fill>
      <patternFill patternType="solid">
        <fgColor theme="1" tint="0.4999"/>
        <bgColor rgb="FF8BAA88"/>
      </patternFill>
    </fill>
    <fill>
      <patternFill patternType="solid">
        <fgColor theme="4" tint="0.3999"/>
        <bgColor rgb="FFB5D7D7"/>
      </patternFill>
    </fill>
    <fill>
      <patternFill patternType="solid">
        <fgColor theme="0"/>
        <bgColor rgb="FFFFFFFF"/>
      </patternFill>
    </fill>
    <fill>
      <patternFill patternType="solid">
        <fgColor rgb="FF8BAA88"/>
        <bgColor rgb="FF929B9B"/>
      </patternFill>
    </fill>
    <fill>
      <patternFill patternType="solid">
        <fgColor rgb="FFD5D514"/>
        <bgColor rgb="FFBDBF17"/>
      </patternFill>
    </fill>
    <fill>
      <patternFill patternType="solid">
        <fgColor rgb="FFB07667"/>
        <bgColor rgb="FF8A8B8B"/>
      </patternFill>
    </fill>
    <fill>
      <patternFill patternType="solid">
        <fgColor rgb="FFB75727"/>
        <bgColor rgb="FFCA5902"/>
      </patternFill>
    </fill>
    <fill>
      <patternFill patternType="solid">
        <fgColor rgb="FFC0C0C0"/>
        <bgColor rgb="FFC4BD97"/>
      </patternFill>
    </fill>
  </fills>
  <borders count="90">
    <border diagonalUp="false" diagonalDown="false">
      <left/>
      <right/>
      <top/>
      <bottom/>
      <diagonal/>
    </border>
    <border diagonalUp="false" diagonalDown="false">
      <left style="medium"/>
      <right style="medium"/>
      <top style="medium"/>
      <bottom style="thin">
        <color rgb="FF010000"/>
      </bottom>
      <diagonal/>
    </border>
    <border diagonalUp="false" diagonalDown="false">
      <left style="medium"/>
      <right style="medium"/>
      <top style="thin">
        <color rgb="FF010000"/>
      </top>
      <botto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right/>
      <top/>
      <bottom style="thin">
        <color rgb="FF010000"/>
      </bottom>
      <diagonal/>
    </border>
    <border diagonalUp="false" diagonalDown="false">
      <left style="thin">
        <color rgb="FF010000"/>
      </left>
      <right/>
      <top style="thin">
        <color rgb="FF010000"/>
      </top>
      <bottom style="thin">
        <color rgb="FF010000"/>
      </bottom>
      <diagonal/>
    </border>
    <border diagonalUp="false" diagonalDown="false">
      <left/>
      <right style="thin">
        <color rgb="FF010000"/>
      </right>
      <top style="thin">
        <color rgb="FF010000"/>
      </top>
      <bottom style="thin">
        <color rgb="FF010000"/>
      </bottom>
      <diagonal/>
    </border>
    <border diagonalUp="false" diagonalDown="false">
      <left style="thin">
        <color rgb="FF010000"/>
      </left>
      <right style="thin">
        <color rgb="FF010000"/>
      </right>
      <top style="thin">
        <color rgb="FF010000"/>
      </top>
      <bottom style="thin">
        <color rgb="FF010000"/>
      </bottom>
      <diagonal/>
    </border>
    <border diagonalUp="false" diagonalDown="false">
      <left style="thin">
        <color rgb="FF010000"/>
      </left>
      <right/>
      <top style="thin">
        <color rgb="FF010000"/>
      </top>
      <bottom style="thin"/>
      <diagonal/>
    </border>
    <border diagonalUp="false" diagonalDown="false">
      <left style="thin"/>
      <right style="thin"/>
      <top style="thin">
        <color rgb="FF010000"/>
      </top>
      <bottom style="thin"/>
      <diagonal/>
    </border>
    <border diagonalUp="false" diagonalDown="false">
      <left/>
      <right style="thin">
        <color rgb="FF010000"/>
      </right>
      <top style="thin">
        <color rgb="FF010000"/>
      </top>
      <bottom/>
      <diagonal/>
    </border>
    <border diagonalUp="false" diagonalDown="false">
      <left style="thin">
        <color rgb="FF010000"/>
      </left>
      <right style="thin">
        <color rgb="FF010000"/>
      </right>
      <top style="thin">
        <color rgb="FF010000"/>
      </top>
      <bottom/>
      <diagonal/>
    </border>
    <border diagonalUp="false" diagonalDown="false">
      <left style="thin"/>
      <right/>
      <top style="thin"/>
      <bottom/>
      <diagonal/>
    </border>
    <border diagonalUp="false" diagonalDown="false">
      <left/>
      <right style="thin">
        <color rgb="FF010000"/>
      </right>
      <top style="thin"/>
      <bottom style="thin"/>
      <diagonal/>
    </border>
    <border diagonalUp="false" diagonalDown="false">
      <left style="thin">
        <color rgb="FF010000"/>
      </left>
      <right style="thin">
        <color rgb="FF010000"/>
      </right>
      <top style="thin"/>
      <bottom style="thin"/>
      <diagonal/>
    </border>
    <border diagonalUp="false" diagonalDown="false">
      <left style="thin">
        <color rgb="FF010000"/>
      </left>
      <right style="thin"/>
      <top style="thin"/>
      <bottom style="thin"/>
      <diagonal/>
    </border>
    <border diagonalUp="false" diagonalDown="false">
      <left style="thin">
        <color rgb="FF010000"/>
      </left>
      <right style="thin">
        <color rgb="FF010000"/>
      </right>
      <top/>
      <bottom/>
      <diagonal/>
    </border>
    <border diagonalUp="false" diagonalDown="false">
      <left style="thin">
        <color rgb="FF010000"/>
      </left>
      <right style="thin">
        <color rgb="FF010000"/>
      </right>
      <top style="thin">
        <color rgb="FF010000"/>
      </top>
      <bottom style="thin"/>
      <diagonal/>
    </border>
    <border diagonalUp="false" diagonalDown="false">
      <left style="thin">
        <color rgb="FF010000"/>
      </left>
      <right/>
      <top/>
      <bottom/>
      <diagonal/>
    </border>
    <border diagonalUp="false" diagonalDown="false">
      <left style="thin">
        <color rgb="FF010000"/>
      </left>
      <right/>
      <top/>
      <bottom style="thin">
        <color rgb="FF010000"/>
      </bottom>
      <diagonal/>
    </border>
    <border diagonalUp="false" diagonalDown="false">
      <left/>
      <right/>
      <top style="thin"/>
      <bottom style="thin"/>
      <diagonal/>
    </border>
    <border diagonalUp="false" diagonalDown="false">
      <left/>
      <right style="thin">
        <color rgb="FF010000"/>
      </right>
      <top/>
      <bottom style="thin">
        <color rgb="FF010000"/>
      </bottom>
      <diagonal/>
    </border>
    <border diagonalUp="false" diagonalDown="false">
      <left/>
      <right style="thin">
        <color rgb="FF010000"/>
      </right>
      <top style="thin"/>
      <bottom/>
      <diagonal/>
    </border>
    <border diagonalUp="false" diagonalDown="false">
      <left style="thin">
        <color rgb="FF010000"/>
      </left>
      <right style="thin">
        <color rgb="FF010000"/>
      </right>
      <top/>
      <bottom style="thin">
        <color rgb="FF010000"/>
      </bottom>
      <diagonal/>
    </border>
    <border diagonalUp="false" diagonalDown="false">
      <left/>
      <right style="thin">
        <color rgb="FF010000"/>
      </right>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color rgb="FF010000"/>
      </left>
      <right/>
      <top style="thin"/>
      <bottom style="thin"/>
      <diagonal/>
    </border>
    <border diagonalUp="false" diagonalDown="false">
      <left style="thin"/>
      <right style="thin"/>
      <top style="thin"/>
      <bottom style="thin"/>
      <diagonal/>
    </border>
    <border diagonalUp="false" diagonalDown="false">
      <left style="thin"/>
      <right style="thin">
        <color rgb="FF010000"/>
      </right>
      <top style="thin"/>
      <bottom style="thin"/>
      <diagonal/>
    </border>
    <border diagonalUp="false" diagonalDown="false">
      <left style="thin">
        <color rgb="FF010000"/>
      </left>
      <right style="thin">
        <color rgb="FF010000"/>
      </right>
      <top/>
      <bottom style="thin"/>
      <diagonal/>
    </border>
    <border diagonalUp="false" diagonalDown="false">
      <left style="thin">
        <color rgb="FF010000"/>
      </left>
      <right style="thin"/>
      <top/>
      <bottom style="thin"/>
      <diagonal/>
    </border>
    <border diagonalUp="false" diagonalDown="false">
      <left/>
      <right style="thin">
        <color rgb="FF010000"/>
      </right>
      <top style="thin">
        <color rgb="FF010000"/>
      </top>
      <bottom style="thin"/>
      <diagonal/>
    </border>
    <border diagonalUp="false" diagonalDown="false">
      <left style="thin">
        <color rgb="FF010000"/>
      </left>
      <right style="thin">
        <color rgb="FF010000"/>
      </right>
      <top style="thin"/>
      <bottom/>
      <diagonal/>
    </border>
    <border diagonalUp="false" diagonalDown="false">
      <left style="thin">
        <color rgb="FF010000"/>
      </left>
      <right style="thin"/>
      <top style="thin"/>
      <bottom/>
      <diagonal/>
    </border>
    <border diagonalUp="false" diagonalDown="false">
      <left style="thin">
        <color rgb="FF010000"/>
      </left>
      <right style="thin"/>
      <top style="thin">
        <color rgb="FF010000"/>
      </top>
      <bottom style="thin"/>
      <diagonal/>
    </border>
    <border diagonalUp="false" diagonalDown="false">
      <left/>
      <right/>
      <top style="thin">
        <color rgb="FF010000"/>
      </top>
      <bottom/>
      <diagonal/>
    </border>
    <border diagonalUp="false" diagonalDown="false">
      <left/>
      <right style="thin">
        <color rgb="FF010000"/>
      </right>
      <top/>
      <bottom style="thin"/>
      <diagonal/>
    </border>
    <border diagonalUp="false" diagonalDown="false">
      <left style="thin"/>
      <right style="thin"/>
      <top/>
      <bottom style="thin"/>
      <diagonal/>
    </border>
    <border diagonalUp="false" diagonalDown="false">
      <left style="thin">
        <color rgb="FF010000"/>
      </left>
      <right/>
      <top/>
      <bottom style="thin"/>
      <diagonal/>
    </border>
    <border diagonalUp="false" diagonalDown="false">
      <left style="thin">
        <color rgb="FF010000"/>
      </left>
      <right style="thin"/>
      <top/>
      <bottom/>
      <diagonal/>
    </border>
    <border diagonalUp="false" diagonalDown="false">
      <left style="thin">
        <color rgb="FF010000"/>
      </left>
      <right/>
      <top style="thin">
        <color rgb="FF010000"/>
      </top>
      <bottom/>
      <diagonal/>
    </border>
    <border diagonalUp="false" diagonalDown="false">
      <left style="medium"/>
      <right style="medium"/>
      <top style="medium"/>
      <bottom style="medium"/>
      <diagonal/>
    </border>
    <border diagonalUp="false" diagonalDown="false">
      <left style="medium"/>
      <right/>
      <top style="medium"/>
      <bottom style="thin">
        <color rgb="FF010000"/>
      </bottom>
      <diagonal/>
    </border>
    <border diagonalUp="false" diagonalDown="false">
      <left/>
      <right/>
      <top style="medium"/>
      <bottom style="thin">
        <color rgb="FF010000"/>
      </bottom>
      <diagonal/>
    </border>
    <border diagonalUp="false" diagonalDown="false">
      <left/>
      <right style="medium"/>
      <top style="medium"/>
      <bottom style="thin">
        <color rgb="FF010000"/>
      </bottom>
      <diagonal/>
    </border>
    <border diagonalUp="false" diagonalDown="false">
      <left style="medium"/>
      <right/>
      <top style="thin">
        <color rgb="FF010000"/>
      </top>
      <bottom/>
      <diagonal/>
    </border>
    <border diagonalUp="false" diagonalDown="false">
      <left/>
      <right style="medium"/>
      <top style="thin">
        <color rgb="FF010000"/>
      </top>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right/>
      <top style="thin"/>
      <bottom style="thin">
        <color rgb="FF010000"/>
      </bottom>
      <diagonal/>
    </border>
    <border diagonalUp="false" diagonalDown="false">
      <left style="thin"/>
      <right style="thin"/>
      <top style="thin"/>
      <bottom style="thin">
        <color rgb="FF010000"/>
      </bottom>
      <diagonal/>
    </border>
    <border diagonalUp="false" diagonalDown="false">
      <left style="thin"/>
      <right/>
      <top/>
      <bottom style="thin">
        <color rgb="FF010000"/>
      </bottom>
      <diagonal/>
    </border>
    <border diagonalUp="false" diagonalDown="false">
      <left/>
      <right/>
      <top style="thin">
        <color rgb="FF010000"/>
      </top>
      <bottom style="thin">
        <color rgb="FF010000"/>
      </bottom>
      <diagonal/>
    </border>
    <border diagonalUp="false" diagonalDown="false">
      <left/>
      <right style="thin"/>
      <top style="thin">
        <color rgb="FF010000"/>
      </top>
      <bottom style="thin">
        <color rgb="FF010000"/>
      </bottom>
      <diagonal/>
    </border>
    <border diagonalUp="false" diagonalDown="false">
      <left/>
      <right/>
      <top style="thin">
        <color rgb="FF010000"/>
      </top>
      <bottom style="thin"/>
      <diagonal/>
    </border>
    <border diagonalUp="false" diagonalDown="false">
      <left style="thin"/>
      <right style="thin"/>
      <top style="thin"/>
      <bottom/>
      <diagonal/>
    </border>
    <border diagonalUp="false" diagonalDown="false">
      <left style="thin"/>
      <right style="thin"/>
      <top style="thin">
        <color rgb="FF010000"/>
      </top>
      <bottom/>
      <diagonal/>
    </border>
    <border diagonalUp="false" diagonalDown="false">
      <left style="thin"/>
      <right/>
      <top style="thin">
        <color rgb="FF010000"/>
      </top>
      <bottom/>
      <diagonal/>
    </border>
    <border diagonalUp="false" diagonalDown="false">
      <left style="thin"/>
      <right/>
      <top style="thin">
        <color rgb="FF010000"/>
      </top>
      <bottom style="thin"/>
      <diagonal/>
    </border>
    <border diagonalUp="false" diagonalDown="false">
      <left/>
      <right/>
      <top/>
      <bottom style="thin"/>
      <diagonal/>
    </border>
    <border diagonalUp="false" diagonalDown="false">
      <left/>
      <right style="thin"/>
      <top style="thin"/>
      <bottom/>
      <diagonal/>
    </border>
    <border diagonalUp="false" diagonalDown="false">
      <left style="thin"/>
      <right style="thin"/>
      <top/>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color rgb="FF010000"/>
      </top>
      <bottom style="thin">
        <color rgb="FF010000"/>
      </bottom>
      <diagonal/>
    </border>
    <border diagonalUp="false" diagonalDown="false">
      <left/>
      <right/>
      <top style="thin"/>
      <bottom/>
      <diagonal/>
    </border>
    <border diagonalUp="false" diagonalDown="false">
      <left style="thin">
        <color rgb="FF010000"/>
      </left>
      <right/>
      <top style="thin"/>
      <bottom/>
      <diagonal/>
    </border>
    <border diagonalUp="false" diagonalDown="false">
      <left style="thin"/>
      <right style="thin">
        <color rgb="FF010000"/>
      </right>
      <top style="thin"/>
      <bottom/>
      <diagonal/>
    </border>
    <border diagonalUp="false" diagonalDown="false">
      <left style="thin"/>
      <right style="thin">
        <color rgb="FF010000"/>
      </right>
      <top style="thin">
        <color rgb="FF010000"/>
      </top>
      <bottom/>
      <diagonal/>
    </border>
    <border diagonalUp="false" diagonalDown="false">
      <left style="thin"/>
      <right style="thin">
        <color rgb="FF010000"/>
      </right>
      <top style="thin">
        <color rgb="FF010000"/>
      </top>
      <bottom style="thin"/>
      <diagonal/>
    </border>
    <border diagonalUp="false" diagonalDown="false">
      <left style="thin">
        <color rgb="FF010000"/>
      </left>
      <right style="thin"/>
      <top style="thin">
        <color rgb="FF010000"/>
      </top>
      <bottom/>
      <diagonal/>
    </border>
    <border diagonalUp="false" diagonalDown="false">
      <left/>
      <right style="thin"/>
      <top style="thin">
        <color rgb="FF010000"/>
      </top>
      <bottom/>
      <diagonal/>
    </border>
    <border diagonalUp="false" diagonalDown="false">
      <left/>
      <right style="thin"/>
      <top style="thin">
        <color rgb="FF010000"/>
      </top>
      <bottom style="thin"/>
      <diagonal/>
    </border>
    <border diagonalUp="false" diagonalDown="false">
      <left style="thin">
        <color rgb="FF010000"/>
      </left>
      <right style="thin"/>
      <top style="thin">
        <color rgb="FF010000"/>
      </top>
      <bottom style="thin">
        <color rgb="FF010000"/>
      </bottom>
      <diagonal/>
    </border>
    <border diagonalUp="false" diagonalDown="false">
      <left style="thin"/>
      <right/>
      <top style="thin">
        <color rgb="FF010000"/>
      </top>
      <bottom style="thin">
        <color rgb="FF010000"/>
      </bottom>
      <diagonal/>
    </border>
    <border diagonalUp="false" diagonalDown="false">
      <left/>
      <right/>
      <top style="medium"/>
      <bottom style="medium"/>
      <diagonal/>
    </border>
    <border diagonalUp="false" diagonalDown="false">
      <left/>
      <right/>
      <top style="medium"/>
      <bottom/>
      <diagonal/>
    </border>
    <border diagonalUp="false" diagonalDown="false">
      <left style="thin"/>
      <right style="thin"/>
      <top/>
      <bottom style="medium"/>
      <diagonal/>
    </border>
    <border diagonalUp="false" diagonalDown="false">
      <left style="thin"/>
      <right/>
      <top/>
      <bottom style="mediu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top" textRotation="0" wrapText="false" indent="0" shrinkToFit="false"/>
      <protection locked="fals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cellStyleXfs>
  <cellXfs count="509">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left" vertical="top"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6" fillId="2" borderId="0" xfId="21" applyFont="true" applyBorder="false" applyAlignment="true" applyProtection="false">
      <alignment horizontal="left" vertical="top" textRotation="0" wrapText="false" indent="0" shrinkToFit="false"/>
      <protection locked="true" hidden="false"/>
    </xf>
    <xf numFmtId="164" fontId="6" fillId="2" borderId="0" xfId="21" applyFont="true" applyBorder="false" applyAlignment="true" applyProtection="false">
      <alignment horizontal="left" vertical="top" textRotation="0" wrapText="true" indent="0" shrinkToFit="false"/>
      <protection locked="true" hidden="false"/>
    </xf>
    <xf numFmtId="164" fontId="8" fillId="2" borderId="0" xfId="21" applyFont="true" applyBorder="false" applyAlignment="true" applyProtection="false">
      <alignment horizontal="left" vertical="top" textRotation="0" wrapText="false" indent="0" shrinkToFit="false"/>
      <protection locked="true" hidden="false"/>
    </xf>
    <xf numFmtId="164" fontId="8" fillId="2" borderId="0" xfId="21" applyFont="true" applyBorder="false" applyAlignment="true" applyProtection="false">
      <alignment horizontal="left" vertical="top" textRotation="0" wrapText="true" indent="0" shrinkToFit="false"/>
      <protection locked="true" hidden="false"/>
    </xf>
    <xf numFmtId="164" fontId="8" fillId="2" borderId="0" xfId="21"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lef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9" fontId="12"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true" indent="0" shrinkToFit="false"/>
      <protection locked="true" hidden="false"/>
    </xf>
    <xf numFmtId="169" fontId="15" fillId="0"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4" fillId="4" borderId="1" xfId="0" applyFont="true" applyBorder="true" applyAlignment="true" applyProtection="false">
      <alignment horizontal="left" vertical="center" textRotation="0" wrapText="true" indent="0" shrinkToFit="false"/>
      <protection locked="true" hidden="false"/>
    </xf>
    <xf numFmtId="164" fontId="15" fillId="5" borderId="2" xfId="0" applyFont="true" applyBorder="true" applyAlignment="true" applyProtection="false">
      <alignment horizontal="general" vertical="center" textRotation="0" wrapText="true" indent="0" shrinkToFit="false"/>
      <protection locked="true" hidden="false"/>
    </xf>
    <xf numFmtId="164" fontId="15" fillId="5" borderId="3" xfId="0" applyFont="true" applyBorder="true" applyAlignment="true" applyProtection="false">
      <alignment horizontal="general" vertical="center" textRotation="0" wrapText="true" indent="0" shrinkToFit="false"/>
      <protection locked="true" hidden="false"/>
    </xf>
    <xf numFmtId="164" fontId="15" fillId="5" borderId="4" xfId="0" applyFont="true" applyBorder="true" applyAlignment="true" applyProtection="false">
      <alignment horizontal="general" vertical="center" textRotation="0" wrapText="true" indent="0" shrinkToFit="false"/>
      <protection locked="true" hidden="false"/>
    </xf>
    <xf numFmtId="164" fontId="14" fillId="0" borderId="5" xfId="0" applyFont="true" applyBorder="true" applyAlignment="true" applyProtection="false">
      <alignment horizontal="right" vertical="center" textRotation="0" wrapText="true" indent="0" shrinkToFit="false"/>
      <protection locked="true" hidden="false"/>
    </xf>
    <xf numFmtId="164" fontId="15" fillId="0" borderId="6" xfId="0" applyFont="true" applyBorder="true" applyAlignment="true" applyProtection="false">
      <alignment horizontal="general" vertical="center" textRotation="0" wrapText="true" indent="0" shrinkToFit="false"/>
      <protection locked="true" hidden="false"/>
    </xf>
    <xf numFmtId="164" fontId="14" fillId="0" borderId="7" xfId="0" applyFont="true" applyBorder="true" applyAlignment="true" applyProtection="false">
      <alignment horizontal="right" vertical="center" textRotation="0" wrapText="true" indent="0" shrinkToFit="false"/>
      <protection locked="true" hidden="false"/>
    </xf>
    <xf numFmtId="164" fontId="15" fillId="0" borderId="8" xfId="0" applyFont="true" applyBorder="true" applyAlignment="true" applyProtection="false">
      <alignment horizontal="general" vertical="center" textRotation="0" wrapText="true" indent="0" shrinkToFit="false"/>
      <protection locked="true" hidden="false"/>
    </xf>
    <xf numFmtId="167" fontId="15" fillId="0" borderId="8" xfId="0" applyFont="true" applyBorder="true" applyAlignment="true" applyProtection="false">
      <alignment horizontal="left" vertical="center" textRotation="0" wrapText="true" indent="0" shrinkToFit="false"/>
      <protection locked="true" hidden="false"/>
    </xf>
    <xf numFmtId="167" fontId="15" fillId="0"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0" borderId="9" xfId="0" applyFont="true" applyBorder="true" applyAlignment="true" applyProtection="false">
      <alignment horizontal="right" vertical="center" textRotation="0" wrapText="true" indent="0" shrinkToFit="false"/>
      <protection locked="true" hidden="false"/>
    </xf>
    <xf numFmtId="164" fontId="15" fillId="0" borderId="10" xfId="0" applyFont="true" applyBorder="true" applyAlignment="true" applyProtection="false">
      <alignment horizontal="general" vertical="center" textRotation="0" wrapText="true" indent="0" shrinkToFit="false"/>
      <protection locked="true" hidden="false"/>
    </xf>
    <xf numFmtId="164" fontId="16" fillId="6" borderId="11" xfId="0" applyFont="true" applyBorder="true" applyAlignment="true" applyProtection="false">
      <alignment horizontal="center" vertical="center" textRotation="0" wrapText="true" indent="0" shrinkToFit="false"/>
      <protection locked="true" hidden="false"/>
    </xf>
    <xf numFmtId="164" fontId="17" fillId="6" borderId="12" xfId="0" applyFont="true" applyBorder="true" applyAlignment="true" applyProtection="false">
      <alignment horizontal="general" vertical="center" textRotation="0" wrapText="true" indent="0" shrinkToFit="false"/>
      <protection locked="true" hidden="false"/>
    </xf>
    <xf numFmtId="164" fontId="17" fillId="6" borderId="12" xfId="0" applyFont="true" applyBorder="true" applyAlignment="true" applyProtection="false">
      <alignment horizontal="center" vertical="center" textRotation="0" wrapText="true" indent="0" shrinkToFit="false"/>
      <protection locked="true" hidden="false"/>
    </xf>
    <xf numFmtId="164" fontId="17" fillId="6" borderId="13" xfId="0" applyFont="true" applyBorder="true" applyAlignment="true" applyProtection="false">
      <alignment horizontal="center" vertical="center" textRotation="0" wrapText="true" indent="0" shrinkToFit="false"/>
      <protection locked="true" hidden="false"/>
    </xf>
    <xf numFmtId="164" fontId="17" fillId="6" borderId="14" xfId="0" applyFont="true" applyBorder="true" applyAlignment="true" applyProtection="false">
      <alignment horizontal="center" vertical="center" textRotation="0" wrapText="true" indent="0" shrinkToFit="false"/>
      <protection locked="true" hidden="false"/>
    </xf>
    <xf numFmtId="169" fontId="14" fillId="7" borderId="14" xfId="0" applyFont="true" applyBorder="true" applyAlignment="true" applyProtection="false">
      <alignment horizontal="center" vertical="center" textRotation="0" wrapText="true" indent="0" shrinkToFit="false"/>
      <protection locked="true" hidden="false"/>
    </xf>
    <xf numFmtId="164" fontId="17" fillId="6" borderId="14" xfId="0" applyFont="true" applyBorder="true" applyAlignment="true" applyProtection="false">
      <alignment horizontal="center" vertical="center" textRotation="0" wrapText="false" indent="0" shrinkToFit="false"/>
      <protection locked="true" hidden="false"/>
    </xf>
    <xf numFmtId="164" fontId="17" fillId="6" borderId="15" xfId="0" applyFont="true" applyBorder="true" applyAlignment="true" applyProtection="false">
      <alignment horizontal="center" vertical="center" textRotation="0" wrapText="true" indent="0" shrinkToFit="false"/>
      <protection locked="true" hidden="false"/>
    </xf>
    <xf numFmtId="164" fontId="17" fillId="6" borderId="16" xfId="0" applyFont="true" applyBorder="true" applyAlignment="true" applyProtection="false">
      <alignment horizontal="center" vertical="center" textRotation="0" wrapText="true" indent="0" shrinkToFit="false"/>
      <protection locked="true" hidden="false"/>
    </xf>
    <xf numFmtId="164" fontId="14" fillId="0" borderId="17" xfId="0" applyFont="true" applyBorder="true" applyAlignment="true" applyProtection="false">
      <alignment horizontal="general" vertical="center" textRotation="0" wrapText="true" indent="0" shrinkToFit="false"/>
      <protection locked="true" hidden="false"/>
    </xf>
    <xf numFmtId="164" fontId="14" fillId="0" borderId="17" xfId="0" applyFont="true" applyBorder="true" applyAlignment="true" applyProtection="false">
      <alignment horizontal="center" vertical="center" textRotation="0" wrapText="true" indent="0" shrinkToFit="false"/>
      <protection locked="true" hidden="false"/>
    </xf>
    <xf numFmtId="164" fontId="14" fillId="0" borderId="18" xfId="0" applyFont="true" applyBorder="true" applyAlignment="true" applyProtection="false">
      <alignment horizontal="center" vertical="center" textRotation="0" wrapText="true" indent="0" shrinkToFit="false"/>
      <protection locked="true" hidden="false"/>
    </xf>
    <xf numFmtId="169" fontId="15" fillId="0" borderId="18" xfId="0" applyFont="true" applyBorder="true" applyAlignment="true" applyProtection="false">
      <alignment horizontal="center" vertical="center" textRotation="0" wrapText="false" indent="0" shrinkToFit="false"/>
      <protection locked="true" hidden="false"/>
    </xf>
    <xf numFmtId="164" fontId="15" fillId="0" borderId="18" xfId="0" applyFont="true" applyBorder="true" applyAlignment="true" applyProtection="false">
      <alignment horizontal="left" vertical="center" textRotation="0" wrapText="false" indent="0" shrinkToFit="false"/>
      <protection locked="true" hidden="false"/>
    </xf>
    <xf numFmtId="168" fontId="18" fillId="6" borderId="18" xfId="0" applyFont="true" applyBorder="true" applyAlignment="true" applyProtection="false">
      <alignment horizontal="center" vertical="center" textRotation="0" wrapText="false" indent="0" shrinkToFit="false"/>
      <protection locked="true" hidden="false"/>
    </xf>
    <xf numFmtId="164" fontId="19" fillId="8" borderId="19" xfId="0" applyFont="true" applyBorder="true" applyAlignment="true" applyProtection="false">
      <alignment horizontal="right" vertical="center" textRotation="0" wrapText="true" indent="0" shrinkToFit="false"/>
      <protection locked="true" hidden="false"/>
    </xf>
    <xf numFmtId="164" fontId="15" fillId="8" borderId="20" xfId="0" applyFont="true" applyBorder="true" applyAlignment="true" applyProtection="false">
      <alignment horizontal="general" vertical="center" textRotation="0" wrapText="true" indent="0" shrinkToFit="false"/>
      <protection locked="true" hidden="false"/>
    </xf>
    <xf numFmtId="164" fontId="15" fillId="8" borderId="20" xfId="0" applyFont="true" applyBorder="true" applyAlignment="true" applyProtection="false">
      <alignment horizontal="center" vertical="center" textRotation="0" wrapText="true" indent="0" shrinkToFit="false"/>
      <protection locked="true" hidden="false"/>
    </xf>
    <xf numFmtId="164" fontId="15" fillId="8" borderId="21" xfId="0" applyFont="true" applyBorder="true" applyAlignment="true" applyProtection="false">
      <alignment horizontal="general" vertical="center" textRotation="0" wrapText="true" indent="0" shrinkToFit="false"/>
      <protection locked="true" hidden="false"/>
    </xf>
    <xf numFmtId="164" fontId="15" fillId="9" borderId="21" xfId="0" applyFont="true" applyBorder="true" applyAlignment="true" applyProtection="false">
      <alignment horizontal="center" vertical="center" textRotation="0" wrapText="true" indent="0" shrinkToFit="false"/>
      <protection locked="true" hidden="false"/>
    </xf>
    <xf numFmtId="169" fontId="15" fillId="9" borderId="22" xfId="0" applyFont="true" applyBorder="true" applyAlignment="true" applyProtection="false">
      <alignment horizontal="center" vertical="center" textRotation="0" wrapText="false" indent="0" shrinkToFit="false"/>
      <protection locked="true" hidden="false"/>
    </xf>
    <xf numFmtId="164" fontId="14" fillId="0" borderId="23" xfId="0" applyFont="true" applyBorder="true" applyAlignment="true" applyProtection="false">
      <alignment horizontal="center" vertical="center" textRotation="0" wrapText="true" indent="0" shrinkToFit="false"/>
      <protection locked="true" hidden="false"/>
    </xf>
    <xf numFmtId="164" fontId="15" fillId="0" borderId="23" xfId="0" applyFont="true" applyBorder="true" applyAlignment="true" applyProtection="false">
      <alignment horizontal="center" vertical="center" textRotation="0" wrapText="false" indent="0" shrinkToFit="false"/>
      <protection locked="true" hidden="false"/>
    </xf>
    <xf numFmtId="169" fontId="15" fillId="0" borderId="23" xfId="0" applyFont="true" applyBorder="true" applyAlignment="true" applyProtection="false">
      <alignment horizontal="center" vertical="center" textRotation="0" wrapText="true" indent="0" shrinkToFit="false"/>
      <protection locked="true" hidden="false"/>
    </xf>
    <xf numFmtId="164" fontId="15" fillId="0" borderId="24" xfId="0" applyFont="true" applyBorder="true" applyAlignment="true" applyProtection="false">
      <alignment horizontal="left" vertical="center" textRotation="0" wrapText="false" indent="0" shrinkToFit="false"/>
      <protection locked="true" hidden="false"/>
    </xf>
    <xf numFmtId="164" fontId="14" fillId="0" borderId="25" xfId="0" applyFont="true" applyBorder="true" applyAlignment="true" applyProtection="false">
      <alignment horizontal="left" vertical="center" textRotation="0" wrapText="true" indent="0" shrinkToFit="false"/>
      <protection locked="true" hidden="false"/>
    </xf>
    <xf numFmtId="164" fontId="14" fillId="8" borderId="21" xfId="0" applyFont="true" applyBorder="true" applyAlignment="true" applyProtection="false">
      <alignment horizontal="center" vertical="center" textRotation="0" wrapText="true" indent="0" shrinkToFit="false"/>
      <protection locked="true" hidden="false"/>
    </xf>
    <xf numFmtId="169" fontId="15" fillId="9" borderId="22" xfId="0" applyFont="true" applyBorder="true" applyAlignment="true" applyProtection="false">
      <alignment horizontal="center" vertical="center" textRotation="0" wrapText="true" indent="0" shrinkToFit="false"/>
      <protection locked="true" hidden="false"/>
    </xf>
    <xf numFmtId="164" fontId="15" fillId="10" borderId="26" xfId="0" applyFont="true" applyBorder="true" applyAlignment="true" applyProtection="false">
      <alignment horizontal="general" vertical="center" textRotation="0" wrapText="true" indent="0" shrinkToFit="false"/>
      <protection locked="true" hidden="false"/>
    </xf>
    <xf numFmtId="164" fontId="15" fillId="10" borderId="27" xfId="0" applyFont="true" applyBorder="true" applyAlignment="true" applyProtection="false">
      <alignment horizontal="general" vertical="center" textRotation="0" wrapText="true" indent="0" shrinkToFit="false"/>
      <protection locked="true" hidden="false"/>
    </xf>
    <xf numFmtId="164" fontId="15" fillId="10" borderId="11" xfId="0" applyFont="true" applyBorder="true" applyAlignment="true" applyProtection="false">
      <alignment horizontal="general" vertical="center" textRotation="0" wrapText="true" indent="0" shrinkToFit="false"/>
      <protection locked="true" hidden="false"/>
    </xf>
    <xf numFmtId="164" fontId="15" fillId="10" borderId="28" xfId="0" applyFont="true" applyBorder="true" applyAlignment="true" applyProtection="false">
      <alignment horizontal="general" vertical="center" textRotation="0" wrapText="true" indent="0" shrinkToFit="false"/>
      <protection locked="true" hidden="false"/>
    </xf>
    <xf numFmtId="164" fontId="15" fillId="8" borderId="29" xfId="0" applyFont="true" applyBorder="true" applyAlignment="true" applyProtection="false">
      <alignment horizontal="general" vertical="center" textRotation="0" wrapText="true" indent="0" shrinkToFit="false"/>
      <protection locked="true" hidden="false"/>
    </xf>
    <xf numFmtId="164" fontId="17" fillId="6" borderId="21" xfId="0" applyFont="true" applyBorder="true" applyAlignment="true" applyProtection="false">
      <alignment horizontal="center" vertical="center" textRotation="0" wrapText="true" indent="0" shrinkToFit="false"/>
      <protection locked="true" hidden="false"/>
    </xf>
    <xf numFmtId="164" fontId="14" fillId="7" borderId="28" xfId="0" applyFont="true" applyBorder="true" applyAlignment="true" applyProtection="false">
      <alignment horizontal="center" vertical="center" textRotation="0" wrapText="true" indent="0" shrinkToFit="false"/>
      <protection locked="true" hidden="false"/>
    </xf>
    <xf numFmtId="164" fontId="14" fillId="7" borderId="30" xfId="0" applyFont="true" applyBorder="true" applyAlignment="true" applyProtection="false">
      <alignment horizontal="center" vertical="center" textRotation="0" wrapText="true" indent="0" shrinkToFit="false"/>
      <protection locked="true" hidden="false"/>
    </xf>
    <xf numFmtId="169" fontId="14" fillId="7" borderId="30" xfId="0" applyFont="true" applyBorder="true" applyAlignment="true" applyProtection="false">
      <alignment horizontal="center" vertical="center" textRotation="0" wrapText="true" indent="0" shrinkToFit="false"/>
      <protection locked="true" hidden="false"/>
    </xf>
    <xf numFmtId="164" fontId="14" fillId="0" borderId="31" xfId="0" applyFont="true" applyBorder="true" applyAlignment="true" applyProtection="false">
      <alignment horizontal="general" vertical="center" textRotation="0" wrapText="true" indent="0" shrinkToFit="false"/>
      <protection locked="true" hidden="false"/>
    </xf>
    <xf numFmtId="168" fontId="20" fillId="6" borderId="18" xfId="0" applyFont="true" applyBorder="true" applyAlignment="true" applyProtection="false">
      <alignment horizontal="center" vertical="center" textRotation="0" wrapText="false" indent="0" shrinkToFit="false"/>
      <protection locked="true" hidden="false"/>
    </xf>
    <xf numFmtId="164" fontId="15" fillId="10" borderId="32" xfId="0" applyFont="true" applyBorder="true" applyAlignment="true" applyProtection="false">
      <alignment horizontal="general" vertical="center" textRotation="0" wrapText="true" indent="0" shrinkToFit="false"/>
      <protection locked="true" hidden="false"/>
    </xf>
    <xf numFmtId="164" fontId="15" fillId="10" borderId="33" xfId="0" applyFont="true" applyBorder="true" applyAlignment="true" applyProtection="false">
      <alignment horizontal="general" vertical="center" textRotation="0" wrapText="true" indent="0" shrinkToFit="false"/>
      <protection locked="true" hidden="false"/>
    </xf>
    <xf numFmtId="164" fontId="14" fillId="0" borderId="34" xfId="0" applyFont="true" applyBorder="true" applyAlignment="true" applyProtection="false">
      <alignment horizontal="center" vertical="center" textRotation="0" wrapText="true" indent="0" shrinkToFit="false"/>
      <protection locked="true" hidden="false"/>
    </xf>
    <xf numFmtId="164" fontId="15" fillId="0" borderId="35" xfId="0" applyFont="true" applyBorder="true" applyAlignment="true" applyProtection="false">
      <alignment horizontal="center" vertical="center" textRotation="0" wrapText="false" indent="0" shrinkToFit="false"/>
      <protection locked="true" hidden="false"/>
    </xf>
    <xf numFmtId="169" fontId="15" fillId="0" borderId="36" xfId="0" applyFont="true" applyBorder="true" applyAlignment="true" applyProtection="false">
      <alignment horizontal="center" vertical="center" textRotation="0" wrapText="false" indent="0" shrinkToFit="false"/>
      <protection locked="true" hidden="false"/>
    </xf>
    <xf numFmtId="164" fontId="15" fillId="0" borderId="30" xfId="0" applyFont="true" applyBorder="true" applyAlignment="true" applyProtection="false">
      <alignment horizontal="left" vertical="center" textRotation="0" wrapText="false" indent="0" shrinkToFit="false"/>
      <protection locked="true" hidden="false"/>
    </xf>
    <xf numFmtId="164" fontId="14" fillId="8" borderId="37" xfId="0" applyFont="true" applyBorder="true" applyAlignment="true" applyProtection="false">
      <alignment horizontal="center" vertical="center" textRotation="0" wrapText="true" indent="0" shrinkToFit="false"/>
      <protection locked="true" hidden="false"/>
    </xf>
    <xf numFmtId="164" fontId="15" fillId="9" borderId="37" xfId="0" applyFont="true" applyBorder="true" applyAlignment="true" applyProtection="false">
      <alignment horizontal="center" vertical="center" textRotation="0" wrapText="true" indent="0" shrinkToFit="false"/>
      <protection locked="true" hidden="false"/>
    </xf>
    <xf numFmtId="169" fontId="15" fillId="9" borderId="38" xfId="0" applyFont="true" applyBorder="true" applyAlignment="true" applyProtection="false">
      <alignment horizontal="center" vertical="center" textRotation="0" wrapText="true" indent="0" shrinkToFit="false"/>
      <protection locked="true" hidden="false"/>
    </xf>
    <xf numFmtId="164" fontId="15" fillId="0" borderId="14" xfId="0" applyFont="true" applyBorder="true" applyAlignment="true" applyProtection="false">
      <alignment horizontal="left" vertical="center" textRotation="0" wrapText="false" indent="0" shrinkToFit="false"/>
      <protection locked="true" hidden="false"/>
    </xf>
    <xf numFmtId="164" fontId="15" fillId="0" borderId="13" xfId="0" applyFont="true" applyBorder="true" applyAlignment="true" applyProtection="false">
      <alignment horizontal="left" vertical="center" textRotation="0" wrapText="false" indent="0" shrinkToFit="false"/>
      <protection locked="true" hidden="false"/>
    </xf>
    <xf numFmtId="169" fontId="15" fillId="11" borderId="22" xfId="0" applyFont="true" applyBorder="true" applyAlignment="true" applyProtection="false">
      <alignment horizontal="center" vertical="center" textRotation="0" wrapText="false" indent="0" shrinkToFit="false"/>
      <protection locked="true" hidden="false"/>
    </xf>
    <xf numFmtId="164" fontId="15" fillId="0" borderId="39" xfId="0" applyFont="true" applyBorder="true" applyAlignment="true" applyProtection="false">
      <alignment horizontal="left" vertical="center" textRotation="0" wrapText="false" indent="0" shrinkToFit="false"/>
      <protection locked="true" hidden="false"/>
    </xf>
    <xf numFmtId="169" fontId="15" fillId="11" borderId="22" xfId="0" applyFont="true" applyBorder="true" applyAlignment="true" applyProtection="false">
      <alignment horizontal="center" vertical="center" textRotation="0" wrapText="true" indent="0" shrinkToFit="false"/>
      <protection locked="true" hidden="false"/>
    </xf>
    <xf numFmtId="164" fontId="15" fillId="0" borderId="20" xfId="0" applyFont="true" applyBorder="true" applyAlignment="true" applyProtection="false">
      <alignment horizontal="left" vertical="center" textRotation="0" wrapText="false" indent="0" shrinkToFit="false"/>
      <protection locked="true" hidden="false"/>
    </xf>
    <xf numFmtId="164" fontId="15" fillId="8" borderId="29" xfId="0" applyFont="true" applyBorder="true" applyAlignment="true" applyProtection="false">
      <alignment horizontal="center" vertical="center" textRotation="0" wrapText="true" indent="0" shrinkToFit="false"/>
      <protection locked="true" hidden="false"/>
    </xf>
    <xf numFmtId="164" fontId="14" fillId="8" borderId="40" xfId="0" applyFont="true" applyBorder="true" applyAlignment="true" applyProtection="false">
      <alignment horizontal="center" vertical="center" textRotation="0" wrapText="true" indent="0" shrinkToFit="false"/>
      <protection locked="true" hidden="false"/>
    </xf>
    <xf numFmtId="164" fontId="15" fillId="9" borderId="40" xfId="0" applyFont="true" applyBorder="true" applyAlignment="true" applyProtection="false">
      <alignment horizontal="center" vertical="center" textRotation="0" wrapText="true" indent="0" shrinkToFit="false"/>
      <protection locked="true" hidden="false"/>
    </xf>
    <xf numFmtId="169" fontId="15" fillId="9" borderId="41" xfId="0" applyFont="true" applyBorder="true" applyAlignment="true" applyProtection="false">
      <alignment horizontal="center" vertical="center" textRotation="0" wrapText="true" indent="0" shrinkToFit="false"/>
      <protection locked="true" hidden="false"/>
    </xf>
    <xf numFmtId="164" fontId="16" fillId="12" borderId="27" xfId="0" applyFont="true" applyBorder="true" applyAlignment="true" applyProtection="false">
      <alignment horizontal="center" vertical="center" textRotation="0" wrapText="true" indent="0" shrinkToFit="false"/>
      <protection locked="true" hidden="false"/>
    </xf>
    <xf numFmtId="164" fontId="17" fillId="12" borderId="30" xfId="0" applyFont="true" applyBorder="true" applyAlignment="true" applyProtection="false">
      <alignment horizontal="center" vertical="center" textRotation="0" wrapText="true" indent="0" shrinkToFit="false"/>
      <protection locked="true" hidden="false"/>
    </xf>
    <xf numFmtId="164" fontId="17" fillId="12" borderId="28" xfId="0" applyFont="true" applyBorder="true" applyAlignment="true" applyProtection="false">
      <alignment horizontal="center" vertical="center" textRotation="0" wrapText="true" indent="0" shrinkToFit="false"/>
      <protection locked="true" hidden="false"/>
    </xf>
    <xf numFmtId="169" fontId="17" fillId="12" borderId="30" xfId="0" applyFont="true" applyBorder="true" applyAlignment="true" applyProtection="false">
      <alignment horizontal="center" vertical="center" textRotation="0" wrapText="true" indent="0" shrinkToFit="false"/>
      <protection locked="true" hidden="false"/>
    </xf>
    <xf numFmtId="164" fontId="17" fillId="12" borderId="30" xfId="0" applyFont="true" applyBorder="true" applyAlignment="true" applyProtection="false">
      <alignment horizontal="center" vertical="center" textRotation="0" wrapText="false" indent="0" shrinkToFit="false"/>
      <protection locked="true" hidden="false"/>
    </xf>
    <xf numFmtId="164" fontId="17" fillId="12" borderId="42" xfId="0" applyFont="true" applyBorder="true" applyAlignment="true" applyProtection="false">
      <alignment horizontal="center" vertical="center" textRotation="0" wrapText="true" indent="0" shrinkToFit="false"/>
      <protection locked="true" hidden="false"/>
    </xf>
    <xf numFmtId="164" fontId="17" fillId="12" borderId="16" xfId="0" applyFont="true" applyBorder="true" applyAlignment="true" applyProtection="false">
      <alignment horizontal="center" vertical="center" textRotation="0" wrapText="true" indent="0" shrinkToFit="false"/>
      <protection locked="true" hidden="false"/>
    </xf>
    <xf numFmtId="164" fontId="14" fillId="0" borderId="24" xfId="0" applyFont="true" applyBorder="true" applyAlignment="true" applyProtection="false">
      <alignment horizontal="center" vertical="center" textRotation="0" wrapText="true" indent="0" shrinkToFit="false"/>
      <protection locked="true" hidden="false"/>
    </xf>
    <xf numFmtId="168" fontId="18" fillId="12" borderId="18" xfId="0" applyFont="true" applyBorder="true" applyAlignment="true" applyProtection="false">
      <alignment horizontal="center" vertical="center" textRotation="0" wrapText="false" indent="0" shrinkToFit="false"/>
      <protection locked="true" hidden="false"/>
    </xf>
    <xf numFmtId="164" fontId="19" fillId="13" borderId="19" xfId="0" applyFont="true" applyBorder="true" applyAlignment="true" applyProtection="false">
      <alignment horizontal="right" vertical="center" textRotation="0" wrapText="true" indent="0" shrinkToFit="false"/>
      <protection locked="true" hidden="false"/>
    </xf>
    <xf numFmtId="164" fontId="15" fillId="13" borderId="20" xfId="0" applyFont="true" applyBorder="true" applyAlignment="true" applyProtection="false">
      <alignment horizontal="general" vertical="center" textRotation="0" wrapText="true" indent="0" shrinkToFit="false"/>
      <protection locked="true" hidden="false"/>
    </xf>
    <xf numFmtId="164" fontId="15" fillId="13" borderId="20" xfId="0" applyFont="true" applyBorder="true" applyAlignment="true" applyProtection="false">
      <alignment horizontal="center" vertical="center" textRotation="0" wrapText="true" indent="0" shrinkToFit="false"/>
      <protection locked="true" hidden="false"/>
    </xf>
    <xf numFmtId="164" fontId="14" fillId="13" borderId="40" xfId="0" applyFont="true" applyBorder="true" applyAlignment="true" applyProtection="false">
      <alignment horizontal="center" vertical="center" textRotation="0" wrapText="true" indent="0" shrinkToFit="false"/>
      <protection locked="true" hidden="false"/>
    </xf>
    <xf numFmtId="164" fontId="14" fillId="0" borderId="15" xfId="0" applyFont="true" applyBorder="true" applyAlignment="true" applyProtection="false">
      <alignment horizontal="center" vertical="center" textRotation="0" wrapText="true" indent="0" shrinkToFit="false"/>
      <protection locked="true" hidden="false"/>
    </xf>
    <xf numFmtId="169" fontId="15" fillId="0" borderId="43" xfId="0" applyFont="true" applyBorder="true" applyAlignment="true" applyProtection="false">
      <alignment horizontal="center" vertical="center" textRotation="0" wrapText="false" indent="0" shrinkToFit="false"/>
      <protection locked="true" hidden="false"/>
    </xf>
    <xf numFmtId="164" fontId="15" fillId="0" borderId="35" xfId="0" applyFont="true" applyBorder="true" applyAlignment="true" applyProtection="false">
      <alignment horizontal="left" vertical="center" textRotation="0" wrapText="false" indent="0" shrinkToFit="false"/>
      <protection locked="true" hidden="false"/>
    </xf>
    <xf numFmtId="164" fontId="14" fillId="13" borderId="37" xfId="0" applyFont="true" applyBorder="true" applyAlignment="true" applyProtection="false">
      <alignment horizontal="center" vertical="center" textRotation="0" wrapText="true" indent="0" shrinkToFit="false"/>
      <protection locked="true" hidden="false"/>
    </xf>
    <xf numFmtId="169" fontId="15" fillId="11" borderId="34" xfId="0" applyFont="true" applyBorder="true" applyAlignment="true" applyProtection="false">
      <alignment horizontal="center" vertical="center" textRotation="0" wrapText="true" indent="0" shrinkToFit="false"/>
      <protection locked="true" hidden="false"/>
    </xf>
    <xf numFmtId="164" fontId="15" fillId="0" borderId="37" xfId="0" applyFont="true" applyBorder="true" applyAlignment="true" applyProtection="false">
      <alignment horizontal="center" vertical="center" textRotation="0" wrapText="false" indent="0" shrinkToFit="false"/>
      <protection locked="true" hidden="false"/>
    </xf>
    <xf numFmtId="164" fontId="15" fillId="0" borderId="44" xfId="0" applyFont="true" applyBorder="true" applyAlignment="true" applyProtection="false">
      <alignment horizontal="left" vertical="center" textRotation="0" wrapText="false" indent="0" shrinkToFit="false"/>
      <protection locked="true" hidden="false"/>
    </xf>
    <xf numFmtId="164" fontId="15" fillId="10" borderId="0" xfId="0" applyFont="true" applyBorder="false" applyAlignment="true" applyProtection="false">
      <alignment horizontal="general" vertical="center" textRotation="0" wrapText="true" indent="0" shrinkToFit="false"/>
      <protection locked="true" hidden="false"/>
    </xf>
    <xf numFmtId="164" fontId="15" fillId="10" borderId="31" xfId="0" applyFont="true" applyBorder="true" applyAlignment="true" applyProtection="false">
      <alignment horizontal="general" vertical="center" textRotation="0" wrapText="true" indent="0" shrinkToFit="false"/>
      <protection locked="true" hidden="false"/>
    </xf>
    <xf numFmtId="164" fontId="17" fillId="12" borderId="15" xfId="0" applyFont="true" applyBorder="true" applyAlignment="true" applyProtection="false">
      <alignment horizontal="center" vertical="center" textRotation="0" wrapText="true" indent="0" shrinkToFit="false"/>
      <protection locked="true" hidden="false"/>
    </xf>
    <xf numFmtId="164" fontId="17" fillId="12" borderId="45" xfId="0" applyFont="true" applyBorder="true" applyAlignment="true" applyProtection="false">
      <alignment horizontal="center" vertical="center" textRotation="0" wrapText="true" indent="0" shrinkToFit="false"/>
      <protection locked="true" hidden="false"/>
    </xf>
    <xf numFmtId="169" fontId="15" fillId="0" borderId="32" xfId="0" applyFont="true" applyBorder="true" applyAlignment="true" applyProtection="false">
      <alignment horizontal="center" vertical="center" textRotation="0" wrapText="false" indent="0" shrinkToFit="false"/>
      <protection locked="true" hidden="false"/>
    </xf>
    <xf numFmtId="169" fontId="15" fillId="9" borderId="25" xfId="0" applyFont="true" applyBorder="true" applyAlignment="true" applyProtection="false">
      <alignment horizontal="center" vertical="center" textRotation="0" wrapText="true" indent="0" shrinkToFit="false"/>
      <protection locked="true" hidden="false"/>
    </xf>
    <xf numFmtId="164" fontId="15" fillId="13" borderId="29" xfId="0" applyFont="true" applyBorder="true" applyAlignment="true" applyProtection="false">
      <alignment horizontal="general" vertical="center" textRotation="0" wrapText="true" indent="0" shrinkToFit="false"/>
      <protection locked="true" hidden="false"/>
    </xf>
    <xf numFmtId="169" fontId="15" fillId="9" borderId="46" xfId="0" applyFont="true" applyBorder="true" applyAlignment="true" applyProtection="false">
      <alignment horizontal="center" vertical="center" textRotation="0" wrapText="true" indent="0" shrinkToFit="false"/>
      <protection locked="true" hidden="false"/>
    </xf>
    <xf numFmtId="164" fontId="17" fillId="12" borderId="21" xfId="0" applyFont="true" applyBorder="true" applyAlignment="true" applyProtection="false">
      <alignment horizontal="center" vertical="center" textRotation="0" wrapText="true" indent="0" shrinkToFit="false"/>
      <protection locked="true" hidden="false"/>
    </xf>
    <xf numFmtId="164" fontId="14" fillId="14" borderId="28" xfId="0" applyFont="true" applyBorder="true" applyAlignment="true" applyProtection="false">
      <alignment horizontal="center" vertical="center" textRotation="0" wrapText="true" indent="0" shrinkToFit="false"/>
      <protection locked="true" hidden="false"/>
    </xf>
    <xf numFmtId="164" fontId="17" fillId="14" borderId="23" xfId="0" applyFont="true" applyBorder="true" applyAlignment="true" applyProtection="false">
      <alignment horizontal="center" vertical="center" textRotation="0" wrapText="true" indent="0" shrinkToFit="false"/>
      <protection locked="true" hidden="false"/>
    </xf>
    <xf numFmtId="169" fontId="17" fillId="14" borderId="30" xfId="0" applyFont="true" applyBorder="true" applyAlignment="true" applyProtection="false">
      <alignment horizontal="center" vertical="center" textRotation="0" wrapText="true" indent="0" shrinkToFit="false"/>
      <protection locked="true" hidden="false"/>
    </xf>
    <xf numFmtId="164" fontId="17" fillId="12" borderId="23" xfId="0" applyFont="true" applyBorder="true" applyAlignment="true" applyProtection="false">
      <alignment horizontal="center" vertical="center" textRotation="0" wrapText="false" indent="0" shrinkToFit="false"/>
      <protection locked="true" hidden="false"/>
    </xf>
    <xf numFmtId="164" fontId="17" fillId="12" borderId="14" xfId="0" applyFont="true" applyBorder="true" applyAlignment="true" applyProtection="false">
      <alignment horizontal="center" vertical="center" textRotation="0" wrapText="false" indent="0" shrinkToFit="false"/>
      <protection locked="true" hidden="false"/>
    </xf>
    <xf numFmtId="164" fontId="17" fillId="12" borderId="46" xfId="0" applyFont="true" applyBorder="true" applyAlignment="true" applyProtection="false">
      <alignment horizontal="center" vertical="center" textRotation="0" wrapText="true" indent="0" shrinkToFit="false"/>
      <protection locked="true" hidden="false"/>
    </xf>
    <xf numFmtId="168" fontId="18" fillId="12" borderId="17" xfId="0" applyFont="true" applyBorder="true" applyAlignment="true" applyProtection="false">
      <alignment horizontal="center" vertical="center" textRotation="0" wrapText="false" indent="0" shrinkToFit="false"/>
      <protection locked="true" hidden="false"/>
    </xf>
    <xf numFmtId="169" fontId="15" fillId="11" borderId="34" xfId="0" applyFont="true" applyBorder="true" applyAlignment="true" applyProtection="false">
      <alignment horizontal="center" vertical="center" textRotation="0" wrapText="false" indent="0" shrinkToFit="false"/>
      <protection locked="true" hidden="false"/>
    </xf>
    <xf numFmtId="164" fontId="14" fillId="0" borderId="46" xfId="0" applyFont="true" applyBorder="true" applyAlignment="true" applyProtection="false">
      <alignment horizontal="center" vertical="center" textRotation="0" wrapText="true" indent="0" shrinkToFit="false"/>
      <protection locked="true" hidden="false"/>
    </xf>
    <xf numFmtId="164" fontId="15" fillId="10" borderId="12" xfId="0" applyFont="true" applyBorder="true" applyAlignment="true" applyProtection="false">
      <alignment horizontal="general" vertical="center" textRotation="0" wrapText="true" indent="0" shrinkToFit="false"/>
      <protection locked="true" hidden="false"/>
    </xf>
    <xf numFmtId="169" fontId="15" fillId="9" borderId="47" xfId="0" applyFont="true" applyBorder="true" applyAlignment="true" applyProtection="false">
      <alignment horizontal="center" vertical="center" textRotation="0" wrapText="true" indent="0" shrinkToFit="false"/>
      <protection locked="true" hidden="false"/>
    </xf>
    <xf numFmtId="164" fontId="17" fillId="12" borderId="18" xfId="0" applyFont="true" applyBorder="true" applyAlignment="true" applyProtection="false">
      <alignment horizontal="center" vertical="center" textRotation="0" wrapText="false" indent="0" shrinkToFit="false"/>
      <protection locked="true" hidden="false"/>
    </xf>
    <xf numFmtId="164" fontId="15" fillId="13" borderId="29" xfId="0" applyFont="true" applyBorder="true" applyAlignment="true" applyProtection="false">
      <alignment horizontal="center" vertical="center" textRotation="0" wrapText="true" indent="0" shrinkToFit="false"/>
      <protection locked="true" hidden="false"/>
    </xf>
    <xf numFmtId="164" fontId="14" fillId="13" borderId="23" xfId="0" applyFont="true" applyBorder="true" applyAlignment="true" applyProtection="false">
      <alignment horizontal="center" vertical="center" textRotation="0" wrapText="true" indent="0" shrinkToFit="false"/>
      <protection locked="true" hidden="false"/>
    </xf>
    <xf numFmtId="164" fontId="15" fillId="9" borderId="23" xfId="0" applyFont="true" applyBorder="true" applyAlignment="true" applyProtection="false">
      <alignment horizontal="center" vertical="center" textRotation="0" wrapText="true" indent="0" shrinkToFit="false"/>
      <protection locked="true" hidden="false"/>
    </xf>
    <xf numFmtId="164" fontId="21" fillId="15" borderId="27" xfId="0" applyFont="true" applyBorder="true" applyAlignment="true" applyProtection="false">
      <alignment horizontal="center" vertical="center" textRotation="0" wrapText="true" indent="0" shrinkToFit="false"/>
      <protection locked="true" hidden="false"/>
    </xf>
    <xf numFmtId="164" fontId="17" fillId="15" borderId="30" xfId="0" applyFont="true" applyBorder="true" applyAlignment="true" applyProtection="false">
      <alignment horizontal="center" vertical="center" textRotation="0" wrapText="true" indent="0" shrinkToFit="false"/>
      <protection locked="true" hidden="false"/>
    </xf>
    <xf numFmtId="164" fontId="17" fillId="15" borderId="28" xfId="0" applyFont="true" applyBorder="true" applyAlignment="true" applyProtection="false">
      <alignment horizontal="center" vertical="center" textRotation="0" wrapText="true" indent="0" shrinkToFit="false"/>
      <protection locked="true" hidden="false"/>
    </xf>
    <xf numFmtId="164" fontId="17" fillId="15" borderId="23" xfId="0" applyFont="true" applyBorder="true" applyAlignment="true" applyProtection="false">
      <alignment horizontal="center" vertical="center" textRotation="0" wrapText="true" indent="0" shrinkToFit="false"/>
      <protection locked="true" hidden="false"/>
    </xf>
    <xf numFmtId="169" fontId="17" fillId="15" borderId="30" xfId="0" applyFont="true" applyBorder="true" applyAlignment="true" applyProtection="false">
      <alignment horizontal="center" vertical="center" textRotation="0" wrapText="true" indent="0" shrinkToFit="false"/>
      <protection locked="true" hidden="false"/>
    </xf>
    <xf numFmtId="164" fontId="17" fillId="15" borderId="23" xfId="0" applyFont="true" applyBorder="true" applyAlignment="true" applyProtection="false">
      <alignment horizontal="center" vertical="center" textRotation="0" wrapText="false" indent="0" shrinkToFit="false"/>
      <protection locked="true" hidden="false"/>
    </xf>
    <xf numFmtId="164" fontId="17" fillId="15" borderId="30" xfId="0" applyFont="true" applyBorder="true" applyAlignment="true" applyProtection="false">
      <alignment horizontal="center" vertical="center" textRotation="0" wrapText="false" indent="0" shrinkToFit="false"/>
      <protection locked="true" hidden="false"/>
    </xf>
    <xf numFmtId="164" fontId="17" fillId="15" borderId="15" xfId="0" applyFont="true" applyBorder="true" applyAlignment="true" applyProtection="false">
      <alignment horizontal="center" vertical="center" textRotation="0" wrapText="true" indent="0" shrinkToFit="false"/>
      <protection locked="true" hidden="false"/>
    </xf>
    <xf numFmtId="164" fontId="17" fillId="15" borderId="16" xfId="0" applyFont="true" applyBorder="true" applyAlignment="true" applyProtection="false">
      <alignment horizontal="center" vertical="center" textRotation="0" wrapText="true" indent="0" shrinkToFit="false"/>
      <protection locked="true" hidden="false"/>
    </xf>
    <xf numFmtId="168" fontId="18" fillId="15" borderId="17" xfId="0" applyFont="true" applyBorder="true" applyAlignment="true" applyProtection="false">
      <alignment horizontal="center" vertical="center" textRotation="0" wrapText="false" indent="0" shrinkToFit="false"/>
      <protection locked="true" hidden="false"/>
    </xf>
    <xf numFmtId="164" fontId="19" fillId="16" borderId="19" xfId="0" applyFont="true" applyBorder="true" applyAlignment="true" applyProtection="false">
      <alignment horizontal="right" vertical="center" textRotation="0" wrapText="true" indent="0" shrinkToFit="false"/>
      <protection locked="true" hidden="false"/>
    </xf>
    <xf numFmtId="164" fontId="15" fillId="16" borderId="20" xfId="0" applyFont="true" applyBorder="true" applyAlignment="true" applyProtection="false">
      <alignment horizontal="general" vertical="center" textRotation="0" wrapText="true" indent="0" shrinkToFit="false"/>
      <protection locked="true" hidden="false"/>
    </xf>
    <xf numFmtId="164" fontId="15" fillId="16" borderId="20" xfId="0" applyFont="true" applyBorder="true" applyAlignment="true" applyProtection="false">
      <alignment horizontal="center" vertical="center" textRotation="0" wrapText="true" indent="0" shrinkToFit="false"/>
      <protection locked="true" hidden="false"/>
    </xf>
    <xf numFmtId="164" fontId="14" fillId="16" borderId="37" xfId="0" applyFont="true" applyBorder="true" applyAlignment="true" applyProtection="false">
      <alignment horizontal="center" vertical="center" textRotation="0" wrapText="true" indent="0" shrinkToFit="false"/>
      <protection locked="true" hidden="false"/>
    </xf>
    <xf numFmtId="164" fontId="17" fillId="15" borderId="45" xfId="0" applyFont="true" applyBorder="true" applyAlignment="true" applyProtection="false">
      <alignment horizontal="center" vertical="center" textRotation="0" wrapText="true" indent="0" shrinkToFit="false"/>
      <protection locked="true" hidden="false"/>
    </xf>
    <xf numFmtId="164" fontId="15" fillId="9" borderId="35" xfId="0" applyFont="true" applyBorder="true" applyAlignment="true" applyProtection="false">
      <alignment horizontal="center" vertical="center" textRotation="0" wrapText="true" indent="0" shrinkToFit="false"/>
      <protection locked="true" hidden="false"/>
    </xf>
    <xf numFmtId="169" fontId="15" fillId="9" borderId="32" xfId="0" applyFont="true" applyBorder="true" applyAlignment="true" applyProtection="false">
      <alignment horizontal="center" vertical="center" textRotation="0" wrapText="true" indent="0" shrinkToFit="false"/>
      <protection locked="true" hidden="false"/>
    </xf>
    <xf numFmtId="164" fontId="15" fillId="16" borderId="29" xfId="0" applyFont="true" applyBorder="true" applyAlignment="true" applyProtection="false">
      <alignment horizontal="general" vertical="center" textRotation="0" wrapText="true" indent="0" shrinkToFit="false"/>
      <protection locked="true" hidden="false"/>
    </xf>
    <xf numFmtId="164" fontId="17" fillId="15" borderId="21" xfId="0" applyFont="true" applyBorder="true" applyAlignment="true" applyProtection="false">
      <alignment horizontal="center" vertical="center" textRotation="0" wrapText="true" indent="0" shrinkToFit="false"/>
      <protection locked="true" hidden="false"/>
    </xf>
    <xf numFmtId="164" fontId="17" fillId="15" borderId="14" xfId="0" applyFont="true" applyBorder="true" applyAlignment="true" applyProtection="false">
      <alignment horizontal="center" vertical="center" textRotation="0" wrapText="false" indent="0" shrinkToFit="false"/>
      <protection locked="true" hidden="false"/>
    </xf>
    <xf numFmtId="164" fontId="17" fillId="15" borderId="46" xfId="0" applyFont="true" applyBorder="true" applyAlignment="true" applyProtection="false">
      <alignment horizontal="center" vertical="center" textRotation="0" wrapText="true" indent="0" shrinkToFit="false"/>
      <protection locked="true" hidden="false"/>
    </xf>
    <xf numFmtId="169" fontId="15" fillId="0" borderId="48" xfId="0" applyFont="true" applyBorder="true" applyAlignment="true" applyProtection="false">
      <alignment horizontal="center" vertical="center" textRotation="0" wrapText="false" indent="0" shrinkToFit="false"/>
      <protection locked="true" hidden="false"/>
    </xf>
    <xf numFmtId="164" fontId="14" fillId="15" borderId="28" xfId="0" applyFont="true" applyBorder="true" applyAlignment="true" applyProtection="false">
      <alignment horizontal="center" vertical="center" textRotation="0" wrapText="true" indent="0" shrinkToFit="false"/>
      <protection locked="true" hidden="false"/>
    </xf>
    <xf numFmtId="168" fontId="18" fillId="15" borderId="18" xfId="0" applyFont="true" applyBorder="true" applyAlignment="true" applyProtection="false">
      <alignment horizontal="center" vertical="center" textRotation="0" wrapText="false" indent="0" shrinkToFit="false"/>
      <protection locked="true" hidden="false"/>
    </xf>
    <xf numFmtId="164" fontId="15" fillId="16" borderId="29" xfId="0" applyFont="true" applyBorder="true" applyAlignment="true" applyProtection="false">
      <alignment horizontal="center" vertical="center" textRotation="0" wrapText="true" indent="0" shrinkToFit="false"/>
      <protection locked="true" hidden="false"/>
    </xf>
    <xf numFmtId="164" fontId="14" fillId="16" borderId="23" xfId="0" applyFont="true" applyBorder="true" applyAlignment="true" applyProtection="false">
      <alignment horizontal="center" vertical="center" textRotation="0" wrapText="true" indent="0" shrinkToFit="false"/>
      <protection locked="true" hidden="false"/>
    </xf>
    <xf numFmtId="164" fontId="16" fillId="17" borderId="27" xfId="0" applyFont="true" applyBorder="true" applyAlignment="true" applyProtection="false">
      <alignment horizontal="center" vertical="center" textRotation="0" wrapText="true" indent="0" shrinkToFit="false"/>
      <protection locked="true" hidden="false"/>
    </xf>
    <xf numFmtId="164" fontId="17" fillId="17" borderId="30" xfId="0" applyFont="true" applyBorder="true" applyAlignment="true" applyProtection="false">
      <alignment horizontal="center" vertical="center" textRotation="0" wrapText="true" indent="0" shrinkToFit="false"/>
      <protection locked="true" hidden="false"/>
    </xf>
    <xf numFmtId="164" fontId="17" fillId="17" borderId="28" xfId="0" applyFont="true" applyBorder="true" applyAlignment="true" applyProtection="false">
      <alignment horizontal="center" vertical="center" textRotation="0" wrapText="true" indent="0" shrinkToFit="false"/>
      <protection locked="true" hidden="false"/>
    </xf>
    <xf numFmtId="169" fontId="17" fillId="17" borderId="30" xfId="0" applyFont="true" applyBorder="true" applyAlignment="true" applyProtection="false">
      <alignment horizontal="center" vertical="center" textRotation="0" wrapText="true" indent="0" shrinkToFit="false"/>
      <protection locked="true" hidden="false"/>
    </xf>
    <xf numFmtId="164" fontId="17" fillId="17" borderId="30" xfId="0" applyFont="true" applyBorder="true" applyAlignment="true" applyProtection="false">
      <alignment horizontal="center" vertical="center" textRotation="0" wrapText="false" indent="0" shrinkToFit="false"/>
      <protection locked="true" hidden="false"/>
    </xf>
    <xf numFmtId="164" fontId="17" fillId="17" borderId="15" xfId="0" applyFont="true" applyBorder="true" applyAlignment="true" applyProtection="false">
      <alignment horizontal="center" vertical="center" textRotation="0" wrapText="true" indent="0" shrinkToFit="false"/>
      <protection locked="true" hidden="false"/>
    </xf>
    <xf numFmtId="164" fontId="17" fillId="17" borderId="16" xfId="0" applyFont="true" applyBorder="true" applyAlignment="true" applyProtection="false">
      <alignment horizontal="center" vertical="center" textRotation="0" wrapText="true" indent="0" shrinkToFit="false"/>
      <protection locked="true" hidden="false"/>
    </xf>
    <xf numFmtId="168" fontId="18" fillId="17" borderId="18" xfId="0" applyFont="true" applyBorder="true" applyAlignment="true" applyProtection="false">
      <alignment horizontal="center" vertical="center" textRotation="0" wrapText="false" indent="0" shrinkToFit="false"/>
      <protection locked="true" hidden="false"/>
    </xf>
    <xf numFmtId="164" fontId="19" fillId="18" borderId="19" xfId="0" applyFont="true" applyBorder="true" applyAlignment="true" applyProtection="false">
      <alignment horizontal="right" vertical="center" textRotation="0" wrapText="true" indent="0" shrinkToFit="false"/>
      <protection locked="true" hidden="false"/>
    </xf>
    <xf numFmtId="164" fontId="15" fillId="18" borderId="20" xfId="0" applyFont="true" applyBorder="true" applyAlignment="true" applyProtection="false">
      <alignment horizontal="general" vertical="center" textRotation="0" wrapText="true" indent="0" shrinkToFit="false"/>
      <protection locked="true" hidden="false"/>
    </xf>
    <xf numFmtId="164" fontId="15" fillId="18" borderId="20" xfId="0" applyFont="true" applyBorder="true" applyAlignment="true" applyProtection="false">
      <alignment horizontal="center" vertical="center" textRotation="0" wrapText="true" indent="0" shrinkToFit="false"/>
      <protection locked="true" hidden="false"/>
    </xf>
    <xf numFmtId="164" fontId="14" fillId="18" borderId="37" xfId="0" applyFont="true" applyBorder="true" applyAlignment="true" applyProtection="false">
      <alignment horizontal="center" vertical="center" textRotation="0" wrapText="true" indent="0" shrinkToFit="false"/>
      <protection locked="true" hidden="false"/>
    </xf>
    <xf numFmtId="164" fontId="17" fillId="17" borderId="45" xfId="0" applyFont="true" applyBorder="true" applyAlignment="true" applyProtection="false">
      <alignment horizontal="center" vertical="center" textRotation="0" wrapText="true" indent="0" shrinkToFit="false"/>
      <protection locked="true" hidden="false"/>
    </xf>
    <xf numFmtId="164" fontId="15" fillId="18" borderId="29" xfId="0" applyFont="true" applyBorder="true" applyAlignment="true" applyProtection="false">
      <alignment horizontal="general" vertical="center" textRotation="0" wrapText="true" indent="0" shrinkToFit="false"/>
      <protection locked="true" hidden="false"/>
    </xf>
    <xf numFmtId="164" fontId="17" fillId="17" borderId="21" xfId="0" applyFont="true" applyBorder="true" applyAlignment="true" applyProtection="false">
      <alignment horizontal="center" vertical="center" textRotation="0" wrapText="true" indent="0" shrinkToFit="false"/>
      <protection locked="true" hidden="false"/>
    </xf>
    <xf numFmtId="164" fontId="17" fillId="17" borderId="14" xfId="0" applyFont="true" applyBorder="true" applyAlignment="true" applyProtection="false">
      <alignment horizontal="center" vertical="center" textRotation="0" wrapText="false" indent="0" shrinkToFit="false"/>
      <protection locked="true" hidden="false"/>
    </xf>
    <xf numFmtId="164" fontId="17" fillId="17" borderId="46" xfId="0" applyFont="true" applyBorder="true" applyAlignment="true" applyProtection="false">
      <alignment horizontal="center" vertical="center" textRotation="0" wrapText="true" indent="0" shrinkToFit="false"/>
      <protection locked="true" hidden="false"/>
    </xf>
    <xf numFmtId="164" fontId="14" fillId="0" borderId="37" xfId="0" applyFont="true" applyBorder="true" applyAlignment="true" applyProtection="false">
      <alignment horizontal="center" vertical="center" textRotation="0" wrapText="true" indent="0" shrinkToFit="false"/>
      <protection locked="true" hidden="false"/>
    </xf>
    <xf numFmtId="164" fontId="16" fillId="19" borderId="11" xfId="0" applyFont="true" applyBorder="true" applyAlignment="true" applyProtection="false">
      <alignment horizontal="center" vertical="center" textRotation="0" wrapText="true" indent="0" shrinkToFit="false"/>
      <protection locked="true" hidden="false"/>
    </xf>
    <xf numFmtId="164" fontId="17" fillId="19" borderId="14" xfId="0" applyFont="true" applyBorder="true" applyAlignment="true" applyProtection="false">
      <alignment horizontal="center" vertical="center" textRotation="0" wrapText="true" indent="0" shrinkToFit="false"/>
      <protection locked="true" hidden="false"/>
    </xf>
    <xf numFmtId="164" fontId="17" fillId="19" borderId="13" xfId="0" applyFont="true" applyBorder="true" applyAlignment="true" applyProtection="false">
      <alignment horizontal="center" vertical="center" textRotation="0" wrapText="true" indent="0" shrinkToFit="false"/>
      <protection locked="true" hidden="false"/>
    </xf>
    <xf numFmtId="169" fontId="17" fillId="19" borderId="14" xfId="0" applyFont="true" applyBorder="true" applyAlignment="true" applyProtection="false">
      <alignment horizontal="center" vertical="center" textRotation="0" wrapText="true" indent="0" shrinkToFit="false"/>
      <protection locked="true" hidden="false"/>
    </xf>
    <xf numFmtId="164" fontId="17" fillId="19" borderId="14" xfId="0" applyFont="true" applyBorder="true" applyAlignment="true" applyProtection="false">
      <alignment horizontal="center" vertical="center" textRotation="0" wrapText="false" indent="0" shrinkToFit="false"/>
      <protection locked="true" hidden="false"/>
    </xf>
    <xf numFmtId="164" fontId="17" fillId="19" borderId="15" xfId="0" applyFont="true" applyBorder="true" applyAlignment="true" applyProtection="false">
      <alignment horizontal="center" vertical="center" textRotation="0" wrapText="true" indent="0" shrinkToFit="false"/>
      <protection locked="true" hidden="false"/>
    </xf>
    <xf numFmtId="164" fontId="17" fillId="19" borderId="16" xfId="0" applyFont="true" applyBorder="true" applyAlignment="true" applyProtection="false">
      <alignment horizontal="center" vertical="center" textRotation="0" wrapText="true" indent="0" shrinkToFit="false"/>
      <protection locked="true" hidden="false"/>
    </xf>
    <xf numFmtId="168" fontId="18" fillId="19" borderId="18" xfId="0" applyFont="true" applyBorder="true" applyAlignment="true" applyProtection="false">
      <alignment horizontal="center" vertical="center" textRotation="0" wrapText="false" indent="0" shrinkToFit="false"/>
      <protection locked="true" hidden="false"/>
    </xf>
    <xf numFmtId="164" fontId="19" fillId="20" borderId="19" xfId="0" applyFont="true" applyBorder="true" applyAlignment="true" applyProtection="false">
      <alignment horizontal="right" vertical="center" textRotation="0" wrapText="true" indent="0" shrinkToFit="false"/>
      <protection locked="true" hidden="false"/>
    </xf>
    <xf numFmtId="164" fontId="15" fillId="20" borderId="20" xfId="0" applyFont="true" applyBorder="true" applyAlignment="true" applyProtection="false">
      <alignment horizontal="general" vertical="center" textRotation="0" wrapText="true" indent="0" shrinkToFit="false"/>
      <protection locked="true" hidden="false"/>
    </xf>
    <xf numFmtId="164" fontId="15" fillId="20" borderId="20" xfId="0" applyFont="true" applyBorder="true" applyAlignment="true" applyProtection="false">
      <alignment horizontal="center" vertical="center" textRotation="0" wrapText="true" indent="0" shrinkToFit="false"/>
      <protection locked="true" hidden="false"/>
    </xf>
    <xf numFmtId="164" fontId="14" fillId="20" borderId="21" xfId="0" applyFont="true" applyBorder="true" applyAlignment="true" applyProtection="false">
      <alignment horizontal="center" vertical="center" textRotation="0" wrapText="true" indent="0" shrinkToFit="false"/>
      <protection locked="true" hidden="false"/>
    </xf>
    <xf numFmtId="164" fontId="14" fillId="20" borderId="40" xfId="0" applyFont="true" applyBorder="true" applyAlignment="true" applyProtection="false">
      <alignment horizontal="center" vertical="center" textRotation="0" wrapText="true" indent="0" shrinkToFit="false"/>
      <protection locked="true" hidden="false"/>
    </xf>
    <xf numFmtId="169" fontId="15" fillId="11" borderId="33" xfId="0" applyFont="true" applyBorder="true" applyAlignment="true" applyProtection="false">
      <alignment horizontal="center" vertical="center" textRotation="0" wrapText="true" indent="0" shrinkToFit="false"/>
      <protection locked="true" hidden="false"/>
    </xf>
    <xf numFmtId="164" fontId="15" fillId="10" borderId="13" xfId="0" applyFont="true" applyBorder="true" applyAlignment="true" applyProtection="false">
      <alignment horizontal="general" vertical="center" textRotation="0" wrapText="true" indent="0" shrinkToFit="false"/>
      <protection locked="true" hidden="false"/>
    </xf>
    <xf numFmtId="164" fontId="17" fillId="19" borderId="45" xfId="0" applyFont="true" applyBorder="true" applyAlignment="true" applyProtection="false">
      <alignment horizontal="center" vertical="center" textRotation="0" wrapText="true" indent="0" shrinkToFit="false"/>
      <protection locked="true" hidden="false"/>
    </xf>
    <xf numFmtId="164" fontId="15" fillId="20" borderId="29" xfId="0" applyFont="true" applyBorder="true" applyAlignment="true" applyProtection="false">
      <alignment horizontal="general" vertical="center" textRotation="0" wrapText="true" indent="0" shrinkToFit="false"/>
      <protection locked="true" hidden="false"/>
    </xf>
    <xf numFmtId="164" fontId="17" fillId="19" borderId="21" xfId="0" applyFont="true" applyBorder="true" applyAlignment="true" applyProtection="false">
      <alignment horizontal="center" vertical="center" textRotation="0" wrapText="true" indent="0" shrinkToFit="false"/>
      <protection locked="true" hidden="false"/>
    </xf>
    <xf numFmtId="164" fontId="17" fillId="19" borderId="28" xfId="0" applyFont="true" applyBorder="true" applyAlignment="true" applyProtection="false">
      <alignment horizontal="center" vertical="center" textRotation="0" wrapText="true" indent="0" shrinkToFit="false"/>
      <protection locked="true" hidden="false"/>
    </xf>
    <xf numFmtId="164" fontId="17" fillId="19" borderId="30" xfId="0" applyFont="true" applyBorder="true" applyAlignment="true" applyProtection="false">
      <alignment horizontal="center" vertical="center" textRotation="0" wrapText="true" indent="0" shrinkToFit="false"/>
      <protection locked="true" hidden="false"/>
    </xf>
    <xf numFmtId="169" fontId="17" fillId="19" borderId="30" xfId="0" applyFont="true" applyBorder="true" applyAlignment="true" applyProtection="false">
      <alignment horizontal="center" vertical="center" textRotation="0" wrapText="true" indent="0" shrinkToFit="false"/>
      <protection locked="true" hidden="false"/>
    </xf>
    <xf numFmtId="164" fontId="17" fillId="19" borderId="46" xfId="0" applyFont="true" applyBorder="true" applyAlignment="true" applyProtection="false">
      <alignment horizontal="center" vertical="center" textRotation="0" wrapText="true" indent="0" shrinkToFit="false"/>
      <protection locked="true" hidden="false"/>
    </xf>
    <xf numFmtId="164" fontId="19" fillId="20" borderId="32" xfId="0" applyFont="true" applyBorder="true" applyAlignment="true" applyProtection="false">
      <alignment horizontal="right"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5" fillId="0" borderId="11" xfId="0" applyFont="true" applyBorder="true" applyAlignment="true" applyProtection="false">
      <alignment horizontal="general" vertical="bottom" textRotation="0" wrapText="true" indent="0" shrinkToFit="false"/>
      <protection locked="true" hidden="false"/>
    </xf>
    <xf numFmtId="164" fontId="13" fillId="21" borderId="49" xfId="21" applyFont="true" applyBorder="true" applyAlignment="true" applyProtection="false">
      <alignment horizontal="left" vertical="center" textRotation="0" wrapText="true" indent="0" shrinkToFit="false"/>
      <protection locked="true" hidden="false"/>
    </xf>
    <xf numFmtId="164" fontId="15" fillId="0" borderId="43"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right" vertical="bottom" textRotation="0" wrapText="tru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70" fontId="15" fillId="0" borderId="0" xfId="0" applyFont="true" applyBorder="true" applyAlignment="true" applyProtection="false">
      <alignment horizontal="left" vertical="bottom"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14" fillId="0" borderId="0" xfId="0" applyFont="true" applyBorder="false" applyAlignment="true" applyProtection="false">
      <alignment horizontal="right" vertical="bottom" textRotation="0" wrapText="true" indent="0" shrinkToFit="false"/>
      <protection locked="true" hidden="false"/>
    </xf>
    <xf numFmtId="164" fontId="14" fillId="10" borderId="49" xfId="0" applyFont="true" applyBorder="true" applyAlignment="true" applyProtection="false">
      <alignment horizontal="center" vertical="center" textRotation="0" wrapText="true" indent="0" shrinkToFit="false"/>
      <protection locked="true" hidden="false"/>
    </xf>
    <xf numFmtId="164" fontId="13" fillId="10" borderId="49" xfId="0" applyFont="true" applyBorder="true" applyAlignment="true" applyProtection="false">
      <alignment horizontal="center" vertical="center" textRotation="0" wrapText="false" indent="0" shrinkToFit="false"/>
      <protection locked="true" hidden="false"/>
    </xf>
    <xf numFmtId="164" fontId="14" fillId="22" borderId="45" xfId="0" applyFont="true" applyBorder="true" applyAlignment="true" applyProtection="false">
      <alignment horizontal="center" vertical="center" textRotation="0" wrapText="true" indent="0" shrinkToFit="false"/>
      <protection locked="true" hidden="false"/>
    </xf>
    <xf numFmtId="164" fontId="14" fillId="22" borderId="14" xfId="0" applyFont="true" applyBorder="true" applyAlignment="true" applyProtection="false">
      <alignment horizontal="center" vertical="center" textRotation="0" wrapText="true" indent="0" shrinkToFit="false"/>
      <protection locked="true" hidden="false"/>
    </xf>
    <xf numFmtId="164" fontId="14" fillId="22" borderId="30" xfId="0" applyFont="true" applyBorder="true" applyAlignment="true" applyProtection="false">
      <alignment horizontal="center" vertical="center" textRotation="0" wrapText="true" indent="0" shrinkToFit="false"/>
      <protection locked="true" hidden="false"/>
    </xf>
    <xf numFmtId="164" fontId="14" fillId="0" borderId="25" xfId="0" applyFont="true" applyBorder="true" applyAlignment="true" applyProtection="false">
      <alignment horizontal="center" vertical="center" textRotation="0" wrapText="true" indent="0" shrinkToFit="false"/>
      <protection locked="true" hidden="false"/>
    </xf>
    <xf numFmtId="164" fontId="22" fillId="6" borderId="14" xfId="0" applyFont="true" applyBorder="true" applyAlignment="true" applyProtection="false">
      <alignment horizontal="center" vertical="center" textRotation="0" wrapText="true" indent="0" shrinkToFit="false"/>
      <protection locked="true" hidden="false"/>
    </xf>
    <xf numFmtId="164" fontId="23" fillId="0" borderId="14" xfId="0" applyFont="true" applyBorder="true" applyAlignment="true" applyProtection="false">
      <alignment horizontal="left" vertical="center" textRotation="0" wrapText="true" indent="0" shrinkToFit="false"/>
      <protection locked="true" hidden="false"/>
    </xf>
    <xf numFmtId="168" fontId="14" fillId="0" borderId="14" xfId="0" applyFont="true" applyBorder="true" applyAlignment="true" applyProtection="false">
      <alignment horizontal="center" vertical="center" textRotation="0" wrapText="true" indent="0" shrinkToFit="false"/>
      <protection locked="true" hidden="false"/>
    </xf>
    <xf numFmtId="164" fontId="15" fillId="0" borderId="23" xfId="0" applyFont="true" applyBorder="true" applyAlignment="true" applyProtection="false">
      <alignment horizontal="center" vertical="bottom" textRotation="0" wrapText="true" indent="0" shrinkToFit="false"/>
      <protection locked="true" hidden="false"/>
    </xf>
    <xf numFmtId="164" fontId="15" fillId="0" borderId="25" xfId="0" applyFont="true" applyBorder="true" applyAlignment="true" applyProtection="false">
      <alignment horizontal="general" vertical="bottom" textRotation="0" wrapText="true" indent="0" shrinkToFit="false"/>
      <protection locked="true" hidden="false"/>
    </xf>
    <xf numFmtId="164" fontId="22" fillId="23" borderId="14" xfId="0" applyFont="true" applyBorder="true" applyAlignment="true" applyProtection="false">
      <alignment horizontal="center" vertical="center" textRotation="0" wrapText="true" indent="0" shrinkToFit="false"/>
      <protection locked="true" hidden="false"/>
    </xf>
    <xf numFmtId="164" fontId="22" fillId="24" borderId="14" xfId="0" applyFont="true" applyBorder="true" applyAlignment="true" applyProtection="false">
      <alignment horizontal="center" vertical="center" textRotation="0" wrapText="true" indent="0" shrinkToFit="false"/>
      <protection locked="true" hidden="false"/>
    </xf>
    <xf numFmtId="164" fontId="24" fillId="0" borderId="14" xfId="0" applyFont="true" applyBorder="true" applyAlignment="true" applyProtection="false">
      <alignment horizontal="general" vertical="center" textRotation="0" wrapText="true" indent="0" shrinkToFit="false"/>
      <protection locked="true" hidden="false"/>
    </xf>
    <xf numFmtId="164" fontId="22" fillId="17" borderId="14" xfId="0" applyFont="true" applyBorder="true" applyAlignment="true" applyProtection="false">
      <alignment horizontal="center" vertical="center" textRotation="0" wrapText="true" indent="0" shrinkToFit="false"/>
      <protection locked="true" hidden="false"/>
    </xf>
    <xf numFmtId="164" fontId="22" fillId="19" borderId="14" xfId="0" applyFont="true" applyBorder="true" applyAlignment="true" applyProtection="false">
      <alignment horizontal="center" vertical="center" textRotation="0" wrapText="true" indent="0" shrinkToFit="false"/>
      <protection locked="true" hidden="false"/>
    </xf>
    <xf numFmtId="164" fontId="22" fillId="25" borderId="14" xfId="0" applyFont="true" applyBorder="true" applyAlignment="true" applyProtection="false">
      <alignment horizontal="center" vertical="center" textRotation="0" wrapText="true" indent="0" shrinkToFit="false"/>
      <protection locked="true" hidden="false"/>
    </xf>
    <xf numFmtId="164" fontId="25" fillId="0" borderId="14" xfId="0" applyFont="true" applyBorder="true" applyAlignment="true" applyProtection="false">
      <alignment horizontal="general" vertical="center" textRotation="0" wrapText="true" indent="0" shrinkToFit="false"/>
      <protection locked="true" hidden="false"/>
    </xf>
    <xf numFmtId="164" fontId="26" fillId="0" borderId="14" xfId="0" applyFont="true" applyBorder="true" applyAlignment="true" applyProtection="false">
      <alignment horizontal="left" vertical="center" textRotation="0" wrapText="true" indent="0" shrinkToFit="false"/>
      <protection locked="true" hidden="false"/>
    </xf>
    <xf numFmtId="164" fontId="27" fillId="0" borderId="14" xfId="0" applyFont="true" applyBorder="true" applyAlignment="true" applyProtection="false">
      <alignment horizontal="general" vertical="center" textRotation="0" wrapText="true" indent="0" shrinkToFit="false"/>
      <protection locked="true" hidden="false"/>
    </xf>
    <xf numFmtId="168" fontId="14" fillId="0" borderId="0" xfId="0" applyFont="true" applyBorder="fals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4" fillId="26" borderId="50" xfId="0" applyFont="true" applyBorder="true" applyAlignment="true" applyProtection="false">
      <alignment horizontal="left" vertical="center" textRotation="0" wrapText="false" indent="0" shrinkToFit="false"/>
      <protection locked="true" hidden="false"/>
    </xf>
    <xf numFmtId="164" fontId="14" fillId="26" borderId="51" xfId="0" applyFont="true" applyBorder="true" applyAlignment="true" applyProtection="false">
      <alignment horizontal="center" vertical="center" textRotation="0" wrapText="true" indent="0" shrinkToFit="false"/>
      <protection locked="true" hidden="false"/>
    </xf>
    <xf numFmtId="164" fontId="14" fillId="26" borderId="51" xfId="0" applyFont="true" applyBorder="true" applyAlignment="true" applyProtection="false">
      <alignment horizontal="general" vertical="center" textRotation="0" wrapText="true" indent="0" shrinkToFit="false"/>
      <protection locked="true" hidden="false"/>
    </xf>
    <xf numFmtId="164" fontId="14" fillId="26" borderId="52" xfId="0" applyFont="true" applyBorder="true" applyAlignment="true" applyProtection="false">
      <alignment horizontal="general" vertical="center" textRotation="0" wrapText="true" indent="0" shrinkToFit="false"/>
      <protection locked="true" hidden="false"/>
    </xf>
    <xf numFmtId="164" fontId="15" fillId="21" borderId="53" xfId="0" applyFont="true" applyBorder="true" applyAlignment="true" applyProtection="false">
      <alignment horizontal="left" vertical="center" textRotation="0" wrapText="false" indent="0" shrinkToFit="false"/>
      <protection locked="true" hidden="false"/>
    </xf>
    <xf numFmtId="164" fontId="15" fillId="21" borderId="43" xfId="0" applyFont="true" applyBorder="true" applyAlignment="true" applyProtection="false">
      <alignment horizontal="center" vertical="center" textRotation="0" wrapText="true" indent="0" shrinkToFit="false"/>
      <protection locked="true" hidden="false"/>
    </xf>
    <xf numFmtId="164" fontId="15" fillId="21" borderId="43" xfId="0" applyFont="true" applyBorder="true" applyAlignment="true" applyProtection="false">
      <alignment horizontal="general" vertical="center" textRotation="0" wrapText="true" indent="0" shrinkToFit="false"/>
      <protection locked="true" hidden="false"/>
    </xf>
    <xf numFmtId="164" fontId="15" fillId="21" borderId="54" xfId="0" applyFont="true" applyBorder="true" applyAlignment="true" applyProtection="false">
      <alignment horizontal="general" vertical="center" textRotation="0" wrapText="true" indent="0" shrinkToFit="false"/>
      <protection locked="true" hidden="false"/>
    </xf>
    <xf numFmtId="164" fontId="15" fillId="21" borderId="55" xfId="0" applyFont="true" applyBorder="true" applyAlignment="true" applyProtection="false">
      <alignment horizontal="left" vertical="center" textRotation="0" wrapText="false" indent="0" shrinkToFit="false"/>
      <protection locked="true" hidden="false"/>
    </xf>
    <xf numFmtId="164" fontId="15" fillId="21" borderId="0" xfId="0" applyFont="true" applyBorder="false" applyAlignment="true" applyProtection="false">
      <alignment horizontal="center" vertical="center" textRotation="0" wrapText="true" indent="0" shrinkToFit="false"/>
      <protection locked="true" hidden="false"/>
    </xf>
    <xf numFmtId="164" fontId="15" fillId="21" borderId="0" xfId="0" applyFont="true" applyBorder="false" applyAlignment="true" applyProtection="false">
      <alignment horizontal="general" vertical="center" textRotation="0" wrapText="true" indent="0" shrinkToFit="false"/>
      <protection locked="true" hidden="false"/>
    </xf>
    <xf numFmtId="164" fontId="15" fillId="21" borderId="56" xfId="0" applyFont="true" applyBorder="true" applyAlignment="true" applyProtection="false">
      <alignment horizontal="general" vertical="center" textRotation="0" wrapText="true" indent="0" shrinkToFit="false"/>
      <protection locked="true" hidden="false"/>
    </xf>
    <xf numFmtId="164" fontId="15" fillId="21" borderId="57" xfId="0" applyFont="true" applyBorder="true" applyAlignment="true" applyProtection="false">
      <alignment horizontal="left" vertical="center" textRotation="0" wrapText="false" indent="0" shrinkToFit="false"/>
      <protection locked="true" hidden="false"/>
    </xf>
    <xf numFmtId="164" fontId="15" fillId="21" borderId="58" xfId="0" applyFont="true" applyBorder="true" applyAlignment="true" applyProtection="false">
      <alignment horizontal="center" vertical="center" textRotation="0" wrapText="true" indent="0" shrinkToFit="false"/>
      <protection locked="true" hidden="false"/>
    </xf>
    <xf numFmtId="164" fontId="15" fillId="21" borderId="58" xfId="0" applyFont="true" applyBorder="true" applyAlignment="true" applyProtection="false">
      <alignment horizontal="general" vertical="center" textRotation="0" wrapText="true" indent="0" shrinkToFit="false"/>
      <protection locked="true" hidden="false"/>
    </xf>
    <xf numFmtId="164" fontId="15" fillId="21" borderId="59" xfId="0" applyFont="true" applyBorder="true" applyAlignment="true" applyProtection="false">
      <alignment horizontal="general" vertical="center" textRotation="0" wrapText="true" indent="0" shrinkToFit="false"/>
      <protection locked="true" hidden="false"/>
    </xf>
    <xf numFmtId="164" fontId="14" fillId="0" borderId="5" xfId="0" applyFont="true" applyBorder="true" applyAlignment="true" applyProtection="false">
      <alignment horizontal="right" vertical="center" textRotation="0" wrapText="false" indent="0" shrinkToFit="false"/>
      <protection locked="true" hidden="false"/>
    </xf>
    <xf numFmtId="164" fontId="15" fillId="0" borderId="6" xfId="0" applyFont="true" applyBorder="true" applyAlignment="true" applyProtection="false">
      <alignment horizontal="left" vertical="center" textRotation="0" wrapText="true" indent="0" shrinkToFit="false"/>
      <protection locked="true" hidden="false"/>
    </xf>
    <xf numFmtId="164" fontId="14" fillId="0" borderId="7" xfId="0" applyFont="true" applyBorder="true" applyAlignment="true" applyProtection="false">
      <alignment horizontal="right" vertical="center" textRotation="0" wrapText="false" indent="0" shrinkToFit="false"/>
      <protection locked="true" hidden="false"/>
    </xf>
    <xf numFmtId="164" fontId="15" fillId="0" borderId="8" xfId="0" applyFont="true" applyBorder="true" applyAlignment="true" applyProtection="false">
      <alignment horizontal="left" vertical="center" textRotation="0" wrapText="true" indent="0" shrinkToFit="false"/>
      <protection locked="true" hidden="false"/>
    </xf>
    <xf numFmtId="170" fontId="15" fillId="0" borderId="8" xfId="0" applyFont="true" applyBorder="true" applyAlignment="true" applyProtection="false">
      <alignment horizontal="left" vertical="center" textRotation="0" wrapText="true" indent="0" shrinkToFit="false"/>
      <protection locked="true" hidden="false"/>
    </xf>
    <xf numFmtId="164" fontId="14" fillId="0" borderId="9" xfId="0" applyFont="true" applyBorder="true" applyAlignment="true" applyProtection="false">
      <alignment horizontal="right" vertical="center" textRotation="0" wrapText="false" indent="0" shrinkToFit="false"/>
      <protection locked="true" hidden="false"/>
    </xf>
    <xf numFmtId="164" fontId="15" fillId="0" borderId="10" xfId="0" applyFont="true" applyBorder="true" applyAlignment="true" applyProtection="false">
      <alignment horizontal="left" vertical="center" textRotation="0" wrapText="true" indent="0" shrinkToFit="false"/>
      <protection locked="true" hidden="false"/>
    </xf>
    <xf numFmtId="164" fontId="16" fillId="6" borderId="60" xfId="0" applyFont="true" applyBorder="true" applyAlignment="true" applyProtection="false">
      <alignment horizontal="left" vertical="center" textRotation="0" wrapText="true" indent="0" shrinkToFit="false"/>
      <protection locked="true" hidden="false"/>
    </xf>
    <xf numFmtId="164" fontId="22" fillId="6" borderId="60" xfId="0" applyFont="true" applyBorder="true" applyAlignment="true" applyProtection="false">
      <alignment horizontal="general" vertical="center" textRotation="0" wrapText="true" indent="0" shrinkToFit="false"/>
      <protection locked="true" hidden="false"/>
    </xf>
    <xf numFmtId="164" fontId="22" fillId="6" borderId="61" xfId="0" applyFont="true" applyBorder="true" applyAlignment="true" applyProtection="false">
      <alignment horizontal="center" vertical="center" textRotation="0" wrapText="true" indent="0" shrinkToFit="false"/>
      <protection locked="true" hidden="false"/>
    </xf>
    <xf numFmtId="164" fontId="22" fillId="6" borderId="62" xfId="0" applyFont="true" applyBorder="true" applyAlignment="true" applyProtection="false">
      <alignment horizontal="center" vertical="center" textRotation="0" wrapText="true" indent="0" shrinkToFit="false"/>
      <protection locked="true" hidden="false"/>
    </xf>
    <xf numFmtId="164" fontId="17" fillId="6" borderId="63" xfId="0" applyFont="true" applyBorder="true" applyAlignment="true" applyProtection="false">
      <alignment horizontal="center" vertical="center" textRotation="0" wrapText="true" indent="0" shrinkToFit="false"/>
      <protection locked="true" hidden="false"/>
    </xf>
    <xf numFmtId="164" fontId="17" fillId="6" borderId="17" xfId="0" applyFont="true" applyBorder="true" applyAlignment="true" applyProtection="false">
      <alignment horizontal="center" vertical="center" textRotation="0" wrapText="true" indent="0" shrinkToFit="false"/>
      <protection locked="true" hidden="false"/>
    </xf>
    <xf numFmtId="164" fontId="17" fillId="6" borderId="18" xfId="0" applyFont="true" applyBorder="true" applyAlignment="true" applyProtection="false">
      <alignment horizontal="center" vertical="center" textRotation="0" wrapText="true" indent="0" shrinkToFit="false"/>
      <protection locked="true" hidden="false"/>
    </xf>
    <xf numFmtId="169" fontId="17" fillId="6" borderId="18" xfId="0" applyFont="true" applyBorder="true" applyAlignment="true" applyProtection="false">
      <alignment horizontal="center" vertical="center" textRotation="0" wrapText="true" indent="0" shrinkToFit="false"/>
      <protection locked="true" hidden="false"/>
    </xf>
    <xf numFmtId="164" fontId="17" fillId="6" borderId="42" xfId="0" applyFont="true" applyBorder="true" applyAlignment="true" applyProtection="false">
      <alignment horizontal="center" vertical="center" textRotation="0" wrapText="true" indent="0" shrinkToFit="false"/>
      <protection locked="true" hidden="false"/>
    </xf>
    <xf numFmtId="164" fontId="14" fillId="0" borderId="43" xfId="0" applyFont="true" applyBorder="true" applyAlignment="true" applyProtection="false">
      <alignment horizontal="general" vertical="center" textRotation="0" wrapText="true" indent="0" shrinkToFit="false"/>
      <protection locked="true" hidden="false"/>
    </xf>
    <xf numFmtId="164" fontId="14" fillId="0" borderId="35" xfId="0" applyFont="true" applyBorder="true" applyAlignment="true" applyProtection="false">
      <alignment horizontal="center" vertical="center" textRotation="0" wrapText="true" indent="0" shrinkToFit="false"/>
      <protection locked="true" hidden="false"/>
    </xf>
    <xf numFmtId="164" fontId="14" fillId="0" borderId="27" xfId="0" applyFont="true" applyBorder="true" applyAlignment="true" applyProtection="false">
      <alignment horizontal="center" vertical="center" textRotation="0" wrapText="true" indent="0" shrinkToFit="false"/>
      <protection locked="true" hidden="false"/>
    </xf>
    <xf numFmtId="169" fontId="15" fillId="0" borderId="35" xfId="0" applyFont="true" applyBorder="true" applyAlignment="true" applyProtection="false">
      <alignment horizontal="center" vertical="center" textRotation="0" wrapText="false" indent="0" shrinkToFit="false"/>
      <protection locked="true" hidden="false"/>
    </xf>
    <xf numFmtId="168" fontId="18" fillId="6" borderId="64" xfId="0" applyFont="true" applyBorder="true" applyAlignment="true" applyProtection="false">
      <alignment horizontal="center" vertical="center" textRotation="0" wrapText="false" indent="0" shrinkToFit="false"/>
      <protection locked="true" hidden="false"/>
    </xf>
    <xf numFmtId="164" fontId="14" fillId="0" borderId="65" xfId="0" applyFont="true" applyBorder="true" applyAlignment="true" applyProtection="false">
      <alignment horizontal="center" vertical="center" textRotation="0" wrapText="true" indent="0" shrinkToFit="false"/>
      <protection locked="true" hidden="false"/>
    </xf>
    <xf numFmtId="164" fontId="15" fillId="0" borderId="66" xfId="0" applyFont="true" applyBorder="true" applyAlignment="true" applyProtection="false">
      <alignment horizontal="center" vertical="center" textRotation="0" wrapText="false" indent="0" shrinkToFit="false"/>
      <protection locked="true" hidden="false"/>
    </xf>
    <xf numFmtId="164" fontId="15" fillId="0" borderId="19" xfId="0" applyFont="true" applyBorder="true" applyAlignment="true" applyProtection="false">
      <alignment horizontal="center" vertical="center" textRotation="0" wrapText="false" indent="0" shrinkToFit="false"/>
      <protection locked="true" hidden="false"/>
    </xf>
    <xf numFmtId="169" fontId="15" fillId="0" borderId="35" xfId="0" applyFont="true" applyBorder="true" applyAlignment="true" applyProtection="false">
      <alignment horizontal="center" vertical="center" textRotation="0" wrapText="true" indent="0" shrinkToFit="false"/>
      <protection locked="true" hidden="false"/>
    </xf>
    <xf numFmtId="164" fontId="15" fillId="0" borderId="67" xfId="0" applyFont="true" applyBorder="true" applyAlignment="true" applyProtection="false">
      <alignment horizontal="center" vertical="center" textRotation="0" wrapText="false" indent="0" shrinkToFit="false"/>
      <protection locked="true" hidden="false"/>
    </xf>
    <xf numFmtId="169" fontId="15" fillId="0" borderId="33" xfId="0" applyFont="true" applyBorder="true" applyAlignment="true" applyProtection="false">
      <alignment horizontal="center" vertical="center" textRotation="0" wrapText="true" indent="0" shrinkToFit="false"/>
      <protection locked="true" hidden="false"/>
    </xf>
    <xf numFmtId="164" fontId="15" fillId="0" borderId="68" xfId="0" applyFont="true" applyBorder="true" applyAlignment="true" applyProtection="false">
      <alignment horizontal="center" vertical="center" textRotation="0" wrapText="false" indent="0" shrinkToFit="false"/>
      <protection locked="true" hidden="false"/>
    </xf>
    <xf numFmtId="164" fontId="14" fillId="0" borderId="69" xfId="0" applyFont="true" applyBorder="true" applyAlignment="true" applyProtection="false">
      <alignment horizontal="general" vertical="center" textRotation="0" wrapText="true" indent="0" shrinkToFit="false"/>
      <protection locked="true" hidden="false"/>
    </xf>
    <xf numFmtId="164" fontId="14" fillId="0" borderId="70" xfId="0" applyFont="true" applyBorder="true" applyAlignment="true" applyProtection="false">
      <alignment horizontal="center" vertical="center" textRotation="0" wrapText="true" indent="0" shrinkToFit="false"/>
      <protection locked="true" hidden="false"/>
    </xf>
    <xf numFmtId="164" fontId="15" fillId="0" borderId="16" xfId="0" applyFont="true" applyBorder="true" applyAlignment="true" applyProtection="false">
      <alignment horizontal="center" vertical="center" textRotation="0" wrapText="false" indent="0" shrinkToFit="false"/>
      <protection locked="true" hidden="false"/>
    </xf>
    <xf numFmtId="164" fontId="15" fillId="0" borderId="69" xfId="0" applyFont="true" applyBorder="true" applyAlignment="true" applyProtection="false">
      <alignment horizontal="center" vertical="center" textRotation="0" wrapText="false" indent="0" shrinkToFit="false"/>
      <protection locked="true" hidden="false"/>
    </xf>
    <xf numFmtId="164" fontId="15" fillId="10" borderId="26" xfId="0" applyFont="true" applyBorder="true" applyAlignment="true" applyProtection="false">
      <alignment horizontal="center" vertical="center" textRotation="0" wrapText="true" indent="0" shrinkToFit="false"/>
      <protection locked="true" hidden="false"/>
    </xf>
    <xf numFmtId="164" fontId="15" fillId="10" borderId="11" xfId="0" applyFont="true" applyBorder="true" applyAlignment="true" applyProtection="false">
      <alignment horizontal="center" vertical="center" textRotation="0" wrapText="true" indent="0" shrinkToFit="false"/>
      <protection locked="true" hidden="false"/>
    </xf>
    <xf numFmtId="164" fontId="14" fillId="0" borderId="66" xfId="0" applyFont="true" applyBorder="true" applyAlignment="true" applyProtection="false">
      <alignment horizontal="center" vertical="center" textRotation="0" wrapText="true" indent="0" shrinkToFit="false"/>
      <protection locked="true" hidden="false"/>
    </xf>
    <xf numFmtId="164" fontId="15" fillId="0" borderId="32" xfId="0" applyFont="true" applyBorder="true" applyAlignment="true" applyProtection="false">
      <alignment horizontal="center" vertical="center" textRotation="0" wrapText="false" indent="0" shrinkToFit="false"/>
      <protection locked="true" hidden="false"/>
    </xf>
    <xf numFmtId="169" fontId="15" fillId="0" borderId="66" xfId="0" applyFont="true" applyBorder="true" applyAlignment="true" applyProtection="false">
      <alignment horizontal="center" vertical="center" textRotation="0" wrapText="false" indent="0" shrinkToFit="false"/>
      <protection locked="true" hidden="false"/>
    </xf>
    <xf numFmtId="164" fontId="15" fillId="0" borderId="48" xfId="0" applyFont="true" applyBorder="true" applyAlignment="true" applyProtection="false">
      <alignment horizontal="center" vertical="center" textRotation="0" wrapText="false" indent="0" shrinkToFit="false"/>
      <protection locked="true" hidden="false"/>
    </xf>
    <xf numFmtId="169" fontId="15" fillId="0" borderId="71" xfId="0" applyFont="true" applyBorder="true" applyAlignment="true" applyProtection="false">
      <alignment horizontal="center" vertical="center" textRotation="0" wrapText="false" indent="0" shrinkToFit="false"/>
      <protection locked="true" hidden="false"/>
    </xf>
    <xf numFmtId="164" fontId="14" fillId="0" borderId="67" xfId="0" applyFont="true" applyBorder="true" applyAlignment="true" applyProtection="false">
      <alignment horizontal="center" vertical="center" textRotation="0" wrapText="true" indent="0" shrinkToFit="false"/>
      <protection locked="true" hidden="false"/>
    </xf>
    <xf numFmtId="169" fontId="15" fillId="0" borderId="72" xfId="0" applyFont="true" applyBorder="true" applyAlignment="true" applyProtection="false">
      <alignment horizontal="center" vertical="center" textRotation="0" wrapText="true" indent="0" shrinkToFit="false"/>
      <protection locked="true" hidden="false"/>
    </xf>
    <xf numFmtId="169" fontId="15" fillId="0" borderId="73" xfId="0" applyFont="true" applyBorder="true" applyAlignment="true" applyProtection="false">
      <alignment horizontal="center" vertical="center" textRotation="0" wrapText="true" indent="0" shrinkToFit="false"/>
      <protection locked="true" hidden="false"/>
    </xf>
    <xf numFmtId="164" fontId="14" fillId="0" borderId="16" xfId="0" applyFont="true" applyBorder="true" applyAlignment="true" applyProtection="false">
      <alignment horizontal="center" vertical="center" textRotation="0" wrapText="true" indent="0" shrinkToFit="false"/>
      <protection locked="true" hidden="false"/>
    </xf>
    <xf numFmtId="169" fontId="15" fillId="0" borderId="45" xfId="0" applyFont="true" applyBorder="true" applyAlignment="true" applyProtection="false">
      <alignment horizontal="center" vertical="center" textRotation="0" wrapText="true" indent="0" shrinkToFit="false"/>
      <protection locked="true" hidden="false"/>
    </xf>
    <xf numFmtId="169" fontId="15" fillId="0" borderId="74" xfId="0" applyFont="true" applyBorder="true" applyAlignment="true" applyProtection="false">
      <alignment horizontal="center" vertical="center" textRotation="0" wrapText="true" indent="0" shrinkToFit="false"/>
      <protection locked="true" hidden="false"/>
    </xf>
    <xf numFmtId="164" fontId="17" fillId="6" borderId="26" xfId="0" applyFont="true" applyBorder="true" applyAlignment="true" applyProtection="false">
      <alignment horizontal="center" vertical="center" textRotation="0" wrapText="true" indent="0" shrinkToFit="false"/>
      <protection locked="true" hidden="false"/>
    </xf>
    <xf numFmtId="164" fontId="17" fillId="6" borderId="28" xfId="0" applyFont="true" applyBorder="true" applyAlignment="true" applyProtection="false">
      <alignment horizontal="center" vertical="center" textRotation="0" wrapText="true" indent="0" shrinkToFit="false"/>
      <protection locked="true" hidden="false"/>
    </xf>
    <xf numFmtId="164" fontId="17" fillId="6" borderId="30" xfId="0" applyFont="true" applyBorder="true" applyAlignment="true" applyProtection="false">
      <alignment horizontal="center" vertical="center" textRotation="0" wrapText="true" indent="0" shrinkToFit="false"/>
      <protection locked="true" hidden="false"/>
    </xf>
    <xf numFmtId="164" fontId="17" fillId="6" borderId="23" xfId="0" applyFont="true" applyBorder="true" applyAlignment="true" applyProtection="false">
      <alignment horizontal="center" vertical="center" textRotation="0" wrapText="true" indent="0" shrinkToFit="false"/>
      <protection locked="true" hidden="false"/>
    </xf>
    <xf numFmtId="169" fontId="17" fillId="6" borderId="23" xfId="0" applyFont="true" applyBorder="true" applyAlignment="true" applyProtection="false">
      <alignment horizontal="center" vertical="center" textRotation="0" wrapText="true" indent="0" shrinkToFit="false"/>
      <protection locked="true" hidden="false"/>
    </xf>
    <xf numFmtId="168" fontId="18" fillId="6" borderId="75" xfId="0" applyFont="true" applyBorder="true" applyAlignment="true" applyProtection="false">
      <alignment horizontal="center" vertical="center" textRotation="0" wrapText="false" indent="0" shrinkToFit="false"/>
      <protection locked="true" hidden="false"/>
    </xf>
    <xf numFmtId="169" fontId="15" fillId="0" borderId="33" xfId="0" applyFont="true" applyBorder="true" applyAlignment="true" applyProtection="false">
      <alignment horizontal="center" vertical="center" textRotation="0" wrapText="false" indent="0" shrinkToFit="false"/>
      <protection locked="true" hidden="false"/>
    </xf>
    <xf numFmtId="164" fontId="15" fillId="10" borderId="32" xfId="0" applyFont="true" applyBorder="true" applyAlignment="true" applyProtection="false">
      <alignment horizontal="center" vertical="center" textRotation="0" wrapText="true" indent="0" shrinkToFit="false"/>
      <protection locked="true" hidden="false"/>
    </xf>
    <xf numFmtId="164" fontId="15" fillId="10" borderId="27" xfId="0" applyFont="true" applyBorder="true" applyAlignment="true" applyProtection="false">
      <alignment horizontal="center" vertical="center" textRotation="0" wrapText="true" indent="0" shrinkToFit="false"/>
      <protection locked="true" hidden="false"/>
    </xf>
    <xf numFmtId="164" fontId="15" fillId="10" borderId="76" xfId="0" applyFont="true" applyBorder="true" applyAlignment="true" applyProtection="false">
      <alignment horizontal="general" vertical="center" textRotation="0" wrapText="true" indent="0" shrinkToFit="false"/>
      <protection locked="true" hidden="false"/>
    </xf>
    <xf numFmtId="164" fontId="15" fillId="10" borderId="70" xfId="0" applyFont="true" applyBorder="true" applyAlignment="true" applyProtection="false">
      <alignment horizontal="general" vertical="center" textRotation="0" wrapText="true" indent="0" shrinkToFit="false"/>
      <protection locked="true" hidden="false"/>
    </xf>
    <xf numFmtId="169" fontId="15" fillId="0" borderId="66" xfId="0" applyFont="true" applyBorder="true" applyAlignment="true" applyProtection="false">
      <alignment horizontal="center" vertical="center" textRotation="0" wrapText="true" indent="0" shrinkToFit="false"/>
      <protection locked="true" hidden="false"/>
    </xf>
    <xf numFmtId="164" fontId="15" fillId="0" borderId="18" xfId="0" applyFont="true" applyBorder="true" applyAlignment="true" applyProtection="false">
      <alignment horizontal="center" vertical="center" textRotation="0" wrapText="false" indent="0" shrinkToFit="false"/>
      <protection locked="true" hidden="false"/>
    </xf>
    <xf numFmtId="169" fontId="15" fillId="0" borderId="46" xfId="0" applyFont="true" applyBorder="true" applyAlignment="true" applyProtection="false">
      <alignment horizontal="center" vertical="center" textRotation="0" wrapText="true" indent="0" shrinkToFit="false"/>
      <protection locked="true" hidden="false"/>
    </xf>
    <xf numFmtId="169" fontId="15" fillId="0" borderId="71" xfId="0" applyFont="true" applyBorder="true" applyAlignment="true" applyProtection="false">
      <alignment horizontal="center" vertical="center" textRotation="0" wrapText="true" indent="0" shrinkToFit="false"/>
      <protection locked="true" hidden="false"/>
    </xf>
    <xf numFmtId="164" fontId="17" fillId="6" borderId="31" xfId="0" applyFont="true" applyBorder="true" applyAlignment="true" applyProtection="false">
      <alignment horizontal="center" vertical="center" textRotation="0" wrapText="true" indent="0" shrinkToFit="false"/>
      <protection locked="true" hidden="false"/>
    </xf>
    <xf numFmtId="169" fontId="17" fillId="6" borderId="30" xfId="0" applyFont="true" applyBorder="true" applyAlignment="true" applyProtection="false">
      <alignment horizontal="center" vertical="center" textRotation="0" wrapText="true" indent="0" shrinkToFit="false"/>
      <protection locked="true" hidden="false"/>
    </xf>
    <xf numFmtId="164" fontId="14" fillId="0" borderId="39" xfId="0" applyFont="true" applyBorder="true" applyAlignment="true" applyProtection="false">
      <alignment horizontal="center" vertical="center" textRotation="0" wrapText="true" indent="0" shrinkToFit="false"/>
      <protection locked="true" hidden="false"/>
    </xf>
    <xf numFmtId="168" fontId="18" fillId="6" borderId="16" xfId="0" applyFont="true" applyBorder="true" applyAlignment="true" applyProtection="false">
      <alignment horizontal="center" vertical="center" textRotation="0" wrapText="false" indent="0" shrinkToFit="false"/>
      <protection locked="true" hidden="false"/>
    </xf>
    <xf numFmtId="164" fontId="15" fillId="0" borderId="77" xfId="0" applyFont="true" applyBorder="true" applyAlignment="true" applyProtection="false">
      <alignment horizontal="center" vertical="center" textRotation="0" wrapText="false" indent="0" shrinkToFit="false"/>
      <protection locked="true" hidden="false"/>
    </xf>
    <xf numFmtId="164" fontId="14" fillId="0" borderId="20" xfId="0" applyFont="true" applyBorder="true" applyAlignment="true" applyProtection="false">
      <alignment horizontal="center" vertical="center" textRotation="0" wrapText="true" indent="0" shrinkToFit="false"/>
      <protection locked="true" hidden="false"/>
    </xf>
    <xf numFmtId="169" fontId="15" fillId="0" borderId="25" xfId="0" applyFont="true" applyBorder="true" applyAlignment="true" applyProtection="false">
      <alignment horizontal="center" vertical="center" textRotation="0" wrapText="true" indent="0" shrinkToFit="false"/>
      <protection locked="true" hidden="false"/>
    </xf>
    <xf numFmtId="164" fontId="15" fillId="0" borderId="15" xfId="0" applyFont="true" applyBorder="true" applyAlignment="true" applyProtection="false">
      <alignment horizontal="center" vertical="center" textRotation="0" wrapText="false" indent="0" shrinkToFit="false"/>
      <protection locked="true" hidden="false"/>
    </xf>
    <xf numFmtId="164" fontId="15" fillId="0" borderId="40" xfId="0" applyFont="true" applyBorder="true" applyAlignment="true" applyProtection="false">
      <alignment horizontal="center" vertical="center" textRotation="0" wrapText="false" indent="0" shrinkToFit="false"/>
      <protection locked="true" hidden="false"/>
    </xf>
    <xf numFmtId="169" fontId="15" fillId="0" borderId="41" xfId="0" applyFont="true" applyBorder="true" applyAlignment="true" applyProtection="false">
      <alignment horizontal="center" vertical="center" textRotation="0" wrapText="true" indent="0" shrinkToFit="false"/>
      <protection locked="true" hidden="false"/>
    </xf>
    <xf numFmtId="164" fontId="15" fillId="0" borderId="78" xfId="0" applyFont="true" applyBorder="true" applyAlignment="true" applyProtection="false">
      <alignment horizontal="center" vertical="center" textRotation="0" wrapText="false" indent="0" shrinkToFit="false"/>
      <protection locked="true" hidden="false"/>
    </xf>
    <xf numFmtId="169" fontId="15" fillId="0" borderId="47" xfId="0" applyFont="true" applyBorder="true" applyAlignment="true" applyProtection="false">
      <alignment horizontal="center" vertical="center" textRotation="0" wrapText="true" indent="0" shrinkToFit="false"/>
      <protection locked="true" hidden="false"/>
    </xf>
    <xf numFmtId="164" fontId="15" fillId="0" borderId="79" xfId="0" applyFont="true" applyBorder="true" applyAlignment="true" applyProtection="false">
      <alignment horizontal="center" vertical="center" textRotation="0" wrapText="false" indent="0" shrinkToFit="false"/>
      <protection locked="true" hidden="false"/>
    </xf>
    <xf numFmtId="164" fontId="15" fillId="0" borderId="24" xfId="0" applyFont="true" applyBorder="true" applyAlignment="true" applyProtection="false">
      <alignment horizontal="center" vertical="center" textRotation="0" wrapText="false" indent="0" shrinkToFit="false"/>
      <protection locked="true" hidden="false"/>
    </xf>
    <xf numFmtId="169" fontId="15" fillId="0" borderId="38" xfId="0" applyFont="true" applyBorder="true" applyAlignment="true" applyProtection="false">
      <alignment horizontal="center" vertical="center" textRotation="0" wrapText="true" indent="0" shrinkToFit="false"/>
      <protection locked="true" hidden="false"/>
    </xf>
    <xf numFmtId="164" fontId="15" fillId="0" borderId="80" xfId="0" applyFont="true" applyBorder="true" applyAlignment="true" applyProtection="false">
      <alignment horizontal="center" vertical="center" textRotation="0" wrapText="false" indent="0" shrinkToFit="false"/>
      <protection locked="true" hidden="false"/>
    </xf>
    <xf numFmtId="164" fontId="16" fillId="12" borderId="63" xfId="0" applyFont="true" applyBorder="true" applyAlignment="true" applyProtection="false">
      <alignment horizontal="left" vertical="center" textRotation="0" wrapText="true" indent="0" shrinkToFit="false"/>
      <protection locked="true" hidden="false"/>
    </xf>
    <xf numFmtId="164" fontId="22" fillId="12" borderId="11" xfId="0" applyFont="true" applyBorder="true" applyAlignment="true" applyProtection="false">
      <alignment horizontal="general" vertical="center" textRotation="0" wrapText="true" indent="0" shrinkToFit="false"/>
      <protection locked="true" hidden="false"/>
    </xf>
    <xf numFmtId="164" fontId="22" fillId="12" borderId="63" xfId="0" applyFont="true" applyBorder="true" applyAlignment="true" applyProtection="false">
      <alignment horizontal="center" vertical="center" textRotation="0" wrapText="true" indent="0" shrinkToFit="false"/>
      <protection locked="true" hidden="false"/>
    </xf>
    <xf numFmtId="164" fontId="22" fillId="12" borderId="75" xfId="0" applyFont="true" applyBorder="true" applyAlignment="true" applyProtection="false">
      <alignment horizontal="center" vertical="center" textRotation="0" wrapText="true" indent="0" shrinkToFit="false"/>
      <protection locked="true" hidden="false"/>
    </xf>
    <xf numFmtId="164" fontId="22" fillId="12" borderId="62" xfId="0" applyFont="true" applyBorder="true" applyAlignment="true" applyProtection="false">
      <alignment horizontal="center" vertical="center" textRotation="0" wrapText="true" indent="0" shrinkToFit="false"/>
      <protection locked="true" hidden="false"/>
    </xf>
    <xf numFmtId="164" fontId="17" fillId="12" borderId="12" xfId="0" applyFont="true" applyBorder="true" applyAlignment="true" applyProtection="false">
      <alignment horizontal="center" vertical="center" textRotation="0" wrapText="true" indent="0" shrinkToFit="false"/>
      <protection locked="true" hidden="false"/>
    </xf>
    <xf numFmtId="164" fontId="17" fillId="12" borderId="63" xfId="0" applyFont="true" applyBorder="true" applyAlignment="true" applyProtection="false">
      <alignment horizontal="center" vertical="center" textRotation="0" wrapText="true" indent="0" shrinkToFit="false"/>
      <protection locked="true" hidden="false"/>
    </xf>
    <xf numFmtId="164" fontId="17" fillId="12" borderId="17" xfId="0" applyFont="true" applyBorder="true" applyAlignment="true" applyProtection="false">
      <alignment horizontal="center" vertical="center" textRotation="0" wrapText="true" indent="0" shrinkToFit="false"/>
      <protection locked="true" hidden="false"/>
    </xf>
    <xf numFmtId="164" fontId="17" fillId="12" borderId="14" xfId="0" applyFont="true" applyBorder="true" applyAlignment="true" applyProtection="false">
      <alignment horizontal="center" vertical="center" textRotation="0" wrapText="true" indent="0" shrinkToFit="false"/>
      <protection locked="true" hidden="false"/>
    </xf>
    <xf numFmtId="169" fontId="17" fillId="12" borderId="14" xfId="0" applyFont="true" applyBorder="true" applyAlignment="true" applyProtection="false">
      <alignment horizontal="center" vertical="center" textRotation="0" wrapText="true" indent="0" shrinkToFit="false"/>
      <protection locked="true" hidden="false"/>
    </xf>
    <xf numFmtId="164" fontId="17" fillId="12" borderId="18" xfId="0" applyFont="true" applyBorder="true" applyAlignment="true" applyProtection="false">
      <alignment horizontal="center" vertical="center" textRotation="0" wrapText="true" indent="0" shrinkToFit="false"/>
      <protection locked="true" hidden="false"/>
    </xf>
    <xf numFmtId="169" fontId="17" fillId="12" borderId="18" xfId="0" applyFont="true" applyBorder="true" applyAlignment="true" applyProtection="false">
      <alignment horizontal="center" vertical="center" textRotation="0" wrapText="true" indent="0" shrinkToFit="false"/>
      <protection locked="true" hidden="false"/>
    </xf>
    <xf numFmtId="168" fontId="18" fillId="12" borderId="75" xfId="0" applyFont="true" applyBorder="true" applyAlignment="true" applyProtection="false">
      <alignment horizontal="center" vertical="center" textRotation="0" wrapText="false" indent="0" shrinkToFit="false"/>
      <protection locked="true" hidden="false"/>
    </xf>
    <xf numFmtId="169" fontId="15" fillId="0" borderId="41" xfId="0" applyFont="true" applyBorder="true" applyAlignment="true" applyProtection="false">
      <alignment horizontal="center" vertical="center" textRotation="0" wrapText="false" indent="0" shrinkToFit="false"/>
      <protection locked="true" hidden="false"/>
    </xf>
    <xf numFmtId="169" fontId="15" fillId="0" borderId="81" xfId="0" applyFont="true" applyBorder="true" applyAlignment="true" applyProtection="false">
      <alignment horizontal="center" vertical="center" textRotation="0" wrapText="false" indent="0" shrinkToFit="false"/>
      <protection locked="true" hidden="false"/>
    </xf>
    <xf numFmtId="169" fontId="15" fillId="0" borderId="82" xfId="0" applyFont="true" applyBorder="true" applyAlignment="true" applyProtection="false">
      <alignment horizontal="center" vertical="center" textRotation="0" wrapText="false" indent="0" shrinkToFit="false"/>
      <protection locked="true" hidden="false"/>
    </xf>
    <xf numFmtId="164" fontId="15" fillId="0" borderId="36" xfId="0" applyFont="true" applyBorder="true" applyAlignment="true" applyProtection="false">
      <alignment horizontal="center" vertical="center" textRotation="0" wrapText="false" indent="0" shrinkToFit="false"/>
      <protection locked="true" hidden="false"/>
    </xf>
    <xf numFmtId="169" fontId="15" fillId="0" borderId="22" xfId="0" applyFont="true" applyBorder="true" applyAlignment="true" applyProtection="false">
      <alignment horizontal="center" vertical="center" textRotation="0" wrapText="false" indent="0" shrinkToFit="false"/>
      <protection locked="true" hidden="false"/>
    </xf>
    <xf numFmtId="169" fontId="15" fillId="0" borderId="42" xfId="0" applyFont="true" applyBorder="true" applyAlignment="true" applyProtection="false">
      <alignment horizontal="center" vertical="center" textRotation="0" wrapText="false" indent="0" shrinkToFit="false"/>
      <protection locked="true" hidden="false"/>
    </xf>
    <xf numFmtId="169" fontId="15" fillId="0" borderId="83" xfId="0" applyFont="true" applyBorder="true" applyAlignment="true" applyProtection="false">
      <alignment horizontal="center" vertical="center" textRotation="0" wrapText="false" indent="0" shrinkToFit="false"/>
      <protection locked="true" hidden="false"/>
    </xf>
    <xf numFmtId="164" fontId="17" fillId="12" borderId="26" xfId="0" applyFont="true" applyBorder="true" applyAlignment="true" applyProtection="false">
      <alignment horizontal="center" vertical="center" textRotation="0" wrapText="true" indent="0" shrinkToFit="false"/>
      <protection locked="true" hidden="false"/>
    </xf>
    <xf numFmtId="164" fontId="17" fillId="12" borderId="31" xfId="0" applyFont="true" applyBorder="true" applyAlignment="true" applyProtection="false">
      <alignment horizontal="center" vertical="center" textRotation="0" wrapText="true" indent="0" shrinkToFit="false"/>
      <protection locked="true" hidden="false"/>
    </xf>
    <xf numFmtId="164" fontId="17" fillId="12" borderId="23" xfId="0" applyFont="true" applyBorder="true" applyAlignment="true" applyProtection="false">
      <alignment horizontal="center" vertical="center" textRotation="0" wrapText="true" indent="0" shrinkToFit="false"/>
      <protection locked="true" hidden="false"/>
    </xf>
    <xf numFmtId="169" fontId="17" fillId="12" borderId="23" xfId="0" applyFont="true" applyBorder="true" applyAlignment="true" applyProtection="false">
      <alignment horizontal="center" vertical="center" textRotation="0" wrapText="true" indent="0" shrinkToFit="false"/>
      <protection locked="true" hidden="false"/>
    </xf>
    <xf numFmtId="164" fontId="17" fillId="12" borderId="84" xfId="0" applyFont="true" applyBorder="true" applyAlignment="true" applyProtection="false">
      <alignment horizontal="center" vertical="center" textRotation="0" wrapText="true" indent="0" shrinkToFit="false"/>
      <protection locked="true" hidden="false"/>
    </xf>
    <xf numFmtId="164" fontId="15" fillId="10" borderId="12" xfId="0" applyFont="true" applyBorder="true" applyAlignment="true" applyProtection="false">
      <alignment horizontal="center" vertical="center" textRotation="0" wrapText="true" indent="0" shrinkToFit="false"/>
      <protection locked="true" hidden="false"/>
    </xf>
    <xf numFmtId="168" fontId="18" fillId="12" borderId="16" xfId="0" applyFont="true" applyBorder="true" applyAlignment="true" applyProtection="false">
      <alignment horizontal="center" vertical="center" textRotation="0" wrapText="false" indent="0" shrinkToFit="false"/>
      <protection locked="true" hidden="false"/>
    </xf>
    <xf numFmtId="164" fontId="15" fillId="10" borderId="74" xfId="0" applyFont="true" applyBorder="true" applyAlignment="true" applyProtection="false">
      <alignment horizontal="general" vertical="center" textRotation="0" wrapText="true" indent="0" shrinkToFit="false"/>
      <protection locked="true" hidden="false"/>
    </xf>
    <xf numFmtId="164" fontId="17" fillId="12" borderId="81" xfId="0" applyFont="true" applyBorder="true" applyAlignment="true" applyProtection="false">
      <alignment horizontal="center" vertical="center" textRotation="0" wrapText="true" indent="0" shrinkToFit="false"/>
      <protection locked="true" hidden="false"/>
    </xf>
    <xf numFmtId="164" fontId="15" fillId="0" borderId="29" xfId="0" applyFont="true" applyBorder="true" applyAlignment="true" applyProtection="false">
      <alignment horizontal="center" vertical="center" textRotation="0" wrapText="false" indent="0" shrinkToFit="false"/>
      <protection locked="true" hidden="false"/>
    </xf>
    <xf numFmtId="164" fontId="15" fillId="0" borderId="17" xfId="0" applyFont="true" applyBorder="true" applyAlignment="true" applyProtection="false">
      <alignment horizontal="center" vertical="center" textRotation="0" wrapText="false" indent="0" shrinkToFit="false"/>
      <protection locked="true" hidden="false"/>
    </xf>
    <xf numFmtId="164" fontId="15" fillId="0" borderId="39" xfId="0" applyFont="true" applyBorder="true" applyAlignment="true" applyProtection="false">
      <alignment horizontal="center" vertical="center" textRotation="0" wrapText="false" indent="0" shrinkToFit="false"/>
      <protection locked="true" hidden="false"/>
    </xf>
    <xf numFmtId="164" fontId="21" fillId="15" borderId="63" xfId="0" applyFont="true" applyBorder="true" applyAlignment="true" applyProtection="false">
      <alignment horizontal="left" vertical="center" textRotation="0" wrapText="true" indent="0" shrinkToFit="false"/>
      <protection locked="true" hidden="false"/>
    </xf>
    <xf numFmtId="164" fontId="17" fillId="15" borderId="11" xfId="0" applyFont="true" applyBorder="true" applyAlignment="true" applyProtection="false">
      <alignment horizontal="general" vertical="center" textRotation="0" wrapText="true" indent="0" shrinkToFit="false"/>
      <protection locked="true" hidden="false"/>
    </xf>
    <xf numFmtId="164" fontId="17" fillId="15" borderId="63" xfId="0" applyFont="true" applyBorder="true" applyAlignment="true" applyProtection="false">
      <alignment horizontal="center" vertical="center" textRotation="0" wrapText="true" indent="0" shrinkToFit="false"/>
      <protection locked="true" hidden="false"/>
    </xf>
    <xf numFmtId="164" fontId="17" fillId="15" borderId="75" xfId="0" applyFont="true" applyBorder="true" applyAlignment="true" applyProtection="false">
      <alignment horizontal="center" vertical="center" textRotation="0" wrapText="true" indent="0" shrinkToFit="false"/>
      <protection locked="true" hidden="false"/>
    </xf>
    <xf numFmtId="164" fontId="17" fillId="15" borderId="85" xfId="0" applyFont="true" applyBorder="true" applyAlignment="true" applyProtection="false">
      <alignment horizontal="center" vertical="center" textRotation="0" wrapText="true" indent="0" shrinkToFit="false"/>
      <protection locked="true" hidden="false"/>
    </xf>
    <xf numFmtId="164" fontId="17" fillId="15" borderId="12" xfId="0" applyFont="true" applyBorder="true" applyAlignment="true" applyProtection="false">
      <alignment horizontal="center" vertical="center" textRotation="0" wrapText="true" indent="0" shrinkToFit="false"/>
      <protection locked="true" hidden="false"/>
    </xf>
    <xf numFmtId="164" fontId="17" fillId="15" borderId="14" xfId="0" applyFont="true" applyBorder="true" applyAlignment="true" applyProtection="false">
      <alignment horizontal="center" vertical="center" textRotation="0" wrapText="true" indent="0" shrinkToFit="false"/>
      <protection locked="true" hidden="false"/>
    </xf>
    <xf numFmtId="164" fontId="17" fillId="15" borderId="17" xfId="0" applyFont="true" applyBorder="true" applyAlignment="true" applyProtection="false">
      <alignment horizontal="center" vertical="center" textRotation="0" wrapText="true" indent="0" shrinkToFit="false"/>
      <protection locked="true" hidden="false"/>
    </xf>
    <xf numFmtId="164" fontId="17" fillId="15" borderId="18" xfId="0" applyFont="true" applyBorder="true" applyAlignment="true" applyProtection="false">
      <alignment horizontal="center" vertical="center" textRotation="0" wrapText="true" indent="0" shrinkToFit="false"/>
      <protection locked="true" hidden="false"/>
    </xf>
    <xf numFmtId="169" fontId="17" fillId="15" borderId="18" xfId="0" applyFont="true" applyBorder="true" applyAlignment="true" applyProtection="false">
      <alignment horizontal="center" vertical="center" textRotation="0" wrapText="true" indent="0" shrinkToFit="false"/>
      <protection locked="true" hidden="false"/>
    </xf>
    <xf numFmtId="164" fontId="17" fillId="15" borderId="42" xfId="0" applyFont="true" applyBorder="true" applyAlignment="true" applyProtection="false">
      <alignment horizontal="center" vertical="center" textRotation="0" wrapText="true" indent="0" shrinkToFit="false"/>
      <protection locked="true" hidden="false"/>
    </xf>
    <xf numFmtId="168" fontId="18" fillId="15" borderId="75" xfId="0" applyFont="true" applyBorder="true" applyAlignment="true" applyProtection="false">
      <alignment horizontal="center" vertical="center" textRotation="0" wrapText="false" indent="0" shrinkToFit="false"/>
      <protection locked="true" hidden="false"/>
    </xf>
    <xf numFmtId="164" fontId="17" fillId="15" borderId="26" xfId="0" applyFont="true" applyBorder="true" applyAlignment="true" applyProtection="false">
      <alignment horizontal="center" vertical="center" textRotation="0" wrapText="true" indent="0" shrinkToFit="false"/>
      <protection locked="true" hidden="false"/>
    </xf>
    <xf numFmtId="164" fontId="17" fillId="15" borderId="31" xfId="0" applyFont="true" applyBorder="true" applyAlignment="true" applyProtection="false">
      <alignment horizontal="center" vertical="center" textRotation="0" wrapText="true" indent="0" shrinkToFit="false"/>
      <protection locked="true" hidden="false"/>
    </xf>
    <xf numFmtId="169" fontId="17" fillId="15" borderId="23" xfId="0" applyFont="true" applyBorder="true" applyAlignment="true" applyProtection="false">
      <alignment horizontal="center" vertical="center" textRotation="0" wrapText="true" indent="0" shrinkToFit="false"/>
      <protection locked="true" hidden="false"/>
    </xf>
    <xf numFmtId="168" fontId="18" fillId="15" borderId="16" xfId="0" applyFont="true" applyBorder="true" applyAlignment="true" applyProtection="false">
      <alignment horizontal="center" vertical="center" textRotation="0" wrapText="false" indent="0" shrinkToFit="false"/>
      <protection locked="true" hidden="false"/>
    </xf>
    <xf numFmtId="164" fontId="16" fillId="17" borderId="63" xfId="0" applyFont="true" applyBorder="true" applyAlignment="true" applyProtection="false">
      <alignment horizontal="left" vertical="center" textRotation="0" wrapText="true" indent="0" shrinkToFit="false"/>
      <protection locked="true" hidden="false"/>
    </xf>
    <xf numFmtId="164" fontId="22" fillId="17" borderId="11" xfId="0" applyFont="true" applyBorder="true" applyAlignment="true" applyProtection="false">
      <alignment horizontal="general" vertical="center" textRotation="0" wrapText="true" indent="0" shrinkToFit="false"/>
      <protection locked="true" hidden="false"/>
    </xf>
    <xf numFmtId="164" fontId="22" fillId="17" borderId="63" xfId="0" applyFont="true" applyBorder="true" applyAlignment="true" applyProtection="false">
      <alignment horizontal="center" vertical="center" textRotation="0" wrapText="true" indent="0" shrinkToFit="false"/>
      <protection locked="true" hidden="false"/>
    </xf>
    <xf numFmtId="164" fontId="22" fillId="17" borderId="75" xfId="0" applyFont="true" applyBorder="true" applyAlignment="true" applyProtection="false">
      <alignment horizontal="center" vertical="center" textRotation="0" wrapText="true" indent="0" shrinkToFit="false"/>
      <protection locked="true" hidden="false"/>
    </xf>
    <xf numFmtId="164" fontId="22" fillId="17" borderId="62" xfId="0" applyFont="true" applyBorder="true" applyAlignment="true" applyProtection="false">
      <alignment horizontal="center" vertical="center" textRotation="0" wrapText="true" indent="0" shrinkToFit="false"/>
      <protection locked="true" hidden="false"/>
    </xf>
    <xf numFmtId="164" fontId="17" fillId="17" borderId="12" xfId="0" applyFont="true" applyBorder="true" applyAlignment="true" applyProtection="false">
      <alignment horizontal="center" vertical="center" textRotation="0" wrapText="true" indent="0" shrinkToFit="false"/>
      <protection locked="true" hidden="false"/>
    </xf>
    <xf numFmtId="164" fontId="17" fillId="17" borderId="14" xfId="0" applyFont="true" applyBorder="true" applyAlignment="true" applyProtection="false">
      <alignment horizontal="center" vertical="center" textRotation="0" wrapText="true" indent="0" shrinkToFit="false"/>
      <protection locked="true" hidden="false"/>
    </xf>
    <xf numFmtId="164" fontId="17" fillId="17" borderId="12" xfId="0" applyFont="true" applyBorder="true" applyAlignment="true" applyProtection="false">
      <alignment horizontal="left" vertical="center" textRotation="0" wrapText="true" indent="0" shrinkToFit="false"/>
      <protection locked="true" hidden="false"/>
    </xf>
    <xf numFmtId="164" fontId="17" fillId="17" borderId="17" xfId="0" applyFont="true" applyBorder="true" applyAlignment="true" applyProtection="false">
      <alignment horizontal="center" vertical="center" textRotation="0" wrapText="true" indent="0" shrinkToFit="false"/>
      <protection locked="true" hidden="false"/>
    </xf>
    <xf numFmtId="164" fontId="17" fillId="17" borderId="18" xfId="0" applyFont="true" applyBorder="true" applyAlignment="true" applyProtection="false">
      <alignment horizontal="center" vertical="center" textRotation="0" wrapText="true" indent="0" shrinkToFit="false"/>
      <protection locked="true" hidden="false"/>
    </xf>
    <xf numFmtId="169" fontId="17" fillId="17" borderId="18" xfId="0" applyFont="true" applyBorder="true" applyAlignment="true" applyProtection="false">
      <alignment horizontal="center" vertical="center" textRotation="0" wrapText="true" indent="0" shrinkToFit="false"/>
      <protection locked="true" hidden="false"/>
    </xf>
    <xf numFmtId="164" fontId="17" fillId="17" borderId="42" xfId="0" applyFont="true" applyBorder="true" applyAlignment="true" applyProtection="false">
      <alignment horizontal="center" vertical="center" textRotation="0" wrapText="true" indent="0" shrinkToFit="false"/>
      <protection locked="true" hidden="false"/>
    </xf>
    <xf numFmtId="168" fontId="18" fillId="17" borderId="75" xfId="0" applyFont="true" applyBorder="true" applyAlignment="true" applyProtection="false">
      <alignment horizontal="center" vertical="center" textRotation="0" wrapText="false" indent="0" shrinkToFit="false"/>
      <protection locked="true" hidden="false"/>
    </xf>
    <xf numFmtId="164" fontId="17" fillId="17" borderId="26" xfId="0" applyFont="true" applyBorder="true" applyAlignment="true" applyProtection="false">
      <alignment horizontal="left" vertical="center" textRotation="0" wrapText="true" indent="0" shrinkToFit="false"/>
      <protection locked="true" hidden="false"/>
    </xf>
    <xf numFmtId="164" fontId="17" fillId="17" borderId="31" xfId="0" applyFont="true" applyBorder="true" applyAlignment="true" applyProtection="false">
      <alignment horizontal="center" vertical="center" textRotation="0" wrapText="true" indent="0" shrinkToFit="false"/>
      <protection locked="true" hidden="false"/>
    </xf>
    <xf numFmtId="164" fontId="17" fillId="17" borderId="23" xfId="0" applyFont="true" applyBorder="true" applyAlignment="true" applyProtection="false">
      <alignment horizontal="center" vertical="center" textRotation="0" wrapText="true" indent="0" shrinkToFit="false"/>
      <protection locked="true" hidden="false"/>
    </xf>
    <xf numFmtId="169" fontId="17" fillId="17" borderId="23" xfId="0" applyFont="true" applyBorder="true" applyAlignment="true" applyProtection="false">
      <alignment horizontal="center" vertical="center" textRotation="0" wrapText="true" indent="0" shrinkToFit="false"/>
      <protection locked="true" hidden="false"/>
    </xf>
    <xf numFmtId="168" fontId="18" fillId="17" borderId="16" xfId="0" applyFont="true" applyBorder="true" applyAlignment="true" applyProtection="false">
      <alignment horizontal="center" vertical="center" textRotation="0" wrapText="false" indent="0" shrinkToFit="false"/>
      <protection locked="true" hidden="false"/>
    </xf>
    <xf numFmtId="164" fontId="16" fillId="19" borderId="63" xfId="0" applyFont="true" applyBorder="true" applyAlignment="true" applyProtection="false">
      <alignment horizontal="left" vertical="center" textRotation="0" wrapText="true" indent="0" shrinkToFit="false"/>
      <protection locked="true" hidden="false"/>
    </xf>
    <xf numFmtId="164" fontId="22" fillId="19" borderId="11" xfId="0" applyFont="true" applyBorder="true" applyAlignment="true" applyProtection="false">
      <alignment horizontal="general" vertical="center" textRotation="0" wrapText="true" indent="0" shrinkToFit="false"/>
      <protection locked="true" hidden="false"/>
    </xf>
    <xf numFmtId="164" fontId="22" fillId="19" borderId="63" xfId="0" applyFont="true" applyBorder="true" applyAlignment="true" applyProtection="false">
      <alignment horizontal="center" vertical="center" textRotation="0" wrapText="true" indent="0" shrinkToFit="false"/>
      <protection locked="true" hidden="false"/>
    </xf>
    <xf numFmtId="164" fontId="22" fillId="19" borderId="75" xfId="0" applyFont="true" applyBorder="true" applyAlignment="true" applyProtection="false">
      <alignment horizontal="center" vertical="center" textRotation="0" wrapText="true" indent="0" shrinkToFit="false"/>
      <protection locked="true" hidden="false"/>
    </xf>
    <xf numFmtId="164" fontId="22" fillId="19" borderId="85" xfId="0" applyFont="true" applyBorder="true" applyAlignment="true" applyProtection="false">
      <alignment horizontal="center" vertical="center" textRotation="0" wrapText="true" indent="0" shrinkToFit="false"/>
      <protection locked="true" hidden="false"/>
    </xf>
    <xf numFmtId="164" fontId="17" fillId="19" borderId="12" xfId="0" applyFont="true" applyBorder="true" applyAlignment="true" applyProtection="false">
      <alignment horizontal="center" vertical="center" textRotation="0" wrapText="true" indent="0" shrinkToFit="false"/>
      <protection locked="true" hidden="false"/>
    </xf>
    <xf numFmtId="164" fontId="17" fillId="19" borderId="12" xfId="0" applyFont="true" applyBorder="true" applyAlignment="true" applyProtection="false">
      <alignment horizontal="left" vertical="center" textRotation="0" wrapText="true" indent="0" shrinkToFit="false"/>
      <protection locked="true" hidden="false"/>
    </xf>
    <xf numFmtId="164" fontId="14" fillId="19" borderId="17" xfId="0" applyFont="true" applyBorder="true" applyAlignment="true" applyProtection="false">
      <alignment horizontal="center" vertical="center" textRotation="0" wrapText="true" indent="0" shrinkToFit="false"/>
      <protection locked="true" hidden="false"/>
    </xf>
    <xf numFmtId="164" fontId="14" fillId="19" borderId="18" xfId="0" applyFont="true" applyBorder="true" applyAlignment="true" applyProtection="false">
      <alignment horizontal="center" vertical="center" textRotation="0" wrapText="true" indent="0" shrinkToFit="false"/>
      <protection locked="true" hidden="false"/>
    </xf>
    <xf numFmtId="169" fontId="14" fillId="19" borderId="18" xfId="0" applyFont="true" applyBorder="true" applyAlignment="true" applyProtection="false">
      <alignment horizontal="center" vertical="center" textRotation="0" wrapText="true" indent="0" shrinkToFit="false"/>
      <protection locked="true" hidden="false"/>
    </xf>
    <xf numFmtId="164" fontId="17" fillId="19" borderId="84" xfId="0" applyFont="true" applyBorder="true" applyAlignment="true" applyProtection="false">
      <alignment horizontal="center" vertical="center" textRotation="0" wrapText="true" indent="0" shrinkToFit="false"/>
      <protection locked="true" hidden="false"/>
    </xf>
    <xf numFmtId="168" fontId="18" fillId="19" borderId="75" xfId="0" applyFont="true" applyBorder="true" applyAlignment="true" applyProtection="false">
      <alignment horizontal="center" vertical="center" textRotation="0" wrapText="false" indent="0" shrinkToFit="false"/>
      <protection locked="true" hidden="false"/>
    </xf>
    <xf numFmtId="164" fontId="17" fillId="19" borderId="81" xfId="0" applyFont="true" applyBorder="true" applyAlignment="true" applyProtection="false">
      <alignment horizontal="center" vertical="center" textRotation="0" wrapText="true" indent="0" shrinkToFit="false"/>
      <protection locked="true" hidden="false"/>
    </xf>
    <xf numFmtId="164" fontId="17" fillId="19" borderId="26" xfId="0" applyFont="true" applyBorder="true" applyAlignment="true" applyProtection="false">
      <alignment horizontal="left" vertical="center" textRotation="0" wrapText="true" indent="0" shrinkToFit="false"/>
      <protection locked="true" hidden="false"/>
    </xf>
    <xf numFmtId="164" fontId="17" fillId="19" borderId="31" xfId="0" applyFont="true" applyBorder="true" applyAlignment="true" applyProtection="false">
      <alignment horizontal="center" vertical="center" textRotation="0" wrapText="true" indent="0" shrinkToFit="false"/>
      <protection locked="true" hidden="false"/>
    </xf>
    <xf numFmtId="164" fontId="17" fillId="19" borderId="23" xfId="0" applyFont="true" applyBorder="true" applyAlignment="true" applyProtection="false">
      <alignment horizontal="center" vertical="center" textRotation="0" wrapText="true" indent="0" shrinkToFit="false"/>
      <protection locked="true" hidden="false"/>
    </xf>
    <xf numFmtId="169" fontId="17" fillId="19" borderId="23" xfId="0" applyFont="true" applyBorder="true" applyAlignment="true" applyProtection="false">
      <alignment horizontal="center" vertical="center" textRotation="0" wrapText="true" indent="0" shrinkToFit="false"/>
      <protection locked="true" hidden="false"/>
    </xf>
    <xf numFmtId="168" fontId="18" fillId="19" borderId="67" xfId="0" applyFont="true" applyBorder="true" applyAlignment="true" applyProtection="false">
      <alignment horizontal="center" vertical="center" textRotation="0" wrapText="false" indent="0" shrinkToFit="false"/>
      <protection locked="true" hidden="false"/>
    </xf>
    <xf numFmtId="164" fontId="17" fillId="19" borderId="42" xfId="0" applyFont="true" applyBorder="true" applyAlignment="true" applyProtection="false">
      <alignment horizontal="center" vertical="center" textRotation="0" wrapText="true" indent="0" shrinkToFit="false"/>
      <protection locked="true" hidden="false"/>
    </xf>
    <xf numFmtId="164" fontId="15" fillId="0" borderId="34" xfId="0" applyFont="true" applyBorder="true" applyAlignment="true" applyProtection="false">
      <alignment horizontal="center" vertical="center"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64" fontId="11" fillId="5" borderId="35" xfId="21" applyFont="true" applyBorder="true" applyAlignment="true" applyProtection="false">
      <alignment horizontal="left" vertical="center" textRotation="0" wrapText="true" indent="0" shrinkToFit="false"/>
      <protection locked="true" hidden="false"/>
    </xf>
    <xf numFmtId="164" fontId="30" fillId="0" borderId="0" xfId="21" applyFont="true" applyBorder="false" applyAlignment="false" applyProtection="false">
      <alignment horizontal="general" vertical="bottom" textRotation="0" wrapText="false" indent="0" shrinkToFit="false"/>
      <protection locked="true" hidden="false"/>
    </xf>
    <xf numFmtId="164" fontId="31" fillId="0" borderId="0" xfId="21" applyFont="true" applyBorder="false" applyAlignment="false" applyProtection="false">
      <alignment horizontal="general" vertical="bottom" textRotation="0" wrapText="false" indent="0" shrinkToFit="false"/>
      <protection locked="true" hidden="false"/>
    </xf>
    <xf numFmtId="164" fontId="31" fillId="0" borderId="0" xfId="21" applyFont="true" applyBorder="true" applyAlignment="true" applyProtection="true">
      <alignment horizontal="left" vertical="bottom" textRotation="0" wrapText="false" indent="0" shrinkToFit="false"/>
      <protection locked="false" hidden="false"/>
    </xf>
    <xf numFmtId="170" fontId="31" fillId="0" borderId="0" xfId="21" applyFont="true" applyBorder="true" applyAlignment="true" applyProtection="true">
      <alignment horizontal="left" vertical="bottom" textRotation="0" wrapText="false" indent="0" shrinkToFit="false"/>
      <protection locked="false" hidden="false"/>
    </xf>
    <xf numFmtId="170" fontId="31" fillId="0" borderId="0" xfId="21" applyFont="true" applyBorder="false" applyAlignment="true" applyProtection="false">
      <alignment horizontal="left" vertical="bottom" textRotation="0" wrapText="false" indent="0" shrinkToFit="false"/>
      <protection locked="true" hidden="false"/>
    </xf>
    <xf numFmtId="164" fontId="31" fillId="27" borderId="0" xfId="21" applyFont="true" applyBorder="false" applyAlignment="false" applyProtection="false">
      <alignment horizontal="general" vertical="bottom" textRotation="0" wrapText="false" indent="0" shrinkToFit="false"/>
      <protection locked="true" hidden="false"/>
    </xf>
    <xf numFmtId="164" fontId="31" fillId="27" borderId="0" xfId="21" applyFont="true" applyBorder="true" applyAlignment="true" applyProtection="false">
      <alignment horizontal="center" vertical="bottom" textRotation="0" wrapText="false" indent="0" shrinkToFit="false"/>
      <protection locked="true" hidden="false"/>
    </xf>
    <xf numFmtId="164" fontId="10" fillId="27" borderId="0" xfId="21" applyFont="true" applyBorder="false" applyAlignment="false" applyProtection="false">
      <alignment horizontal="general" vertical="bottom" textRotation="0" wrapText="false" indent="0" shrinkToFit="false"/>
      <protection locked="true" hidden="false"/>
    </xf>
    <xf numFmtId="164" fontId="31" fillId="0" borderId="0" xfId="21" applyFont="true" applyBorder="false" applyAlignment="true" applyProtection="false">
      <alignment horizontal="center" vertical="bottom" textRotation="0" wrapText="false" indent="0" shrinkToFit="false"/>
      <protection locked="true" hidden="false"/>
    </xf>
    <xf numFmtId="164" fontId="31" fillId="27" borderId="58" xfId="21" applyFont="true" applyBorder="true" applyAlignment="false" applyProtection="false">
      <alignment horizontal="general" vertical="bottom" textRotation="0" wrapText="false" indent="0" shrinkToFit="false"/>
      <protection locked="true" hidden="false"/>
    </xf>
    <xf numFmtId="164" fontId="31" fillId="27" borderId="58" xfId="21" applyFont="true" applyBorder="true" applyAlignment="true" applyProtection="false">
      <alignment horizontal="center" vertical="bottom" textRotation="0" wrapText="false" indent="0" shrinkToFit="false"/>
      <protection locked="true" hidden="false"/>
    </xf>
    <xf numFmtId="164" fontId="11" fillId="0" borderId="86" xfId="21" applyFont="true" applyBorder="true" applyAlignment="false" applyProtection="false">
      <alignment horizontal="general" vertical="bottom" textRotation="0" wrapText="false" indent="0" shrinkToFit="false"/>
      <protection locked="true" hidden="false"/>
    </xf>
    <xf numFmtId="164" fontId="11" fillId="0" borderId="86" xfId="21" applyFont="true" applyBorder="true" applyAlignment="true" applyProtection="false">
      <alignment horizontal="center" vertical="bottom" textRotation="0" wrapText="false" indent="0" shrinkToFit="false"/>
      <protection locked="true" hidden="false"/>
    </xf>
    <xf numFmtId="164" fontId="8" fillId="0" borderId="86" xfId="21" applyFont="true" applyBorder="true" applyAlignment="true" applyProtection="false">
      <alignment horizontal="center" vertical="bottom" textRotation="0" wrapText="false" indent="0" shrinkToFit="false"/>
      <protection locked="true" hidden="false"/>
    </xf>
    <xf numFmtId="164" fontId="6" fillId="0" borderId="86" xfId="21" applyFont="true" applyBorder="true" applyAlignment="true" applyProtection="false">
      <alignment horizontal="center" vertical="bottom" textRotation="0" wrapText="false" indent="0" shrinkToFit="false"/>
      <protection locked="true" hidden="false"/>
    </xf>
    <xf numFmtId="164" fontId="10" fillId="0" borderId="0" xfId="21" applyFont="true" applyBorder="false" applyAlignment="true" applyProtection="false">
      <alignment horizontal="center" vertical="bottom" textRotation="0" wrapText="false" indent="0" shrinkToFit="false"/>
      <protection locked="true" hidden="false"/>
    </xf>
    <xf numFmtId="164" fontId="10" fillId="27" borderId="0" xfId="21" applyFont="true" applyBorder="false" applyAlignment="true" applyProtection="false">
      <alignment horizontal="center" vertical="bottom" textRotation="0" wrapText="false" indent="0" shrinkToFit="false"/>
      <protection locked="true" hidden="false"/>
    </xf>
    <xf numFmtId="164" fontId="10" fillId="27" borderId="0" xfId="21" applyFont="true" applyBorder="true" applyAlignment="true" applyProtection="false">
      <alignment horizontal="center" vertical="bottom" textRotation="0" wrapText="false" indent="0" shrinkToFit="false"/>
      <protection locked="true" hidden="false"/>
    </xf>
    <xf numFmtId="164" fontId="32" fillId="0" borderId="87" xfId="21" applyFont="true" applyBorder="true" applyAlignment="false" applyProtection="false">
      <alignment horizontal="general" vertical="bottom" textRotation="0" wrapText="false" indent="0" shrinkToFit="false"/>
      <protection locked="true" hidden="false"/>
    </xf>
    <xf numFmtId="168" fontId="33" fillId="0" borderId="72" xfId="0" applyFont="true" applyBorder="true" applyAlignment="true" applyProtection="false">
      <alignment horizontal="center" vertical="bottom" textRotation="0" wrapText="true" indent="0" shrinkToFit="false"/>
      <protection locked="true" hidden="false"/>
    </xf>
    <xf numFmtId="168" fontId="10" fillId="0" borderId="87" xfId="21" applyFont="true" applyBorder="true" applyAlignment="true" applyProtection="true">
      <alignment horizontal="center" vertical="bottom" textRotation="0" wrapText="false" indent="0" shrinkToFit="false"/>
      <protection locked="false" hidden="false"/>
    </xf>
    <xf numFmtId="168" fontId="6" fillId="0" borderId="0" xfId="21" applyFont="true" applyBorder="false" applyAlignment="true" applyProtection="false">
      <alignment horizontal="center" vertical="bottom" textRotation="0" wrapText="false" indent="0" shrinkToFit="false"/>
      <protection locked="true" hidden="false"/>
    </xf>
    <xf numFmtId="168" fontId="6" fillId="0" borderId="87" xfId="21" applyFont="true" applyBorder="true" applyAlignment="true" applyProtection="false">
      <alignment horizontal="center" vertical="bottom" textRotation="0" wrapText="false" indent="0" shrinkToFit="false"/>
      <protection locked="true" hidden="false"/>
    </xf>
    <xf numFmtId="168" fontId="10" fillId="0" borderId="0" xfId="21" applyFont="true" applyBorder="false" applyAlignment="true" applyProtection="false">
      <alignment horizontal="center" vertical="bottom" textRotation="0" wrapText="false" indent="0" shrinkToFit="false"/>
      <protection locked="true" hidden="false"/>
    </xf>
    <xf numFmtId="168" fontId="10" fillId="0" borderId="0" xfId="21" applyFont="true" applyBorder="false" applyAlignment="false" applyProtection="false">
      <alignment horizontal="general" vertical="bottom" textRotation="0" wrapText="false" indent="0" shrinkToFit="false"/>
      <protection locked="true" hidden="false"/>
    </xf>
    <xf numFmtId="164" fontId="32" fillId="0" borderId="0" xfId="21" applyFont="true" applyBorder="false" applyAlignment="false" applyProtection="false">
      <alignment horizontal="general" vertical="bottom" textRotation="0" wrapText="false" indent="0" shrinkToFit="false"/>
      <protection locked="true" hidden="false"/>
    </xf>
    <xf numFmtId="168" fontId="10" fillId="0" borderId="0" xfId="21" applyFont="true" applyBorder="false" applyAlignment="true" applyProtection="true">
      <alignment horizontal="center" vertical="bottom" textRotation="0" wrapText="false" indent="0" shrinkToFit="false"/>
      <protection locked="false" hidden="false"/>
    </xf>
    <xf numFmtId="164" fontId="32" fillId="0" borderId="70" xfId="21" applyFont="true" applyBorder="true" applyAlignment="false" applyProtection="false">
      <alignment horizontal="general" vertical="bottom" textRotation="0" wrapText="false" indent="0" shrinkToFit="false"/>
      <protection locked="true" hidden="false"/>
    </xf>
    <xf numFmtId="168" fontId="33" fillId="0" borderId="45" xfId="0" applyFont="true" applyBorder="true" applyAlignment="true" applyProtection="false">
      <alignment horizontal="center" vertical="bottom" textRotation="0" wrapText="true" indent="0" shrinkToFit="false"/>
      <protection locked="true" hidden="false"/>
    </xf>
    <xf numFmtId="168" fontId="6" fillId="0" borderId="70" xfId="21" applyFont="true" applyBorder="true" applyAlignment="true" applyProtection="false">
      <alignment horizontal="center" vertical="bottom" textRotation="0" wrapText="false" indent="0" shrinkToFit="false"/>
      <protection locked="true" hidden="false"/>
    </xf>
    <xf numFmtId="164" fontId="34" fillId="0" borderId="76" xfId="21" applyFont="true" applyBorder="true" applyAlignment="false" applyProtection="false">
      <alignment horizontal="general" vertical="bottom" textRotation="0" wrapText="false" indent="0" shrinkToFit="false"/>
      <protection locked="true" hidden="false"/>
    </xf>
    <xf numFmtId="168" fontId="10" fillId="0" borderId="19" xfId="21" applyFont="true" applyBorder="true" applyAlignment="true" applyProtection="true">
      <alignment horizontal="center" vertical="bottom" textRotation="0" wrapText="false" indent="0" shrinkToFit="false"/>
      <protection locked="false" hidden="false"/>
    </xf>
    <xf numFmtId="168" fontId="6" fillId="0" borderId="76" xfId="21" applyFont="true" applyBorder="true" applyAlignment="true" applyProtection="false">
      <alignment horizontal="center" vertical="bottom" textRotation="0" wrapText="false" indent="0" shrinkToFit="false"/>
      <protection locked="true" hidden="false"/>
    </xf>
    <xf numFmtId="168" fontId="10" fillId="0" borderId="76" xfId="21" applyFont="true" applyBorder="true" applyAlignment="true" applyProtection="true">
      <alignment horizontal="center" vertical="bottom" textRotation="0" wrapText="false" indent="0" shrinkToFit="false"/>
      <protection locked="false" hidden="false"/>
    </xf>
    <xf numFmtId="164" fontId="34" fillId="0" borderId="0" xfId="21" applyFont="true" applyBorder="false" applyAlignment="false" applyProtection="false">
      <alignment horizontal="general" vertical="bottom" textRotation="0" wrapText="false" indent="0" shrinkToFit="false"/>
      <protection locked="true" hidden="false"/>
    </xf>
    <xf numFmtId="164" fontId="34" fillId="0" borderId="70" xfId="21" applyFont="true" applyBorder="true" applyAlignment="false" applyProtection="false">
      <alignment horizontal="general" vertical="bottom" textRotation="0" wrapText="false" indent="0" shrinkToFit="false"/>
      <protection locked="true" hidden="false"/>
    </xf>
    <xf numFmtId="164" fontId="35" fillId="0" borderId="0" xfId="21" applyFont="true" applyBorder="false" applyAlignment="false" applyProtection="false">
      <alignment horizontal="general" vertical="bottom" textRotation="0" wrapText="false" indent="0" shrinkToFit="false"/>
      <protection locked="true" hidden="false"/>
    </xf>
    <xf numFmtId="164" fontId="36" fillId="0" borderId="76" xfId="21" applyFont="true" applyBorder="true" applyAlignment="false" applyProtection="false">
      <alignment horizontal="general" vertical="bottom" textRotation="0" wrapText="false" indent="0" shrinkToFit="false"/>
      <protection locked="true" hidden="false"/>
    </xf>
    <xf numFmtId="164" fontId="36" fillId="0" borderId="0" xfId="21" applyFont="true" applyBorder="false" applyAlignment="false" applyProtection="false">
      <alignment horizontal="general" vertical="bottom" textRotation="0" wrapText="false" indent="0" shrinkToFit="false"/>
      <protection locked="true" hidden="false"/>
    </xf>
    <xf numFmtId="164" fontId="36" fillId="0" borderId="70" xfId="21" applyFont="true" applyBorder="true" applyAlignment="false" applyProtection="false">
      <alignment horizontal="general" vertical="bottom" textRotation="0" wrapText="false" indent="0" shrinkToFit="false"/>
      <protection locked="true" hidden="false"/>
    </xf>
    <xf numFmtId="164" fontId="37" fillId="0" borderId="76" xfId="21" applyFont="true" applyBorder="true" applyAlignment="false" applyProtection="false">
      <alignment horizontal="general" vertical="bottom" textRotation="0" wrapText="false" indent="0" shrinkToFit="false"/>
      <protection locked="true" hidden="false"/>
    </xf>
    <xf numFmtId="164" fontId="37" fillId="0" borderId="0" xfId="21" applyFont="true" applyBorder="false" applyAlignment="false" applyProtection="false">
      <alignment horizontal="general" vertical="bottom" textRotation="0" wrapText="false" indent="0" shrinkToFit="false"/>
      <protection locked="true" hidden="false"/>
    </xf>
    <xf numFmtId="164" fontId="37" fillId="0" borderId="58" xfId="21" applyFont="true" applyBorder="true" applyAlignment="false" applyProtection="false">
      <alignment horizontal="general" vertical="bottom" textRotation="0" wrapText="false" indent="0" shrinkToFit="false"/>
      <protection locked="true" hidden="false"/>
    </xf>
    <xf numFmtId="168" fontId="33" fillId="0" borderId="88" xfId="0" applyFont="true" applyBorder="true" applyAlignment="true" applyProtection="false">
      <alignment horizontal="center" vertical="bottom" textRotation="0" wrapText="true" indent="0" shrinkToFit="false"/>
      <protection locked="true" hidden="false"/>
    </xf>
    <xf numFmtId="168" fontId="33" fillId="0" borderId="89" xfId="0" applyFont="true" applyBorder="true" applyAlignment="true" applyProtection="false">
      <alignment horizontal="center" vertical="bottom" textRotation="0" wrapText="true" indent="0" shrinkToFit="false"/>
      <protection locked="true" hidden="false"/>
    </xf>
    <xf numFmtId="168" fontId="6" fillId="0" borderId="58" xfId="21" applyFont="true" applyBorder="true" applyAlignment="true" applyProtection="false">
      <alignment horizontal="center" vertical="bottom" textRotation="0" wrapText="false" indent="0" shrinkToFit="false"/>
      <protection locked="true" hidden="false"/>
    </xf>
    <xf numFmtId="168" fontId="33" fillId="0" borderId="58" xfId="0" applyFont="true" applyBorder="true" applyAlignment="true" applyProtection="false">
      <alignment horizontal="center" vertical="bottom" textRotation="0" wrapText="true" indent="0" shrinkToFit="false"/>
      <protection locked="true" hidden="false"/>
    </xf>
    <xf numFmtId="164" fontId="38" fillId="0" borderId="0" xfId="21" applyFont="true" applyBorder="false" applyAlignment="true" applyProtection="false">
      <alignment horizontal="right" vertical="bottom" textRotation="0" wrapText="false" indent="0" shrinkToFit="false"/>
      <protection locked="true" hidden="false"/>
    </xf>
    <xf numFmtId="165" fontId="10" fillId="0" borderId="0" xfId="23" applyFont="true" applyBorder="false" applyAlignment="false" applyProtection="false">
      <alignment horizontal="general" vertical="bottom" textRotation="0" wrapText="false" indent="0" shrinkToFit="false"/>
      <protection locked="true" hidden="false"/>
    </xf>
    <xf numFmtId="165" fontId="10" fillId="0" borderId="0" xfId="23" applyFont="true" applyBorder="false" applyAlignment="true" applyProtection="false">
      <alignment horizontal="center" vertical="bottom" textRotation="0" wrapText="false" indent="0" shrinkToFit="false"/>
      <protection locked="true" hidden="false"/>
    </xf>
    <xf numFmtId="164" fontId="10" fillId="0" borderId="87" xfId="21" applyFont="true" applyBorder="true" applyAlignment="false" applyProtection="false">
      <alignment horizontal="general" vertical="bottom" textRotation="0" wrapText="false" indent="0" shrinkToFit="false"/>
      <protection locked="true" hidden="false"/>
    </xf>
    <xf numFmtId="164" fontId="10" fillId="0" borderId="87" xfId="21" applyFont="true" applyBorder="true" applyAlignment="true" applyProtection="false">
      <alignment horizontal="center" vertical="bottom" textRotation="0" wrapText="false" indent="0" shrinkToFit="false"/>
      <protection locked="true" hidden="false"/>
    </xf>
    <xf numFmtId="164" fontId="10" fillId="0" borderId="58" xfId="21" applyFont="true" applyBorder="true" applyAlignment="false" applyProtection="false">
      <alignment horizontal="general" vertical="bottom" textRotation="0" wrapText="false" indent="0" shrinkToFit="false"/>
      <protection locked="true" hidden="false"/>
    </xf>
    <xf numFmtId="164" fontId="10" fillId="0" borderId="58" xfId="21" applyFont="tru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2" fillId="21" borderId="49" xfId="21" applyFont="true" applyBorder="true" applyAlignment="true" applyProtection="false">
      <alignment horizontal="left" vertical="center" textRotation="0" wrapText="tru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4" fillId="0" borderId="35"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4" fillId="0" borderId="35" xfId="0" applyFont="true" applyBorder="tru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164" fontId="5" fillId="0" borderId="35" xfId="0" applyFont="true" applyBorder="true" applyAlignment="false" applyProtection="false">
      <alignment horizontal="general" vertical="bottom" textRotation="0" wrapText="false" indent="0" shrinkToFit="false"/>
      <protection locked="true" hidden="false"/>
    </xf>
    <xf numFmtId="164" fontId="0" fillId="0" borderId="35" xfId="0" applyFont="fals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9" borderId="0" xfId="0" applyFont="true" applyBorder="true" applyAlignment="true" applyProtection="false">
      <alignment horizontal="center" vertical="center" textRotation="0" wrapText="false" indent="0" shrinkToFit="false"/>
      <protection locked="true" hidden="false"/>
    </xf>
    <xf numFmtId="164" fontId="0" fillId="7" borderId="0" xfId="0" applyFont="false" applyBorder="false" applyAlignment="true" applyProtection="false">
      <alignment horizontal="center" vertical="center" textRotation="0" wrapText="false" indent="0" shrinkToFit="false"/>
      <protection locked="true" hidden="false"/>
    </xf>
    <xf numFmtId="164" fontId="0" fillId="9" borderId="0" xfId="0" applyFont="fals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35" xfId="0" applyFont="true" applyBorder="true" applyAlignment="true" applyProtection="false">
      <alignment horizontal="center" vertical="center" textRotation="0" wrapText="false" indent="0" shrinkToFit="false"/>
      <protection locked="true" hidden="false"/>
    </xf>
    <xf numFmtId="164" fontId="0" fillId="0" borderId="35" xfId="0" applyFont="false" applyBorder="true" applyAlignment="true" applyProtection="false">
      <alignment horizontal="center" vertical="bottom" textRotation="0" wrapText="false" indent="0" shrinkToFit="false"/>
      <protection locked="true" hidden="false"/>
    </xf>
    <xf numFmtId="164" fontId="0" fillId="14" borderId="0" xfId="0" applyFont="false" applyBorder="false" applyAlignment="true" applyProtection="false">
      <alignment horizontal="center" vertical="bottom" textRotation="0" wrapText="false" indent="0" shrinkToFit="false"/>
      <protection locked="true" hidden="false"/>
    </xf>
    <xf numFmtId="164" fontId="0" fillId="28" borderId="0" xfId="0" applyFont="false" applyBorder="false" applyAlignment="true" applyProtection="false">
      <alignment horizontal="center" vertical="bottom" textRotation="0" wrapText="false" indent="0" shrinkToFit="false"/>
      <protection locked="true" hidden="false"/>
    </xf>
    <xf numFmtId="164" fontId="0" fillId="29" borderId="0" xfId="0" applyFont="false" applyBorder="false" applyAlignment="true" applyProtection="false">
      <alignment horizontal="center" vertical="bottom" textRotation="0" wrapText="false" indent="0" shrinkToFit="false"/>
      <protection locked="true" hidden="false"/>
    </xf>
    <xf numFmtId="164" fontId="0" fillId="30" borderId="0" xfId="0" applyFont="false" applyBorder="false" applyAlignment="true" applyProtection="false">
      <alignment horizontal="center" vertical="bottom" textRotation="0" wrapText="false" indent="0" shrinkToFit="false"/>
      <protection locked="true" hidden="false"/>
    </xf>
    <xf numFmtId="164" fontId="0" fillId="31" borderId="0" xfId="0" applyFont="false" applyBorder="false" applyAlignment="true" applyProtection="false">
      <alignment horizontal="center" vertical="bottom" textRotation="0" wrapText="false" indent="0" shrinkToFit="false"/>
      <protection locked="true" hidden="false"/>
    </xf>
    <xf numFmtId="164" fontId="0" fillId="7"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32" borderId="0" xfId="21" applyFont="true" applyBorder="false" applyAlignment="false" applyProtection="false">
      <alignment horizontal="general" vertical="bottom" textRotation="0" wrapText="false" indent="0" shrinkToFit="false"/>
      <protection locked="true" hidden="false"/>
    </xf>
    <xf numFmtId="164" fontId="45" fillId="32" borderId="0" xfId="21" applyFont="true" applyBorder="false" applyAlignment="true" applyProtection="false">
      <alignment horizontal="left" vertical="top"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Hyperlink 2" xfId="20"/>
    <cellStyle name="Normal 2" xfId="21"/>
    <cellStyle name="Normal 2 2" xfId="22"/>
    <cellStyle name="Percent 2" xfId="23"/>
  </cellStyles>
  <dxfs count="242">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D7D7DA"/>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2D0D6"/>
        </patternFill>
      </fill>
    </dxf>
    <dxf>
      <font>
        <color rgb="FF2C3030"/>
      </font>
      <fill>
        <patternFill>
          <bgColor rgb="FFECE651"/>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C5E2B6"/>
        </patternFill>
      </fill>
    </dxf>
    <dxf>
      <font>
        <color rgb="FF2C3030"/>
      </font>
      <fill>
        <patternFill>
          <bgColor rgb="FFE2D0D6"/>
        </patternFill>
      </fill>
    </dxf>
    <dxf>
      <font>
        <color rgb="FF2C3030"/>
      </font>
      <fill>
        <patternFill>
          <bgColor rgb="FFECE651"/>
        </patternFill>
      </fill>
    </dxf>
    <dxf>
      <font>
        <color rgb="FF2C3030"/>
      </font>
      <fill>
        <patternFill>
          <bgColor rgb="FFECE651"/>
        </patternFill>
      </fill>
    </dxf>
    <dxf>
      <font>
        <color rgb="FF2C3030"/>
      </font>
      <fill>
        <patternFill>
          <bgColor rgb="FFC5E2B6"/>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FED4B3"/>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CFD9E2"/>
        </patternFill>
      </fill>
    </dxf>
    <dxf>
      <font>
        <color rgb="FF2C3030"/>
      </font>
      <fill>
        <patternFill>
          <bgColor rgb="FFECE651"/>
        </patternFill>
      </fill>
    </dxf>
    <dxf>
      <font>
        <color rgb="FF2C3030"/>
      </font>
      <fill>
        <patternFill>
          <bgColor rgb="FFD7D7DA"/>
        </patternFill>
      </fill>
    </dxf>
    <dxf>
      <font>
        <color rgb="FF2C3030"/>
      </font>
      <fill>
        <patternFill>
          <bgColor rgb="FFECE651"/>
        </patternFill>
      </fill>
    </dxf>
    <dxf>
      <font>
        <color rgb="FF2C3030"/>
      </font>
      <fill>
        <patternFill>
          <bgColor rgb="FFFED4B3"/>
        </patternFill>
      </fill>
    </dxf>
    <dxf>
      <fill>
        <patternFill>
          <bgColor rgb="FFB5D7D7"/>
        </patternFill>
      </fill>
    </dxf>
    <dxf>
      <fill>
        <patternFill patternType="solid">
          <bgColor rgb="FF000000"/>
        </patternFill>
      </fill>
    </dxf>
  </dxfs>
  <colors>
    <indexedColors>
      <rgbColor rgb="FF000000"/>
      <rgbColor rgb="FFFFFFFF"/>
      <rgbColor rgb="FFEADCE1"/>
      <rgbColor rgb="FFC5E2B6"/>
      <rgbColor rgb="FFDEE1E1"/>
      <rgbColor rgb="FFECE651"/>
      <rgbColor rgb="FFD7D7DA"/>
      <rgbColor rgb="FFAAD4D4"/>
      <rgbColor rgb="FFB75727"/>
      <rgbColor rgb="FF37793E"/>
      <rgbColor rgb="FF010000"/>
      <rgbColor rgb="FF45712D"/>
      <rgbColor rgb="FFB07667"/>
      <rgbColor rgb="FF435B70"/>
      <rgbColor rgb="FFC0C0C0"/>
      <rgbColor rgb="FF727C7C"/>
      <rgbColor rgb="FF94BCDD"/>
      <rgbColor rgb="FF793E53"/>
      <rgbColor rgb="FFF9F6F6"/>
      <rgbColor rgb="FFE3F1F1"/>
      <rgbColor rgb="FF5C3040"/>
      <rgbColor rgb="FFD59E7B"/>
      <rgbColor rgb="FFC4BD97"/>
      <rgbColor rgb="FFCFD9E2"/>
      <rgbColor rgb="FFE2E2E4"/>
      <rgbColor rgb="FFD9D9D9"/>
      <rgbColor rgb="FFD5D514"/>
      <rgbColor rgb="FFB5D7D7"/>
      <rgbColor rgb="FFDDD9C3"/>
      <rgbColor rgb="FFDDDDDD"/>
      <rgbColor rgb="FF3A5F26"/>
      <rgbColor rgb="FFDCE3EA"/>
      <rgbColor rgb="FF8BAA88"/>
      <rgbColor rgb="FFEAF5F5"/>
      <rgbColor rgb="FFD7EBCC"/>
      <rgbColor rgb="FFF9DBB8"/>
      <rgbColor rgb="FF99CCFF"/>
      <rgbColor rgb="FFE2D0D6"/>
      <rgbColor rgb="FFDBC9C9"/>
      <rgbColor rgb="FFFED4B3"/>
      <rgbColor rgb="FF8A8B8B"/>
      <rgbColor rgb="FF71B8B8"/>
      <rgbColor rgb="FFBDBF17"/>
      <rgbColor rgb="FFFFC000"/>
      <rgbColor rgb="FFFFC221"/>
      <rgbColor rgb="FFCA5902"/>
      <rgbColor rgb="FF5B5B62"/>
      <rgbColor rgb="FF929B9B"/>
      <rgbColor rgb="FF223546"/>
      <rgbColor rgb="FF1C9DA3"/>
      <rgbColor rgb="FF1A2835"/>
      <rgbColor rgb="FF2C3030"/>
      <rgbColor rgb="FFAD4B00"/>
      <rgbColor rgb="FF754858"/>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n-US" sz="1600" strike="noStrike" u="none">
                <a:solidFill>
                  <a:srgbClr val="727c7c"/>
                </a:solidFill>
                <a:uFillTx/>
                <a:latin typeface="Open Sans"/>
              </a:rPr>
              <a:t>SAMM Current Score</a:t>
            </a:r>
          </a:p>
        </c:rich>
      </c:tx>
      <c:layout>
        <c:manualLayout>
          <c:xMode val="edge"/>
          <c:yMode val="edge"/>
          <c:x val="0.688328254553186"/>
          <c:y val="0.910555076215128"/>
        </c:manualLayout>
      </c:layout>
      <c:overlay val="0"/>
      <c:spPr>
        <a:noFill/>
        <a:ln w="0">
          <a:noFill/>
        </a:ln>
      </c:spPr>
    </c:title>
    <c:autoTitleDeleted val="0"/>
    <c:plotArea>
      <c:radarChart>
        <c:radarStyle val="filled"/>
        <c:varyColors val="0"/>
        <c:ser>
          <c:idx val="0"/>
          <c:order val="0"/>
          <c:tx>
            <c:strRef>
              <c:f>Scorecard!$V$13</c:f>
              <c:strCache>
                <c:ptCount val="1"/>
                <c:pt idx="0">
                  <c:v>Governance</c:v>
                </c:pt>
              </c:strCache>
            </c:strRef>
          </c:tx>
          <c:spPr>
            <a:gradFill>
              <a:gsLst>
                <a:gs pos="0">
                  <a:srgbClr val="5c3040"/>
                </a:gs>
                <a:gs pos="80000">
                  <a:srgbClr val="783e53"/>
                </a:gs>
                <a:gs pos="100000">
                  <a:srgbClr val="793e53"/>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Scorecard!$V$14:$V$28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
          <c:order val="1"/>
          <c:tx>
            <c:strRef>
              <c:f>Scorecard!$W$13</c:f>
              <c:strCache>
                <c:ptCount val="1"/>
                <c:pt idx="0">
                  <c:v>Design</c:v>
                </c:pt>
              </c:strCache>
            </c:strRef>
          </c:tx>
          <c:spPr>
            <a:solidFill>
              <a:srgbClr val="b75727"/>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Scorecard!$W$14:$W$28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
          <c:order val="2"/>
          <c:tx>
            <c:strRef>
              <c:f>Scorecard!$X$13</c:f>
              <c:strCache>
                <c:ptCount val="1"/>
                <c:pt idx="0">
                  <c:v>Implementation</c:v>
                </c:pt>
              </c:strCache>
            </c:strRef>
          </c:tx>
          <c:spPr>
            <a:solidFill>
              <a:srgbClr val="ffc221"/>
            </a:solidFill>
            <a:ln w="2556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Scorecard!$X$14:$X$28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3"/>
          <c:order val="3"/>
          <c:tx>
            <c:strRef>
              <c:f>Scorecard!$Y$13</c:f>
              <c:strCache>
                <c:ptCount val="1"/>
                <c:pt idx="0">
                  <c:v>Verification</c:v>
                </c:pt>
              </c:strCache>
            </c:strRef>
          </c:tx>
          <c:spPr>
            <a:solidFill>
              <a:srgbClr val="37793e"/>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Scorecard!$Y$14:$Y$28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4"/>
          <c:order val="4"/>
          <c:tx>
            <c:strRef>
              <c:f>Scorecard!$Z$13</c:f>
              <c:strCache>
                <c:ptCount val="1"/>
                <c:pt idx="0">
                  <c:v>Operations</c:v>
                </c:pt>
              </c:strCache>
            </c:strRef>
          </c:tx>
          <c:spPr>
            <a:gradFill>
              <a:gsLst>
                <a:gs pos="0">
                  <a:srgbClr val="1a2835"/>
                </a:gs>
                <a:gs pos="80000">
                  <a:srgbClr val="223545"/>
                </a:gs>
                <a:gs pos="100000">
                  <a:srgbClr val="223546"/>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Scorecard!$Z$14:$Z$28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64860023"/>
        <c:axId val="44690854"/>
      </c:radarChart>
      <c:catAx>
        <c:axId val="64860023"/>
        <c:scaling>
          <c:orientation val="maxMin"/>
        </c:scaling>
        <c:delete val="0"/>
        <c:axPos val="b"/>
        <c:numFmt formatCode="General" sourceLinked="0"/>
        <c:majorTickMark val="none"/>
        <c:minorTickMark val="none"/>
        <c:tickLblPos val="nextTo"/>
        <c:spPr>
          <a:ln w="12600">
            <a:noFill/>
          </a:ln>
        </c:spPr>
        <c:txPr>
          <a:bodyPr/>
          <a:lstStyle/>
          <a:p>
            <a:pPr>
              <a:defRPr b="0" sz="900" strike="noStrike" u="none">
                <a:solidFill>
                  <a:srgbClr val="727c7c"/>
                </a:solidFill>
                <a:uFillTx/>
                <a:latin typeface="Open Sans"/>
              </a:defRPr>
            </a:pPr>
          </a:p>
        </c:txPr>
        <c:crossAx val="44690854"/>
        <c:crosses val="autoZero"/>
        <c:auto val="1"/>
        <c:lblAlgn val="ctr"/>
        <c:lblOffset val="100"/>
        <c:noMultiLvlLbl val="0"/>
      </c:catAx>
      <c:valAx>
        <c:axId val="44690854"/>
        <c:scaling>
          <c:orientation val="minMax"/>
          <c:max val="3"/>
        </c:scaling>
        <c:delete val="0"/>
        <c:axPos val="l"/>
        <c:majorGridlines>
          <c:spPr>
            <a:ln w="9360">
              <a:solidFill>
                <a:srgbClr val="dee1e1"/>
              </a:solidFill>
              <a:round/>
            </a:ln>
          </c:spPr>
        </c:majorGridlines>
        <c:numFmt formatCode="0.00" sourceLinked="0"/>
        <c:majorTickMark val="none"/>
        <c:minorTickMark val="none"/>
        <c:tickLblPos val="nextTo"/>
        <c:spPr>
          <a:ln w="9360">
            <a:noFill/>
          </a:ln>
        </c:spPr>
        <c:txPr>
          <a:bodyPr/>
          <a:lstStyle/>
          <a:p>
            <a:pPr>
              <a:defRPr b="0" sz="900" strike="noStrike" u="none">
                <a:solidFill>
                  <a:srgbClr val="727c7c"/>
                </a:solidFill>
                <a:uFillTx/>
                <a:latin typeface="Open Sans"/>
              </a:defRPr>
            </a:pPr>
          </a:p>
        </c:txPr>
        <c:crossAx val="64860023"/>
        <c:crosses val="autoZero"/>
        <c:crossBetween val="midCat"/>
      </c:valAx>
      <c:spPr>
        <a:solidFill>
          <a:srgbClr val="f9f6f6"/>
        </a:solidFill>
        <a:ln w="0">
          <a:noFill/>
        </a:ln>
      </c:spPr>
    </c:plotArea>
    <c:plotVisOnly val="1"/>
    <c:dispBlanksAs val="gap"/>
  </c:chart>
  <c:spPr>
    <a:solidFill>
      <a:srgbClr val="f9f6f6"/>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n-US" sz="1600" strike="noStrike" u="none">
                <a:solidFill>
                  <a:srgbClr val="727c7c"/>
                </a:solidFill>
                <a:uFillTx/>
                <a:latin typeface="Open Sans"/>
              </a:rPr>
              <a:t>Phase II Score</a:t>
            </a:r>
          </a:p>
        </c:rich>
      </c:tx>
      <c:layout>
        <c:manualLayout>
          <c:xMode val="edge"/>
          <c:yMode val="edge"/>
          <c:x val="0.767177021384285"/>
          <c:y val="0.910522548317824"/>
        </c:manualLayout>
      </c:layout>
      <c:overlay val="0"/>
      <c:spPr>
        <a:noFill/>
        <a:ln w="0">
          <a:noFill/>
        </a:ln>
      </c:spPr>
    </c:title>
    <c:autoTitleDeleted val="0"/>
    <c:plotArea>
      <c:radarChart>
        <c:radarStyle val="filled"/>
        <c:varyColors val="0"/>
        <c:ser>
          <c:idx val="0"/>
          <c:order val="0"/>
          <c:tx>
            <c:strRef>
              <c:f>Scorecard!$V$53</c:f>
              <c:strCache>
                <c:ptCount val="1"/>
                <c:pt idx="0">
                  <c:v>Governance</c:v>
                </c:pt>
              </c:strCache>
            </c:strRef>
          </c:tx>
          <c:spPr>
            <a:gradFill>
              <a:gsLst>
                <a:gs pos="0">
                  <a:srgbClr val="5c3040"/>
                </a:gs>
                <a:gs pos="80000">
                  <a:srgbClr val="783e53"/>
                </a:gs>
                <a:gs pos="100000">
                  <a:srgbClr val="793e53"/>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Scorecard!$V$54:$V$68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
          <c:order val="1"/>
          <c:tx>
            <c:strRef>
              <c:f>Scorecard!$W$53</c:f>
              <c:strCache>
                <c:ptCount val="1"/>
                <c:pt idx="0">
                  <c:v>Design</c:v>
                </c:pt>
              </c:strCache>
            </c:strRef>
          </c:tx>
          <c:spPr>
            <a:solidFill>
              <a:srgbClr val="b75727"/>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Scorecard!$W$54:$W$68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
          <c:order val="2"/>
          <c:tx>
            <c:strRef>
              <c:f>Scorecard!$X$53</c:f>
              <c:strCache>
                <c:ptCount val="1"/>
                <c:pt idx="0">
                  <c:v>Implementation</c:v>
                </c:pt>
              </c:strCache>
            </c:strRef>
          </c:tx>
          <c:spPr>
            <a:solidFill>
              <a:srgbClr val="bdbf17"/>
            </a:solidFill>
            <a:ln w="2556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Scorecard!$X$54:$X$68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3"/>
          <c:order val="3"/>
          <c:tx>
            <c:strRef>
              <c:f>Scorecard!$Y$53</c:f>
              <c:strCache>
                <c:ptCount val="1"/>
                <c:pt idx="0">
                  <c:v>Verification</c:v>
                </c:pt>
              </c:strCache>
            </c:strRef>
          </c:tx>
          <c:spPr>
            <a:solidFill>
              <a:srgbClr val="37793e"/>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Scorecard!$Y$54:$Y$68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4"/>
          <c:order val="4"/>
          <c:tx>
            <c:strRef>
              <c:f>Scorecard!$Z$53</c:f>
              <c:strCache>
                <c:ptCount val="1"/>
                <c:pt idx="0">
                  <c:v>Operations</c:v>
                </c:pt>
              </c:strCache>
            </c:strRef>
          </c:tx>
          <c:spPr>
            <a:gradFill>
              <a:gsLst>
                <a:gs pos="0">
                  <a:srgbClr val="1a2835"/>
                </a:gs>
                <a:gs pos="80000">
                  <a:srgbClr val="223545"/>
                </a:gs>
                <a:gs pos="100000">
                  <a:srgbClr val="223546"/>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Scorecard!$Z$54:$Z$68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96454974"/>
        <c:axId val="81080390"/>
      </c:radarChart>
      <c:catAx>
        <c:axId val="96454974"/>
        <c:scaling>
          <c:orientation val="maxMin"/>
        </c:scaling>
        <c:delete val="0"/>
        <c:axPos val="b"/>
        <c:numFmt formatCode="General" sourceLinked="0"/>
        <c:majorTickMark val="none"/>
        <c:minorTickMark val="none"/>
        <c:tickLblPos val="nextTo"/>
        <c:spPr>
          <a:ln w="12600">
            <a:noFill/>
          </a:ln>
        </c:spPr>
        <c:txPr>
          <a:bodyPr/>
          <a:lstStyle/>
          <a:p>
            <a:pPr>
              <a:defRPr b="0" sz="900" strike="noStrike" u="none">
                <a:solidFill>
                  <a:srgbClr val="727c7c"/>
                </a:solidFill>
                <a:uFillTx/>
                <a:latin typeface="Open Sans"/>
              </a:defRPr>
            </a:pPr>
          </a:p>
        </c:txPr>
        <c:crossAx val="81080390"/>
        <c:crosses val="autoZero"/>
        <c:auto val="1"/>
        <c:lblAlgn val="ctr"/>
        <c:lblOffset val="100"/>
        <c:noMultiLvlLbl val="0"/>
      </c:catAx>
      <c:valAx>
        <c:axId val="81080390"/>
        <c:scaling>
          <c:orientation val="minMax"/>
          <c:max val="3"/>
        </c:scaling>
        <c:delete val="0"/>
        <c:axPos val="l"/>
        <c:majorGridlines>
          <c:spPr>
            <a:ln w="9360">
              <a:solidFill>
                <a:srgbClr val="dee1e1"/>
              </a:solidFill>
              <a:round/>
            </a:ln>
          </c:spPr>
        </c:majorGridlines>
        <c:numFmt formatCode="0.00" sourceLinked="0"/>
        <c:majorTickMark val="none"/>
        <c:minorTickMark val="none"/>
        <c:tickLblPos val="nextTo"/>
        <c:spPr>
          <a:ln w="9360">
            <a:noFill/>
          </a:ln>
        </c:spPr>
        <c:txPr>
          <a:bodyPr/>
          <a:lstStyle/>
          <a:p>
            <a:pPr>
              <a:defRPr b="0" sz="900" strike="noStrike" u="none">
                <a:solidFill>
                  <a:srgbClr val="727c7c"/>
                </a:solidFill>
                <a:uFillTx/>
                <a:latin typeface="Open Sans"/>
              </a:defRPr>
            </a:pPr>
          </a:p>
        </c:txPr>
        <c:crossAx val="96454974"/>
        <c:crosses val="autoZero"/>
        <c:crossBetween val="midCat"/>
      </c:valAx>
      <c:spPr>
        <a:solidFill>
          <a:srgbClr val="f9f6f6"/>
        </a:solidFill>
        <a:ln w="0">
          <a:noFill/>
        </a:ln>
      </c:spPr>
    </c:plotArea>
    <c:plotVisOnly val="1"/>
    <c:dispBlanksAs val="gap"/>
  </c:chart>
  <c:spPr>
    <a:solidFill>
      <a:srgbClr val="f9f6f6"/>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n-US" sz="1600" strike="noStrike" u="none">
                <a:solidFill>
                  <a:srgbClr val="727c7c"/>
                </a:solidFill>
                <a:uFillTx/>
                <a:latin typeface="Open Sans"/>
              </a:rPr>
              <a:t>Phase I Score</a:t>
            </a:r>
          </a:p>
        </c:rich>
      </c:tx>
      <c:layout>
        <c:manualLayout>
          <c:xMode val="edge"/>
          <c:yMode val="edge"/>
          <c:x val="0.767177021384285"/>
          <c:y val="0.910522548317824"/>
        </c:manualLayout>
      </c:layout>
      <c:overlay val="0"/>
      <c:spPr>
        <a:noFill/>
        <a:ln w="0">
          <a:noFill/>
        </a:ln>
      </c:spPr>
    </c:title>
    <c:autoTitleDeleted val="0"/>
    <c:plotArea>
      <c:radarChart>
        <c:radarStyle val="filled"/>
        <c:varyColors val="0"/>
        <c:ser>
          <c:idx val="0"/>
          <c:order val="0"/>
          <c:tx>
            <c:strRef>
              <c:f>Scorecard!$V$33</c:f>
              <c:strCache>
                <c:ptCount val="1"/>
                <c:pt idx="0">
                  <c:v>Governance</c:v>
                </c:pt>
              </c:strCache>
            </c:strRef>
          </c:tx>
          <c:spPr>
            <a:gradFill>
              <a:gsLst>
                <a:gs pos="0">
                  <a:srgbClr val="5c3040"/>
                </a:gs>
                <a:gs pos="80000">
                  <a:srgbClr val="783e53"/>
                </a:gs>
                <a:gs pos="100000">
                  <a:srgbClr val="793e53"/>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Scorecard!$V$34:$V$48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
          <c:order val="1"/>
          <c:tx>
            <c:strRef>
              <c:f>Scorecard!$W$33</c:f>
              <c:strCache>
                <c:ptCount val="1"/>
                <c:pt idx="0">
                  <c:v>Design</c:v>
                </c:pt>
              </c:strCache>
            </c:strRef>
          </c:tx>
          <c:spPr>
            <a:solidFill>
              <a:srgbClr val="b75727"/>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Scorecard!$W$34:$W$48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
          <c:order val="2"/>
          <c:tx>
            <c:strRef>
              <c:f>Scorecard!$X$33</c:f>
              <c:strCache>
                <c:ptCount val="1"/>
                <c:pt idx="0">
                  <c:v>Implementation</c:v>
                </c:pt>
              </c:strCache>
            </c:strRef>
          </c:tx>
          <c:spPr>
            <a:solidFill>
              <a:srgbClr val="bdbf17"/>
            </a:solidFill>
            <a:ln w="2556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Scorecard!$X$34:$X$48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3"/>
          <c:order val="3"/>
          <c:tx>
            <c:strRef>
              <c:f>Scorecard!$Y$33</c:f>
              <c:strCache>
                <c:ptCount val="1"/>
                <c:pt idx="0">
                  <c:v>Verification</c:v>
                </c:pt>
              </c:strCache>
            </c:strRef>
          </c:tx>
          <c:spPr>
            <a:solidFill>
              <a:srgbClr val="37793e"/>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Scorecard!$Y$34:$Y$48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4"/>
          <c:order val="4"/>
          <c:tx>
            <c:strRef>
              <c:f>Scorecard!$Z$33</c:f>
              <c:strCache>
                <c:ptCount val="1"/>
                <c:pt idx="0">
                  <c:v>Operations</c:v>
                </c:pt>
              </c:strCache>
            </c:strRef>
          </c:tx>
          <c:spPr>
            <a:gradFill>
              <a:gsLst>
                <a:gs pos="0">
                  <a:srgbClr val="1a2835"/>
                </a:gs>
                <a:gs pos="80000">
                  <a:srgbClr val="223545"/>
                </a:gs>
                <a:gs pos="100000">
                  <a:srgbClr val="223546"/>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Scorecard!$Z$34:$Z$48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83596327"/>
        <c:axId val="22937369"/>
      </c:radarChart>
      <c:catAx>
        <c:axId val="83596327"/>
        <c:scaling>
          <c:orientation val="maxMin"/>
        </c:scaling>
        <c:delete val="0"/>
        <c:axPos val="b"/>
        <c:numFmt formatCode="General" sourceLinked="0"/>
        <c:majorTickMark val="none"/>
        <c:minorTickMark val="none"/>
        <c:tickLblPos val="nextTo"/>
        <c:spPr>
          <a:ln w="12600">
            <a:noFill/>
          </a:ln>
        </c:spPr>
        <c:txPr>
          <a:bodyPr/>
          <a:lstStyle/>
          <a:p>
            <a:pPr>
              <a:defRPr b="0" sz="900" strike="noStrike" u="none">
                <a:solidFill>
                  <a:srgbClr val="727c7c"/>
                </a:solidFill>
                <a:uFillTx/>
                <a:latin typeface="Open Sans"/>
              </a:defRPr>
            </a:pPr>
          </a:p>
        </c:txPr>
        <c:crossAx val="22937369"/>
        <c:crosses val="autoZero"/>
        <c:auto val="1"/>
        <c:lblAlgn val="ctr"/>
        <c:lblOffset val="100"/>
        <c:noMultiLvlLbl val="0"/>
      </c:catAx>
      <c:valAx>
        <c:axId val="22937369"/>
        <c:scaling>
          <c:orientation val="minMax"/>
          <c:max val="3"/>
        </c:scaling>
        <c:delete val="0"/>
        <c:axPos val="l"/>
        <c:majorGridlines>
          <c:spPr>
            <a:ln w="9360">
              <a:solidFill>
                <a:srgbClr val="dee1e1"/>
              </a:solidFill>
              <a:round/>
            </a:ln>
          </c:spPr>
        </c:majorGridlines>
        <c:numFmt formatCode="0.00" sourceLinked="0"/>
        <c:majorTickMark val="none"/>
        <c:minorTickMark val="none"/>
        <c:tickLblPos val="nextTo"/>
        <c:spPr>
          <a:ln w="9360">
            <a:noFill/>
          </a:ln>
        </c:spPr>
        <c:txPr>
          <a:bodyPr/>
          <a:lstStyle/>
          <a:p>
            <a:pPr>
              <a:defRPr b="0" sz="900" strike="noStrike" u="none">
                <a:solidFill>
                  <a:srgbClr val="727c7c"/>
                </a:solidFill>
                <a:uFillTx/>
                <a:latin typeface="Open Sans"/>
              </a:defRPr>
            </a:pPr>
          </a:p>
        </c:txPr>
        <c:crossAx val="83596327"/>
        <c:crosses val="autoZero"/>
        <c:crossBetween val="midCat"/>
      </c:valAx>
      <c:spPr>
        <a:solidFill>
          <a:srgbClr val="f9f6f6"/>
        </a:solidFill>
        <a:ln w="0">
          <a:noFill/>
        </a:ln>
      </c:spPr>
    </c:plotArea>
    <c:plotVisOnly val="1"/>
    <c:dispBlanksAs val="gap"/>
  </c:chart>
  <c:spPr>
    <a:solidFill>
      <a:srgbClr val="f9f6f6"/>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n-US" sz="1600" strike="noStrike" u="none">
                <a:solidFill>
                  <a:srgbClr val="727c7c"/>
                </a:solidFill>
                <a:uFillTx/>
                <a:latin typeface="Open Sans"/>
              </a:rPr>
              <a:t>Phase IV Score</a:t>
            </a:r>
          </a:p>
        </c:rich>
      </c:tx>
      <c:layout>
        <c:manualLayout>
          <c:xMode val="edge"/>
          <c:yMode val="edge"/>
          <c:x val="0.767240288498039"/>
          <c:y val="0.910522548317824"/>
        </c:manualLayout>
      </c:layout>
      <c:overlay val="0"/>
      <c:spPr>
        <a:noFill/>
        <a:ln w="0">
          <a:noFill/>
        </a:ln>
      </c:spPr>
    </c:title>
    <c:autoTitleDeleted val="0"/>
    <c:plotArea>
      <c:radarChart>
        <c:radarStyle val="filled"/>
        <c:varyColors val="0"/>
        <c:ser>
          <c:idx val="0"/>
          <c:order val="0"/>
          <c:tx>
            <c:strRef>
              <c:f>Scorecard!$V$93</c:f>
              <c:strCache>
                <c:ptCount val="1"/>
                <c:pt idx="0">
                  <c:v>Governance</c:v>
                </c:pt>
              </c:strCache>
            </c:strRef>
          </c:tx>
          <c:spPr>
            <a:gradFill>
              <a:gsLst>
                <a:gs pos="0">
                  <a:srgbClr val="5c3040"/>
                </a:gs>
                <a:gs pos="80000">
                  <a:srgbClr val="783e53"/>
                </a:gs>
                <a:gs pos="100000">
                  <a:srgbClr val="793e53"/>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Scorecard!$V$94:$V$108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
          <c:order val="1"/>
          <c:tx>
            <c:strRef>
              <c:f>Scorecard!$W$93</c:f>
              <c:strCache>
                <c:ptCount val="1"/>
                <c:pt idx="0">
                  <c:v>Design</c:v>
                </c:pt>
              </c:strCache>
            </c:strRef>
          </c:tx>
          <c:spPr>
            <a:solidFill>
              <a:srgbClr val="b75727"/>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Scorecard!$W$94:$W$108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
          <c:order val="2"/>
          <c:tx>
            <c:strRef>
              <c:f>Scorecard!$X$93</c:f>
              <c:strCache>
                <c:ptCount val="1"/>
                <c:pt idx="0">
                  <c:v>Implementation</c:v>
                </c:pt>
              </c:strCache>
            </c:strRef>
          </c:tx>
          <c:spPr>
            <a:solidFill>
              <a:srgbClr val="bdbf17"/>
            </a:solidFill>
            <a:ln w="2556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Scorecard!$X$94:$X$108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3"/>
          <c:order val="3"/>
          <c:tx>
            <c:strRef>
              <c:f>Scorecard!$Y$93</c:f>
              <c:strCache>
                <c:ptCount val="1"/>
                <c:pt idx="0">
                  <c:v>Verification</c:v>
                </c:pt>
              </c:strCache>
            </c:strRef>
          </c:tx>
          <c:spPr>
            <a:solidFill>
              <a:srgbClr val="37793e"/>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Scorecard!$Y$94:$Y$108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4"/>
          <c:order val="4"/>
          <c:tx>
            <c:strRef>
              <c:f>Scorecard!$Z$93</c:f>
              <c:strCache>
                <c:ptCount val="1"/>
                <c:pt idx="0">
                  <c:v>Operations</c:v>
                </c:pt>
              </c:strCache>
            </c:strRef>
          </c:tx>
          <c:spPr>
            <a:gradFill>
              <a:gsLst>
                <a:gs pos="0">
                  <a:srgbClr val="1a2835"/>
                </a:gs>
                <a:gs pos="80000">
                  <a:srgbClr val="223545"/>
                </a:gs>
                <a:gs pos="100000">
                  <a:srgbClr val="223546"/>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Scorecard!$Z$94:$Z$108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43362403"/>
        <c:axId val="18071710"/>
      </c:radarChart>
      <c:catAx>
        <c:axId val="43362403"/>
        <c:scaling>
          <c:orientation val="maxMin"/>
        </c:scaling>
        <c:delete val="0"/>
        <c:axPos val="b"/>
        <c:numFmt formatCode="General" sourceLinked="0"/>
        <c:majorTickMark val="none"/>
        <c:minorTickMark val="none"/>
        <c:tickLblPos val="nextTo"/>
        <c:spPr>
          <a:ln w="12600">
            <a:noFill/>
          </a:ln>
        </c:spPr>
        <c:txPr>
          <a:bodyPr/>
          <a:lstStyle/>
          <a:p>
            <a:pPr>
              <a:defRPr b="0" sz="900" strike="noStrike" u="none">
                <a:solidFill>
                  <a:srgbClr val="727c7c"/>
                </a:solidFill>
                <a:uFillTx/>
                <a:latin typeface="Open Sans"/>
              </a:defRPr>
            </a:pPr>
          </a:p>
        </c:txPr>
        <c:crossAx val="18071710"/>
        <c:crosses val="autoZero"/>
        <c:auto val="1"/>
        <c:lblAlgn val="ctr"/>
        <c:lblOffset val="100"/>
        <c:noMultiLvlLbl val="0"/>
      </c:catAx>
      <c:valAx>
        <c:axId val="18071710"/>
        <c:scaling>
          <c:orientation val="minMax"/>
          <c:max val="3"/>
        </c:scaling>
        <c:delete val="0"/>
        <c:axPos val="l"/>
        <c:majorGridlines>
          <c:spPr>
            <a:ln w="9360">
              <a:solidFill>
                <a:srgbClr val="dee1e1"/>
              </a:solidFill>
              <a:round/>
            </a:ln>
          </c:spPr>
        </c:majorGridlines>
        <c:numFmt formatCode="0.00" sourceLinked="0"/>
        <c:majorTickMark val="none"/>
        <c:minorTickMark val="none"/>
        <c:tickLblPos val="nextTo"/>
        <c:spPr>
          <a:ln w="9360">
            <a:noFill/>
          </a:ln>
        </c:spPr>
        <c:txPr>
          <a:bodyPr/>
          <a:lstStyle/>
          <a:p>
            <a:pPr>
              <a:defRPr b="0" sz="900" strike="noStrike" u="none">
                <a:solidFill>
                  <a:srgbClr val="727c7c"/>
                </a:solidFill>
                <a:uFillTx/>
                <a:latin typeface="Open Sans"/>
              </a:defRPr>
            </a:pPr>
          </a:p>
        </c:txPr>
        <c:crossAx val="43362403"/>
        <c:crosses val="autoZero"/>
        <c:crossBetween val="midCat"/>
      </c:valAx>
      <c:spPr>
        <a:solidFill>
          <a:srgbClr val="f9f6f6"/>
        </a:solidFill>
        <a:ln w="0">
          <a:noFill/>
        </a:ln>
      </c:spPr>
    </c:plotArea>
    <c:plotVisOnly val="1"/>
    <c:dispBlanksAs val="gap"/>
  </c:chart>
  <c:spPr>
    <a:solidFill>
      <a:srgbClr val="f9f6f6"/>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n-US" sz="1600" strike="noStrike" u="none">
                <a:solidFill>
                  <a:srgbClr val="727c7c"/>
                </a:solidFill>
                <a:uFillTx/>
                <a:latin typeface="Open Sans"/>
              </a:rPr>
              <a:t>Phase III Score</a:t>
            </a:r>
          </a:p>
        </c:rich>
      </c:tx>
      <c:layout>
        <c:manualLayout>
          <c:xMode val="edge"/>
          <c:yMode val="edge"/>
          <c:x val="0.767211648997318"/>
          <c:y val="0.910522548317824"/>
        </c:manualLayout>
      </c:layout>
      <c:overlay val="0"/>
      <c:spPr>
        <a:noFill/>
        <a:ln w="0">
          <a:noFill/>
        </a:ln>
      </c:spPr>
    </c:title>
    <c:autoTitleDeleted val="0"/>
    <c:plotArea>
      <c:radarChart>
        <c:radarStyle val="filled"/>
        <c:varyColors val="0"/>
        <c:ser>
          <c:idx val="0"/>
          <c:order val="0"/>
          <c:tx>
            <c:strRef>
              <c:f>Scorecard!$V$72</c:f>
              <c:strCache>
                <c:ptCount val="1"/>
                <c:pt idx="0">
                  <c:v>Governance</c:v>
                </c:pt>
              </c:strCache>
            </c:strRef>
          </c:tx>
          <c:spPr>
            <a:gradFill>
              <a:gsLst>
                <a:gs pos="0">
                  <a:srgbClr val="5c3040"/>
                </a:gs>
                <a:gs pos="80000">
                  <a:srgbClr val="783e53"/>
                </a:gs>
                <a:gs pos="100000">
                  <a:srgbClr val="793e53"/>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Scorecard!$V$73:$V$87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
          <c:order val="1"/>
          <c:tx>
            <c:strRef>
              <c:f>Scorecard!$W$72</c:f>
              <c:strCache>
                <c:ptCount val="1"/>
                <c:pt idx="0">
                  <c:v>Design</c:v>
                </c:pt>
              </c:strCache>
            </c:strRef>
          </c:tx>
          <c:spPr>
            <a:solidFill>
              <a:srgbClr val="b75727"/>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Scorecard!$W$73:$W$87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
          <c:order val="2"/>
          <c:tx>
            <c:strRef>
              <c:f>Scorecard!$X$72</c:f>
              <c:strCache>
                <c:ptCount val="1"/>
                <c:pt idx="0">
                  <c:v>Implementation</c:v>
                </c:pt>
              </c:strCache>
            </c:strRef>
          </c:tx>
          <c:spPr>
            <a:solidFill>
              <a:srgbClr val="bdbf17"/>
            </a:solidFill>
            <a:ln w="2556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Scorecard!$X$73:$X$87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3"/>
          <c:order val="3"/>
          <c:tx>
            <c:strRef>
              <c:f>Scorecard!$Y$72</c:f>
              <c:strCache>
                <c:ptCount val="1"/>
                <c:pt idx="0">
                  <c:v>Verification</c:v>
                </c:pt>
              </c:strCache>
            </c:strRef>
          </c:tx>
          <c:spPr>
            <a:solidFill>
              <a:srgbClr val="37793e"/>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Scorecard!$Y$73:$Y$87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4"/>
          <c:order val="4"/>
          <c:tx>
            <c:strRef>
              <c:f>Scorecard!$Z$72</c:f>
              <c:strCache>
                <c:ptCount val="1"/>
                <c:pt idx="0">
                  <c:v>Operations</c:v>
                </c:pt>
              </c:strCache>
            </c:strRef>
          </c:tx>
          <c:spPr>
            <a:gradFill>
              <a:gsLst>
                <a:gs pos="0">
                  <a:srgbClr val="1a2835"/>
                </a:gs>
                <a:gs pos="80000">
                  <a:srgbClr val="223545"/>
                </a:gs>
                <a:gs pos="100000">
                  <a:srgbClr val="223546"/>
                </a:gs>
              </a:gsLst>
              <a:lin ang="16200000"/>
            </a:gra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Scorecard!$Z$73:$Z$87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16209724"/>
        <c:axId val="22503776"/>
      </c:radarChart>
      <c:catAx>
        <c:axId val="16209724"/>
        <c:scaling>
          <c:orientation val="maxMin"/>
        </c:scaling>
        <c:delete val="0"/>
        <c:axPos val="b"/>
        <c:numFmt formatCode="General" sourceLinked="0"/>
        <c:majorTickMark val="none"/>
        <c:minorTickMark val="none"/>
        <c:tickLblPos val="nextTo"/>
        <c:spPr>
          <a:ln w="12600">
            <a:noFill/>
          </a:ln>
        </c:spPr>
        <c:txPr>
          <a:bodyPr/>
          <a:lstStyle/>
          <a:p>
            <a:pPr>
              <a:defRPr b="0" sz="900" strike="noStrike" u="none">
                <a:solidFill>
                  <a:srgbClr val="727c7c"/>
                </a:solidFill>
                <a:uFillTx/>
                <a:latin typeface="Open Sans"/>
              </a:defRPr>
            </a:pPr>
          </a:p>
        </c:txPr>
        <c:crossAx val="22503776"/>
        <c:crosses val="autoZero"/>
        <c:auto val="1"/>
        <c:lblAlgn val="ctr"/>
        <c:lblOffset val="100"/>
        <c:noMultiLvlLbl val="0"/>
      </c:catAx>
      <c:valAx>
        <c:axId val="22503776"/>
        <c:scaling>
          <c:orientation val="minMax"/>
          <c:max val="3"/>
        </c:scaling>
        <c:delete val="0"/>
        <c:axPos val="l"/>
        <c:majorGridlines>
          <c:spPr>
            <a:ln w="9360">
              <a:solidFill>
                <a:srgbClr val="dee1e1"/>
              </a:solidFill>
              <a:round/>
            </a:ln>
          </c:spPr>
        </c:majorGridlines>
        <c:numFmt formatCode="0.00" sourceLinked="0"/>
        <c:majorTickMark val="none"/>
        <c:minorTickMark val="none"/>
        <c:tickLblPos val="nextTo"/>
        <c:spPr>
          <a:ln w="9360">
            <a:noFill/>
          </a:ln>
        </c:spPr>
        <c:txPr>
          <a:bodyPr/>
          <a:lstStyle/>
          <a:p>
            <a:pPr>
              <a:defRPr b="0" sz="900" strike="noStrike" u="none">
                <a:solidFill>
                  <a:srgbClr val="727c7c"/>
                </a:solidFill>
                <a:uFillTx/>
                <a:latin typeface="Open Sans"/>
              </a:defRPr>
            </a:pPr>
          </a:p>
        </c:txPr>
        <c:crossAx val="16209724"/>
        <c:crosses val="autoZero"/>
        <c:crossBetween val="midCat"/>
      </c:valAx>
      <c:spPr>
        <a:solidFill>
          <a:srgbClr val="f9f6f6"/>
        </a:solidFill>
        <a:ln w="0">
          <a:noFill/>
        </a:ln>
      </c:spPr>
    </c:plotArea>
    <c:plotVisOnly val="1"/>
    <c:dispBlanksAs val="gap"/>
  </c:chart>
  <c:spPr>
    <a:solidFill>
      <a:srgbClr val="f9f6f6"/>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261954775732114"/>
          <c:y val="0.00797154381173183"/>
          <c:w val="0.949338934881997"/>
          <c:h val="0.984565058595611"/>
        </c:manualLayout>
      </c:layout>
      <c:areaChart>
        <c:grouping val="stacked"/>
        <c:ser>
          <c:idx val="0"/>
          <c:order val="0"/>
          <c:spPr>
            <a:noFill/>
            <a:ln w="2556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Chart'!$Y$4:$AA$4</c:f>
              <c:numCache>
                <c:formatCode>General</c:formatCode>
                <c:ptCount val="3"/>
              </c:numCache>
            </c:numRef>
          </c:val>
        </c:ser>
        <c:axId val="532736"/>
        <c:axId val="93009856"/>
      </c:areaChart>
      <c:catAx>
        <c:axId val="532736"/>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93009856"/>
        <c:crosses val="autoZero"/>
        <c:auto val="1"/>
        <c:lblAlgn val="ctr"/>
        <c:lblOffset val="100"/>
        <c:noMultiLvlLbl val="0"/>
      </c:catAx>
      <c:valAx>
        <c:axId val="93009856"/>
        <c:scaling>
          <c:orientation val="minMax"/>
        </c:scaling>
        <c:delete val="0"/>
        <c:axPos val="l"/>
        <c:majorGridlines>
          <c:spPr>
            <a:ln w="9360">
              <a:solidFill>
                <a:srgbClr val="8a8b8b"/>
              </a:solidFill>
              <a:round/>
            </a:ln>
          </c:spPr>
        </c:majorGridlines>
        <c:numFmt formatCode="General"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532736"/>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4727474287122"/>
          <c:y val="0.160288270377734"/>
          <c:w val="0.920428650612798"/>
          <c:h val="0.640904572564612"/>
        </c:manualLayout>
      </c:layout>
      <c:areaChart>
        <c:grouping val="standard"/>
        <c:ser>
          <c:idx val="0"/>
          <c:order val="0"/>
          <c:spPr>
            <a:solidFill>
              <a:srgbClr val="435b7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Chart'!$B$12:$J$12</c:f>
              <c:numCache>
                <c:formatCode>0.00</c:formatCode>
                <c:ptCount val="9"/>
                <c:pt idx="0">
                  <c:v>0</c:v>
                </c:pt>
                <c:pt idx="1">
                  <c:v>0</c:v>
                </c:pt>
                <c:pt idx="2">
                  <c:v>0</c:v>
                </c:pt>
                <c:pt idx="3">
                  <c:v>0</c:v>
                </c:pt>
                <c:pt idx="4">
                  <c:v>0</c:v>
                </c:pt>
                <c:pt idx="5">
                  <c:v>0</c:v>
                </c:pt>
                <c:pt idx="6">
                  <c:v>0</c:v>
                </c:pt>
                <c:pt idx="7">
                  <c:v>0</c:v>
                </c:pt>
                <c:pt idx="8">
                  <c:v>0</c:v>
                </c:pt>
              </c:numCache>
            </c:numRef>
          </c:val>
        </c:ser>
        <c:axId val="63444868"/>
        <c:axId val="61048201"/>
      </c:areaChart>
      <c:catAx>
        <c:axId val="63444868"/>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61048201"/>
        <c:crosses val="autoZero"/>
        <c:auto val="1"/>
        <c:lblAlgn val="ctr"/>
        <c:lblOffset val="100"/>
        <c:noMultiLvlLbl val="0"/>
      </c:catAx>
      <c:valAx>
        <c:axId val="61048201"/>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63444868"/>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495719652645"/>
          <c:y val="0.15807560137457"/>
          <c:w val="0.920551826076246"/>
          <c:h val="0.645311732940599"/>
        </c:manualLayout>
      </c:layout>
      <c:areaChart>
        <c:grouping val="standard"/>
        <c:ser>
          <c:idx val="0"/>
          <c:order val="0"/>
          <c:spPr>
            <a:solidFill>
              <a:srgbClr val="435b7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Chart'!$B$13:$J$13</c:f>
              <c:numCache>
                <c:formatCode>0.00</c:formatCode>
                <c:ptCount val="9"/>
                <c:pt idx="0">
                  <c:v>0</c:v>
                </c:pt>
                <c:pt idx="1">
                  <c:v>0</c:v>
                </c:pt>
                <c:pt idx="2">
                  <c:v>0</c:v>
                </c:pt>
                <c:pt idx="3">
                  <c:v>0</c:v>
                </c:pt>
                <c:pt idx="4">
                  <c:v>0</c:v>
                </c:pt>
                <c:pt idx="5">
                  <c:v>0</c:v>
                </c:pt>
                <c:pt idx="6">
                  <c:v>0</c:v>
                </c:pt>
                <c:pt idx="7">
                  <c:v>0</c:v>
                </c:pt>
                <c:pt idx="8">
                  <c:v>0</c:v>
                </c:pt>
              </c:numCache>
            </c:numRef>
          </c:val>
        </c:ser>
        <c:axId val="57268334"/>
        <c:axId val="28463310"/>
      </c:areaChart>
      <c:catAx>
        <c:axId val="57268334"/>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28463310"/>
        <c:crosses val="autoZero"/>
        <c:auto val="1"/>
        <c:lblAlgn val="ctr"/>
        <c:lblOffset val="100"/>
        <c:noMultiLvlLbl val="0"/>
      </c:catAx>
      <c:valAx>
        <c:axId val="28463310"/>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57268334"/>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2815444300757"/>
          <c:y val="0.157257087472741"/>
          <c:w val="0.920684771229756"/>
          <c:h val="0.647685970438575"/>
        </c:manualLayout>
      </c:layout>
      <c:areaChart>
        <c:grouping val="standard"/>
        <c:ser>
          <c:idx val="0"/>
          <c:order val="0"/>
          <c:spPr>
            <a:solidFill>
              <a:srgbClr val="435b7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Chart'!$B$14:$J$14</c:f>
              <c:numCache>
                <c:formatCode>0.00</c:formatCode>
                <c:ptCount val="9"/>
                <c:pt idx="0">
                  <c:v>0</c:v>
                </c:pt>
                <c:pt idx="1">
                  <c:v>0</c:v>
                </c:pt>
                <c:pt idx="2">
                  <c:v>0</c:v>
                </c:pt>
                <c:pt idx="3">
                  <c:v>0</c:v>
                </c:pt>
                <c:pt idx="4">
                  <c:v>0</c:v>
                </c:pt>
                <c:pt idx="5">
                  <c:v>0</c:v>
                </c:pt>
                <c:pt idx="6">
                  <c:v>0</c:v>
                </c:pt>
                <c:pt idx="7">
                  <c:v>0</c:v>
                </c:pt>
                <c:pt idx="8">
                  <c:v>0</c:v>
                </c:pt>
              </c:numCache>
            </c:numRef>
          </c:val>
        </c:ser>
        <c:axId val="5805271"/>
        <c:axId val="7783336"/>
      </c:areaChart>
      <c:catAx>
        <c:axId val="5805271"/>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7783336"/>
        <c:crosses val="autoZero"/>
        <c:auto val="1"/>
        <c:lblAlgn val="ctr"/>
        <c:lblOffset val="100"/>
        <c:noMultiLvlLbl val="0"/>
      </c:catAx>
      <c:valAx>
        <c:axId val="7783336"/>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5805271"/>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466284869758"/>
          <c:y val="0.158187984496124"/>
          <c:w val="0.920438450643513"/>
          <c:h val="0.645348837209302"/>
        </c:manualLayout>
      </c:layout>
      <c:areaChart>
        <c:grouping val="standard"/>
        <c:ser>
          <c:idx val="0"/>
          <c:order val="0"/>
          <c:spPr>
            <a:solidFill>
              <a:srgbClr val="ad4b0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Chart'!$B$15:$J$15</c:f>
              <c:numCache>
                <c:formatCode>0.00</c:formatCode>
                <c:ptCount val="9"/>
                <c:pt idx="0">
                  <c:v>0</c:v>
                </c:pt>
                <c:pt idx="1">
                  <c:v>0</c:v>
                </c:pt>
                <c:pt idx="2">
                  <c:v>0</c:v>
                </c:pt>
                <c:pt idx="3">
                  <c:v>0</c:v>
                </c:pt>
                <c:pt idx="4">
                  <c:v>0</c:v>
                </c:pt>
                <c:pt idx="5">
                  <c:v>0</c:v>
                </c:pt>
                <c:pt idx="6">
                  <c:v>0</c:v>
                </c:pt>
                <c:pt idx="7">
                  <c:v>0</c:v>
                </c:pt>
                <c:pt idx="8">
                  <c:v>0</c:v>
                </c:pt>
              </c:numCache>
            </c:numRef>
          </c:val>
        </c:ser>
        <c:axId val="28825470"/>
        <c:axId val="15464458"/>
      </c:areaChart>
      <c:catAx>
        <c:axId val="28825470"/>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15464458"/>
        <c:crosses val="autoZero"/>
        <c:auto val="1"/>
        <c:lblAlgn val="ctr"/>
        <c:lblOffset val="100"/>
        <c:noMultiLvlLbl val="0"/>
      </c:catAx>
      <c:valAx>
        <c:axId val="15464458"/>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28825470"/>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4695159502402"/>
          <c:y val="0.158133971291866"/>
          <c:w val="0.920433550929918"/>
          <c:h val="0.645454545454546"/>
        </c:manualLayout>
      </c:layout>
      <c:areaChart>
        <c:grouping val="standard"/>
        <c:ser>
          <c:idx val="0"/>
          <c:order val="0"/>
          <c:spPr>
            <a:solidFill>
              <a:srgbClr val="ad4b0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Chart'!$B$16:$J$16</c:f>
              <c:numCache>
                <c:formatCode>0.00</c:formatCode>
                <c:ptCount val="9"/>
                <c:pt idx="0">
                  <c:v>0</c:v>
                </c:pt>
                <c:pt idx="1">
                  <c:v>0</c:v>
                </c:pt>
                <c:pt idx="2">
                  <c:v>0</c:v>
                </c:pt>
                <c:pt idx="3">
                  <c:v>0</c:v>
                </c:pt>
                <c:pt idx="4">
                  <c:v>0</c:v>
                </c:pt>
                <c:pt idx="5">
                  <c:v>0</c:v>
                </c:pt>
                <c:pt idx="6">
                  <c:v>0</c:v>
                </c:pt>
                <c:pt idx="7">
                  <c:v>0</c:v>
                </c:pt>
                <c:pt idx="8">
                  <c:v>0</c:v>
                </c:pt>
              </c:numCache>
            </c:numRef>
          </c:val>
        </c:ser>
        <c:axId val="39943320"/>
        <c:axId val="48532984"/>
      </c:areaChart>
      <c:catAx>
        <c:axId val="39943320"/>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48532984"/>
        <c:crosses val="autoZero"/>
        <c:auto val="1"/>
        <c:lblAlgn val="ctr"/>
        <c:lblOffset val="100"/>
        <c:noMultiLvlLbl val="0"/>
      </c:catAx>
      <c:valAx>
        <c:axId val="48532984"/>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39943320"/>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431245766365"/>
          <c:y val="0.15711908723556"/>
          <c:w val="0.920561610936634"/>
          <c:h val="0.647729973853102"/>
        </c:manualLayout>
      </c:layout>
      <c:areaChart>
        <c:grouping val="standard"/>
        <c:ser>
          <c:idx val="0"/>
          <c:order val="0"/>
          <c:spPr>
            <a:solidFill>
              <a:srgbClr val="ad4b0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Chart'!$B$17:$J$17</c:f>
              <c:numCache>
                <c:formatCode>0.00</c:formatCode>
                <c:ptCount val="9"/>
                <c:pt idx="0">
                  <c:v>0</c:v>
                </c:pt>
                <c:pt idx="1">
                  <c:v>0</c:v>
                </c:pt>
                <c:pt idx="2">
                  <c:v>0</c:v>
                </c:pt>
                <c:pt idx="3">
                  <c:v>0</c:v>
                </c:pt>
                <c:pt idx="4">
                  <c:v>0</c:v>
                </c:pt>
                <c:pt idx="5">
                  <c:v>0</c:v>
                </c:pt>
                <c:pt idx="6">
                  <c:v>0</c:v>
                </c:pt>
                <c:pt idx="7">
                  <c:v>0</c:v>
                </c:pt>
                <c:pt idx="8">
                  <c:v>0</c:v>
                </c:pt>
              </c:numCache>
            </c:numRef>
          </c:val>
        </c:ser>
        <c:axId val="49779704"/>
        <c:axId val="80201351"/>
      </c:areaChart>
      <c:catAx>
        <c:axId val="49779704"/>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80201351"/>
        <c:crosses val="autoZero"/>
        <c:auto val="1"/>
        <c:lblAlgn val="ctr"/>
        <c:lblOffset val="100"/>
        <c:noMultiLvlLbl val="0"/>
      </c:catAx>
      <c:valAx>
        <c:axId val="80201351"/>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49779704"/>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4727474287122"/>
          <c:y val="0.156117146905999"/>
          <c:w val="0.920428650612798"/>
          <c:h val="0.649740198393954"/>
        </c:manualLayout>
      </c:layout>
      <c:areaChart>
        <c:grouping val="standard"/>
        <c:ser>
          <c:idx val="0"/>
          <c:order val="0"/>
          <c:spPr>
            <a:solidFill>
              <a:srgbClr val="754858"/>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Chart'!$B$21:$J$21</c:f>
              <c:numCache>
                <c:formatCode>0.00</c:formatCode>
                <c:ptCount val="9"/>
                <c:pt idx="0">
                  <c:v>0</c:v>
                </c:pt>
                <c:pt idx="1">
                  <c:v>0</c:v>
                </c:pt>
                <c:pt idx="2">
                  <c:v>0</c:v>
                </c:pt>
                <c:pt idx="3">
                  <c:v>0</c:v>
                </c:pt>
                <c:pt idx="4">
                  <c:v>0</c:v>
                </c:pt>
                <c:pt idx="5">
                  <c:v>0</c:v>
                </c:pt>
                <c:pt idx="6">
                  <c:v>0</c:v>
                </c:pt>
                <c:pt idx="7">
                  <c:v>0</c:v>
                </c:pt>
                <c:pt idx="8">
                  <c:v>0</c:v>
                </c:pt>
              </c:numCache>
            </c:numRef>
          </c:val>
        </c:ser>
        <c:axId val="49558162"/>
        <c:axId val="42504095"/>
      </c:areaChart>
      <c:catAx>
        <c:axId val="49558162"/>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42504095"/>
        <c:crosses val="autoZero"/>
        <c:auto val="1"/>
        <c:lblAlgn val="ctr"/>
        <c:lblOffset val="100"/>
        <c:noMultiLvlLbl val="0"/>
      </c:catAx>
      <c:valAx>
        <c:axId val="42504095"/>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49558162"/>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495719652645"/>
          <c:y val="0.155200751350082"/>
          <c:w val="0.920551826076246"/>
          <c:h val="0.65203099319089"/>
        </c:manualLayout>
      </c:layout>
      <c:areaChart>
        <c:grouping val="standard"/>
        <c:ser>
          <c:idx val="0"/>
          <c:order val="0"/>
          <c:spPr>
            <a:solidFill>
              <a:srgbClr val="754858"/>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Chart'!$B$22:$J$22</c:f>
              <c:numCache>
                <c:formatCode>0.00</c:formatCode>
                <c:ptCount val="9"/>
                <c:pt idx="0">
                  <c:v>0</c:v>
                </c:pt>
                <c:pt idx="1">
                  <c:v>0</c:v>
                </c:pt>
                <c:pt idx="2">
                  <c:v>0</c:v>
                </c:pt>
                <c:pt idx="3">
                  <c:v>0</c:v>
                </c:pt>
                <c:pt idx="4">
                  <c:v>0</c:v>
                </c:pt>
                <c:pt idx="5">
                  <c:v>0</c:v>
                </c:pt>
                <c:pt idx="6">
                  <c:v>0</c:v>
                </c:pt>
                <c:pt idx="7">
                  <c:v>0</c:v>
                </c:pt>
                <c:pt idx="8">
                  <c:v>0</c:v>
                </c:pt>
              </c:numCache>
            </c:numRef>
          </c:val>
        </c:ser>
        <c:axId val="21113554"/>
        <c:axId val="32510314"/>
      </c:areaChart>
      <c:catAx>
        <c:axId val="21113554"/>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32510314"/>
        <c:crosses val="autoZero"/>
        <c:auto val="1"/>
        <c:lblAlgn val="ctr"/>
        <c:lblOffset val="100"/>
        <c:noMultiLvlLbl val="0"/>
      </c:catAx>
      <c:valAx>
        <c:axId val="32510314"/>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21113554"/>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534335160436"/>
          <c:y val="0.155200751350082"/>
          <c:w val="0.92030547514935"/>
          <c:h val="0.65203099319089"/>
        </c:manualLayout>
      </c:layout>
      <c:areaChart>
        <c:grouping val="standard"/>
        <c:ser>
          <c:idx val="0"/>
          <c:order val="0"/>
          <c:spPr>
            <a:solidFill>
              <a:srgbClr val="754858"/>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Chart'!$B$23:$J$23</c:f>
              <c:numCache>
                <c:formatCode>0.00</c:formatCode>
                <c:ptCount val="9"/>
                <c:pt idx="0">
                  <c:v>0</c:v>
                </c:pt>
                <c:pt idx="1">
                  <c:v>0</c:v>
                </c:pt>
                <c:pt idx="2">
                  <c:v>0</c:v>
                </c:pt>
                <c:pt idx="3">
                  <c:v>0</c:v>
                </c:pt>
                <c:pt idx="4">
                  <c:v>0</c:v>
                </c:pt>
                <c:pt idx="5">
                  <c:v>0</c:v>
                </c:pt>
                <c:pt idx="6">
                  <c:v>0</c:v>
                </c:pt>
                <c:pt idx="7">
                  <c:v>0</c:v>
                </c:pt>
                <c:pt idx="8">
                  <c:v>0</c:v>
                </c:pt>
              </c:numCache>
            </c:numRef>
          </c:val>
        </c:ser>
        <c:axId val="65243289"/>
        <c:axId val="79638661"/>
      </c:areaChart>
      <c:catAx>
        <c:axId val="65243289"/>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79638661"/>
        <c:crosses val="autoZero"/>
        <c:auto val="1"/>
        <c:lblAlgn val="ctr"/>
        <c:lblOffset val="100"/>
        <c:noMultiLvlLbl val="0"/>
      </c:catAx>
      <c:valAx>
        <c:axId val="79638661"/>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65243289"/>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4727474287122"/>
          <c:y val="0.154280338664158"/>
          <c:w val="0.920428650612798"/>
          <c:h val="0.654280338664158"/>
        </c:manualLayout>
      </c:layout>
      <c:areaChart>
        <c:grouping val="standard"/>
        <c:ser>
          <c:idx val="0"/>
          <c:order val="0"/>
          <c:spPr>
            <a:solidFill>
              <a:srgbClr val="5b5b62"/>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Chart'!$B$24:$J$24</c:f>
              <c:numCache>
                <c:formatCode>0.00</c:formatCode>
                <c:ptCount val="9"/>
                <c:pt idx="0">
                  <c:v>0</c:v>
                </c:pt>
                <c:pt idx="1">
                  <c:v>0</c:v>
                </c:pt>
                <c:pt idx="2">
                  <c:v>0</c:v>
                </c:pt>
                <c:pt idx="3">
                  <c:v>0</c:v>
                </c:pt>
                <c:pt idx="4">
                  <c:v>0</c:v>
                </c:pt>
                <c:pt idx="5">
                  <c:v>0</c:v>
                </c:pt>
                <c:pt idx="6">
                  <c:v>0</c:v>
                </c:pt>
                <c:pt idx="7">
                  <c:v>0</c:v>
                </c:pt>
                <c:pt idx="8">
                  <c:v>0</c:v>
                </c:pt>
              </c:numCache>
            </c:numRef>
          </c:val>
        </c:ser>
        <c:axId val="96998132"/>
        <c:axId val="77550979"/>
      </c:areaChart>
      <c:catAx>
        <c:axId val="96998132"/>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77550979"/>
        <c:crosses val="autoZero"/>
        <c:auto val="1"/>
        <c:lblAlgn val="ctr"/>
        <c:lblOffset val="100"/>
        <c:noMultiLvlLbl val="0"/>
      </c:catAx>
      <c:valAx>
        <c:axId val="77550979"/>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96998132"/>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495719652645"/>
          <c:y val="0.15337853635726"/>
          <c:w val="0.920551826076246"/>
          <c:h val="0.656301145662848"/>
        </c:manualLayout>
      </c:layout>
      <c:areaChart>
        <c:grouping val="standard"/>
        <c:ser>
          <c:idx val="0"/>
          <c:order val="0"/>
          <c:spPr>
            <a:solidFill>
              <a:srgbClr val="5b5b62"/>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Chart'!$B$25:$J$25</c:f>
              <c:numCache>
                <c:formatCode>0.00</c:formatCode>
                <c:ptCount val="9"/>
                <c:pt idx="0">
                  <c:v>0</c:v>
                </c:pt>
                <c:pt idx="1">
                  <c:v>0</c:v>
                </c:pt>
                <c:pt idx="2">
                  <c:v>0</c:v>
                </c:pt>
                <c:pt idx="3">
                  <c:v>0</c:v>
                </c:pt>
                <c:pt idx="4">
                  <c:v>0</c:v>
                </c:pt>
                <c:pt idx="5">
                  <c:v>0</c:v>
                </c:pt>
                <c:pt idx="6">
                  <c:v>0</c:v>
                </c:pt>
                <c:pt idx="7">
                  <c:v>0</c:v>
                </c:pt>
                <c:pt idx="8">
                  <c:v>0</c:v>
                </c:pt>
              </c:numCache>
            </c:numRef>
          </c:val>
        </c:ser>
        <c:axId val="82747988"/>
        <c:axId val="58629886"/>
      </c:areaChart>
      <c:catAx>
        <c:axId val="82747988"/>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58629886"/>
        <c:crosses val="autoZero"/>
        <c:auto val="1"/>
        <c:lblAlgn val="ctr"/>
        <c:lblOffset val="100"/>
        <c:noMultiLvlLbl val="0"/>
      </c:catAx>
      <c:valAx>
        <c:axId val="58629886"/>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82747988"/>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495719652645"/>
          <c:y val="0.153308480894688"/>
          <c:w val="0.920551826076246"/>
          <c:h val="0.656337371854613"/>
        </c:manualLayout>
      </c:layout>
      <c:areaChart>
        <c:grouping val="standard"/>
        <c:ser>
          <c:idx val="0"/>
          <c:order val="0"/>
          <c:spPr>
            <a:solidFill>
              <a:srgbClr val="5b5b62"/>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Chart'!$B$26:$J$26</c:f>
              <c:numCache>
                <c:formatCode>0.00</c:formatCode>
                <c:ptCount val="9"/>
                <c:pt idx="0">
                  <c:v>0</c:v>
                </c:pt>
                <c:pt idx="1">
                  <c:v>0</c:v>
                </c:pt>
                <c:pt idx="2">
                  <c:v>0</c:v>
                </c:pt>
                <c:pt idx="3">
                  <c:v>0</c:v>
                </c:pt>
                <c:pt idx="4">
                  <c:v>0</c:v>
                </c:pt>
                <c:pt idx="5">
                  <c:v>0</c:v>
                </c:pt>
                <c:pt idx="6">
                  <c:v>0</c:v>
                </c:pt>
                <c:pt idx="7">
                  <c:v>0</c:v>
                </c:pt>
                <c:pt idx="8">
                  <c:v>0</c:v>
                </c:pt>
              </c:numCache>
            </c:numRef>
          </c:val>
        </c:ser>
        <c:axId val="90564176"/>
        <c:axId val="38926884"/>
      </c:areaChart>
      <c:catAx>
        <c:axId val="90564176"/>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38926884"/>
        <c:crosses val="autoZero"/>
        <c:auto val="1"/>
        <c:lblAlgn val="ctr"/>
        <c:lblOffset val="100"/>
        <c:noMultiLvlLbl val="0"/>
      </c:catAx>
      <c:valAx>
        <c:axId val="38926884"/>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90564176"/>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radarChart>
        <c:radarStyle val="filled"/>
        <c:varyColors val="0"/>
        <c:ser>
          <c:idx val="0"/>
          <c:order val="0"/>
          <c:tx>
            <c:strRef>
              <c:f>'Roadmap Chart'!$AA$11</c:f>
              <c:strCache>
                <c:ptCount val="1"/>
                <c:pt idx="0">
                  <c:v>Phase 4</c:v>
                </c:pt>
              </c:strCache>
            </c:strRef>
          </c:tx>
          <c:spPr>
            <a:solidFill>
              <a:srgbClr val="ad4b00"/>
            </a:solidFill>
            <a:ln w="0">
              <a:solidFill>
                <a:srgbClr val="ad4b00"/>
              </a:solid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ad4b00"/>
                  </a:solidFill>
                </a:ln>
              </c:spPr>
            </c:leaderLines>
            <c:extLst>
              <c:ext xmlns:c15="http://schemas.microsoft.com/office/drawing/2012/chart" uri="{CE6537A1-D6FC-4f65-9D91-7224C49458BB}">
                <c15:showLeaderLines val="1"/>
              </c:ext>
            </c:extLst>
          </c:dLbls>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Chart'!$AA$12:$AA$26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
          <c:order val="1"/>
          <c:tx>
            <c:strRef>
              <c:f>'Roadmap Chart'!$AB$11</c:f>
              <c:strCache>
                <c:ptCount val="1"/>
                <c:pt idx="0">
                  <c:v>Phase 3</c:v>
                </c:pt>
              </c:strCache>
            </c:strRef>
          </c:tx>
          <c:spPr>
            <a:solidFill>
              <a:srgbClr val="00b0f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Chart'!$AB$12:$AB$26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2"/>
          <c:order val="2"/>
          <c:tx>
            <c:strRef>
              <c:f>'Roadmap Chart'!$AC$11</c:f>
              <c:strCache>
                <c:ptCount val="1"/>
                <c:pt idx="0">
                  <c:v>Phase 2</c:v>
                </c:pt>
              </c:strCache>
            </c:strRef>
          </c:tx>
          <c:spPr>
            <a:solidFill>
              <a:srgbClr val="ffc000"/>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Chart'!$AC$12:$AC$26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3"/>
          <c:order val="3"/>
          <c:tx>
            <c:strRef>
              <c:f>'Roadmap Chart'!$AD$11</c:f>
              <c:strCache>
                <c:ptCount val="1"/>
                <c:pt idx="0">
                  <c:v>Phase 1</c:v>
                </c:pt>
              </c:strCache>
            </c:strRef>
          </c:tx>
          <c:spPr>
            <a:solidFill>
              <a:srgbClr val="435b70"/>
            </a:solidFill>
            <a:ln w="0">
              <a:solidFill>
                <a:srgbClr val="435b70"/>
              </a:solid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435b70"/>
                  </a:solidFill>
                </a:ln>
              </c:spPr>
            </c:leaderLines>
            <c:extLst>
              <c:ext xmlns:c15="http://schemas.microsoft.com/office/drawing/2012/chart" uri="{CE6537A1-D6FC-4f65-9D91-7224C49458BB}">
                <c15:showLeaderLines val="1"/>
              </c:ext>
            </c:extLst>
          </c:dLbls>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Chart'!$AD$12:$AD$26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4"/>
          <c:order val="4"/>
          <c:tx>
            <c:strRef>
              <c:f>'Roadmap Chart'!$AE$11</c:f>
              <c:strCache>
                <c:ptCount val="1"/>
                <c:pt idx="0">
                  <c:v>Start</c:v>
                </c:pt>
              </c:strCache>
            </c:strRef>
          </c:tx>
          <c:spPr>
            <a:solidFill>
              <a:srgbClr val="ddd9c3"/>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Chart'!$AE$12:$AE$26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92737735"/>
        <c:axId val="39234622"/>
      </c:radarChart>
      <c:catAx>
        <c:axId val="92737735"/>
        <c:scaling>
          <c:orientation val="maxMin"/>
        </c:scaling>
        <c:delete val="0"/>
        <c:axPos val="b"/>
        <c:majorGridlines>
          <c:spPr>
            <a:ln w="9360">
              <a:solidFill>
                <a:srgbClr val="8a8b8b"/>
              </a:solidFill>
              <a:round/>
            </a:ln>
          </c:spPr>
        </c:majorGridlines>
        <c:numFmt formatCode="General" sourceLinked="0"/>
        <c:majorTickMark val="out"/>
        <c:minorTickMark val="none"/>
        <c:tickLblPos val="nextTo"/>
        <c:spPr>
          <a:ln w="9360">
            <a:noFill/>
          </a:ln>
        </c:spPr>
        <c:txPr>
          <a:bodyPr/>
          <a:lstStyle/>
          <a:p>
            <a:pPr>
              <a:defRPr b="1" sz="1000" strike="noStrike" u="none">
                <a:solidFill>
                  <a:srgbClr val="2c3030"/>
                </a:solidFill>
                <a:uFillTx/>
                <a:latin typeface="Open Sans"/>
              </a:defRPr>
            </a:pPr>
          </a:p>
        </c:txPr>
        <c:crossAx val="39234622"/>
        <c:crosses val="autoZero"/>
        <c:auto val="1"/>
        <c:lblAlgn val="ctr"/>
        <c:lblOffset val="100"/>
        <c:noMultiLvlLbl val="0"/>
      </c:catAx>
      <c:valAx>
        <c:axId val="39234622"/>
        <c:scaling>
          <c:orientation val="minMax"/>
        </c:scaling>
        <c:delete val="0"/>
        <c:axPos val="l"/>
        <c:majorGridlines>
          <c:spPr>
            <a:ln w="9360">
              <a:solidFill>
                <a:srgbClr val="8a8b8b"/>
              </a:solidFill>
              <a:round/>
            </a:ln>
          </c:spPr>
        </c:majorGridlines>
        <c:numFmt formatCode="0.00" sourceLinked="0"/>
        <c:majorTickMark val="cross"/>
        <c:minorTickMark val="none"/>
        <c:tickLblPos val="nextTo"/>
        <c:spPr>
          <a:ln w="9360">
            <a:solidFill>
              <a:srgbClr val="8a8b8b"/>
            </a:solidFill>
            <a:round/>
          </a:ln>
        </c:spPr>
        <c:txPr>
          <a:bodyPr/>
          <a:lstStyle/>
          <a:p>
            <a:pPr>
              <a:defRPr b="0" sz="1100" strike="noStrike" u="none">
                <a:solidFill>
                  <a:srgbClr val="2c3030"/>
                </a:solidFill>
                <a:uFillTx/>
                <a:latin typeface="Open Sans"/>
              </a:defRPr>
            </a:pPr>
          </a:p>
        </c:txPr>
        <c:crossAx val="92737735"/>
        <c:crosses val="autoZero"/>
        <c:crossBetween val="midCat"/>
        <c:majorUnit val="1"/>
      </c:valAx>
      <c:spPr>
        <a:solidFill>
          <a:srgbClr val="f9f6f6"/>
        </a:solidFill>
        <a:ln w="0">
          <a:noFill/>
        </a:ln>
      </c:spPr>
    </c:plotArea>
    <c:legend>
      <c:legendPos val="r"/>
      <c:overlay val="0"/>
      <c:spPr>
        <a:noFill/>
        <a:ln w="0">
          <a:noFill/>
        </a:ln>
      </c:spPr>
      <c:txPr>
        <a:bodyPr/>
        <a:lstStyle/>
        <a:p>
          <a:pPr>
            <a:defRPr b="0" sz="1000" strike="noStrike" u="none">
              <a:solidFill>
                <a:srgbClr val="2c3030"/>
              </a:solidFill>
              <a:uFillTx/>
              <a:latin typeface="Open Sans"/>
            </a:defRPr>
          </a:pPr>
        </a:p>
      </c:txPr>
    </c:legend>
    <c:plotVisOnly val="1"/>
    <c:dispBlanksAs val="gap"/>
  </c:chart>
  <c:spPr>
    <a:solidFill>
      <a:srgbClr val="f9f6f6"/>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399014778325"/>
          <c:y val="0.15708174904943"/>
          <c:w val="0.920566502463054"/>
          <c:h val="0.647576045627377"/>
        </c:manualLayout>
      </c:layout>
      <c:areaChart>
        <c:grouping val="standard"/>
        <c:ser>
          <c:idx val="0"/>
          <c:order val="0"/>
          <c:spPr>
            <a:solidFill>
              <a:srgbClr val="3a5f26"/>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Chart'!$B$18:$J$18</c:f>
              <c:numCache>
                <c:formatCode>0.00</c:formatCode>
                <c:ptCount val="9"/>
                <c:pt idx="0">
                  <c:v>0</c:v>
                </c:pt>
                <c:pt idx="1">
                  <c:v>0</c:v>
                </c:pt>
                <c:pt idx="2">
                  <c:v>0</c:v>
                </c:pt>
                <c:pt idx="3">
                  <c:v>0</c:v>
                </c:pt>
                <c:pt idx="4">
                  <c:v>0</c:v>
                </c:pt>
                <c:pt idx="5">
                  <c:v>0</c:v>
                </c:pt>
                <c:pt idx="6">
                  <c:v>0</c:v>
                </c:pt>
                <c:pt idx="7">
                  <c:v>0</c:v>
                </c:pt>
                <c:pt idx="8">
                  <c:v>0</c:v>
                </c:pt>
              </c:numCache>
            </c:numRef>
          </c:val>
        </c:ser>
        <c:axId val="55226927"/>
        <c:axId val="58834807"/>
      </c:areaChart>
      <c:catAx>
        <c:axId val="55226927"/>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58834807"/>
        <c:crosses val="autoZero"/>
        <c:auto val="1"/>
        <c:lblAlgn val="ctr"/>
        <c:lblOffset val="100"/>
        <c:noMultiLvlLbl val="0"/>
      </c:catAx>
      <c:valAx>
        <c:axId val="58834807"/>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55226927"/>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495719652645"/>
          <c:y val="0.15711908723556"/>
          <c:w val="0.920551826076246"/>
          <c:h val="0.647729973853102"/>
        </c:manualLayout>
      </c:layout>
      <c:areaChart>
        <c:grouping val="standard"/>
        <c:ser>
          <c:idx val="0"/>
          <c:order val="0"/>
          <c:spPr>
            <a:solidFill>
              <a:srgbClr val="3a5f26"/>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Chart'!$B$19:$J$19</c:f>
              <c:numCache>
                <c:formatCode>0.00</c:formatCode>
                <c:ptCount val="9"/>
                <c:pt idx="0">
                  <c:v>0</c:v>
                </c:pt>
                <c:pt idx="1">
                  <c:v>0</c:v>
                </c:pt>
                <c:pt idx="2">
                  <c:v>0</c:v>
                </c:pt>
                <c:pt idx="3">
                  <c:v>0</c:v>
                </c:pt>
                <c:pt idx="4">
                  <c:v>0</c:v>
                </c:pt>
                <c:pt idx="5">
                  <c:v>0</c:v>
                </c:pt>
                <c:pt idx="6">
                  <c:v>0</c:v>
                </c:pt>
                <c:pt idx="7">
                  <c:v>0</c:v>
                </c:pt>
                <c:pt idx="8">
                  <c:v>0</c:v>
                </c:pt>
              </c:numCache>
            </c:numRef>
          </c:val>
        </c:ser>
        <c:axId val="25308235"/>
        <c:axId val="44995209"/>
      </c:areaChart>
      <c:catAx>
        <c:axId val="25308235"/>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44995209"/>
        <c:crosses val="autoZero"/>
        <c:auto val="1"/>
        <c:lblAlgn val="ctr"/>
        <c:lblOffset val="100"/>
        <c:noMultiLvlLbl val="0"/>
      </c:catAx>
      <c:valAx>
        <c:axId val="44995209"/>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25308235"/>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523495719652645"/>
          <c:y val="0.15711908723556"/>
          <c:w val="0.920551826076246"/>
          <c:h val="0.647729973853102"/>
        </c:manualLayout>
      </c:layout>
      <c:areaChart>
        <c:grouping val="standard"/>
        <c:ser>
          <c:idx val="0"/>
          <c:order val="0"/>
          <c:spPr>
            <a:solidFill>
              <a:srgbClr val="3a5f26"/>
            </a:solidFill>
            <a:ln w="0">
              <a:noFill/>
            </a:ln>
          </c:spPr>
          <c:dLbls>
            <c:txPr>
              <a:bodyPr wrap="square"/>
              <a:lstStyle/>
              <a:p>
                <a:pPr>
                  <a:defRPr b="0" sz="1000" strike="noStrike" u="none">
                    <a:solidFill>
                      <a:srgbClr val="2c3030"/>
                    </a:solidFill>
                    <a:uFillTx/>
                    <a:latin typeface="Open Sans"/>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'Roadmap Chart'!$B$20:$J$20</c:f>
              <c:numCache>
                <c:formatCode>0.00</c:formatCode>
                <c:ptCount val="9"/>
                <c:pt idx="0">
                  <c:v>0</c:v>
                </c:pt>
                <c:pt idx="1">
                  <c:v>0</c:v>
                </c:pt>
                <c:pt idx="2">
                  <c:v>0</c:v>
                </c:pt>
                <c:pt idx="3">
                  <c:v>0</c:v>
                </c:pt>
                <c:pt idx="4">
                  <c:v>0</c:v>
                </c:pt>
                <c:pt idx="5">
                  <c:v>0</c:v>
                </c:pt>
                <c:pt idx="6">
                  <c:v>0</c:v>
                </c:pt>
                <c:pt idx="7">
                  <c:v>0</c:v>
                </c:pt>
                <c:pt idx="8">
                  <c:v>0</c:v>
                </c:pt>
              </c:numCache>
            </c:numRef>
          </c:val>
        </c:ser>
        <c:axId val="66847515"/>
        <c:axId val="19779674"/>
      </c:areaChart>
      <c:catAx>
        <c:axId val="66847515"/>
        <c:scaling>
          <c:orientation val="minMax"/>
        </c:scaling>
        <c:delete val="0"/>
        <c:axPos val="b"/>
        <c:numFmt formatCode="General" sourceLinked="1"/>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19779674"/>
        <c:crosses val="autoZero"/>
        <c:auto val="1"/>
        <c:lblAlgn val="ctr"/>
        <c:lblOffset val="100"/>
        <c:noMultiLvlLbl val="0"/>
      </c:catAx>
      <c:valAx>
        <c:axId val="19779674"/>
        <c:scaling>
          <c:orientation val="minMax"/>
        </c:scaling>
        <c:delete val="0"/>
        <c:axPos val="l"/>
        <c:majorGridlines>
          <c:spPr>
            <a:ln w="9360">
              <a:solidFill>
                <a:srgbClr val="8a8b8b"/>
              </a:solidFill>
              <a:round/>
            </a:ln>
          </c:spPr>
        </c:majorGridlines>
        <c:numFmt formatCode="0.00" sourceLinked="0"/>
        <c:majorTickMark val="none"/>
        <c:minorTickMark val="none"/>
        <c:tickLblPos val="nextTo"/>
        <c:spPr>
          <a:ln w="9360">
            <a:solidFill>
              <a:srgbClr val="8a8b8b"/>
            </a:solidFill>
            <a:round/>
          </a:ln>
        </c:spPr>
        <c:txPr>
          <a:bodyPr/>
          <a:lstStyle/>
          <a:p>
            <a:pPr>
              <a:defRPr b="0" sz="1000" strike="noStrike" u="none">
                <a:solidFill>
                  <a:srgbClr val="2c3030"/>
                </a:solidFill>
                <a:uFillTx/>
                <a:latin typeface="Open Sans"/>
              </a:defRPr>
            </a:pPr>
          </a:p>
        </c:txPr>
        <c:crossAx val="66847515"/>
        <c:crosses val="autoZero"/>
        <c:crossBetween val="midCat"/>
      </c:valAx>
      <c:spPr>
        <a:solidFill>
          <a:srgbClr val="f9f6f6"/>
        </a:solidFill>
        <a:ln w="0">
          <a:noFill/>
        </a:ln>
      </c:spPr>
    </c:plotArea>
    <c:plotVisOnly val="1"/>
    <c:dispBlanksAs val="zero"/>
  </c:chart>
  <c:spPr>
    <a:solidFill>
      <a:srgbClr val="f9f6f6"/>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_rels/drawing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chart" Target="../charts/chart16.xml"/><Relationship Id="rId12" Type="http://schemas.openxmlformats.org/officeDocument/2006/relationships/chart" Target="../charts/chart17.xml"/><Relationship Id="rId13" Type="http://schemas.openxmlformats.org/officeDocument/2006/relationships/chart" Target="../charts/chart18.xml"/><Relationship Id="rId14" Type="http://schemas.openxmlformats.org/officeDocument/2006/relationships/chart" Target="../charts/chart19.xml"/><Relationship Id="rId15" Type="http://schemas.openxmlformats.org/officeDocument/2006/relationships/chart" Target="../charts/chart20.xml"/><Relationship Id="rId16" Type="http://schemas.openxmlformats.org/officeDocument/2006/relationships/chart" Target="../charts/chart21.xml"/><Relationship Id="rId17" Type="http://schemas.openxmlformats.org/officeDocument/2006/relationships/chart" Target="../charts/chart2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610200</xdr:colOff>
      <xdr:row>12</xdr:row>
      <xdr:rowOff>0</xdr:rowOff>
    </xdr:from>
    <xdr:to>
      <xdr:col>18</xdr:col>
      <xdr:colOff>23760</xdr:colOff>
      <xdr:row>27</xdr:row>
      <xdr:rowOff>291600</xdr:rowOff>
    </xdr:to>
    <xdr:graphicFrame>
      <xdr:nvGraphicFramePr>
        <xdr:cNvPr id="0" name="Chart 1"/>
        <xdr:cNvGraphicFramePr/>
      </xdr:nvGraphicFramePr>
      <xdr:xfrm>
        <a:off x="8714160" y="2781360"/>
        <a:ext cx="5079600" cy="5006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12600</xdr:colOff>
      <xdr:row>52</xdr:row>
      <xdr:rowOff>0</xdr:rowOff>
    </xdr:from>
    <xdr:to>
      <xdr:col>18</xdr:col>
      <xdr:colOff>36360</xdr:colOff>
      <xdr:row>67</xdr:row>
      <xdr:rowOff>313920</xdr:rowOff>
    </xdr:to>
    <xdr:graphicFrame>
      <xdr:nvGraphicFramePr>
        <xdr:cNvPr id="1" name="Chart 2"/>
        <xdr:cNvGraphicFramePr/>
      </xdr:nvGraphicFramePr>
      <xdr:xfrm>
        <a:off x="8116560" y="14420880"/>
        <a:ext cx="5689800" cy="502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12600</xdr:colOff>
      <xdr:row>32</xdr:row>
      <xdr:rowOff>0</xdr:rowOff>
    </xdr:from>
    <xdr:to>
      <xdr:col>18</xdr:col>
      <xdr:colOff>36360</xdr:colOff>
      <xdr:row>47</xdr:row>
      <xdr:rowOff>313920</xdr:rowOff>
    </xdr:to>
    <xdr:graphicFrame>
      <xdr:nvGraphicFramePr>
        <xdr:cNvPr id="2" name="Chart 3"/>
        <xdr:cNvGraphicFramePr/>
      </xdr:nvGraphicFramePr>
      <xdr:xfrm>
        <a:off x="8116560" y="8601120"/>
        <a:ext cx="5689800" cy="5028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12600</xdr:colOff>
      <xdr:row>92</xdr:row>
      <xdr:rowOff>0</xdr:rowOff>
    </xdr:from>
    <xdr:to>
      <xdr:col>18</xdr:col>
      <xdr:colOff>36360</xdr:colOff>
      <xdr:row>107</xdr:row>
      <xdr:rowOff>313920</xdr:rowOff>
    </xdr:to>
    <xdr:graphicFrame>
      <xdr:nvGraphicFramePr>
        <xdr:cNvPr id="3" name="Chart 4"/>
        <xdr:cNvGraphicFramePr/>
      </xdr:nvGraphicFramePr>
      <xdr:xfrm>
        <a:off x="8116560" y="26060400"/>
        <a:ext cx="5689800" cy="5028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12600</xdr:colOff>
      <xdr:row>71</xdr:row>
      <xdr:rowOff>0</xdr:rowOff>
    </xdr:from>
    <xdr:to>
      <xdr:col>17</xdr:col>
      <xdr:colOff>606600</xdr:colOff>
      <xdr:row>86</xdr:row>
      <xdr:rowOff>313920</xdr:rowOff>
    </xdr:to>
    <xdr:graphicFrame>
      <xdr:nvGraphicFramePr>
        <xdr:cNvPr id="4" name="Chart 5"/>
        <xdr:cNvGraphicFramePr/>
      </xdr:nvGraphicFramePr>
      <xdr:xfrm>
        <a:off x="8116560" y="20078640"/>
        <a:ext cx="5636520" cy="5028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15120</xdr:colOff>
      <xdr:row>10</xdr:row>
      <xdr:rowOff>158760</xdr:rowOff>
    </xdr:from>
    <xdr:to>
      <xdr:col>22</xdr:col>
      <xdr:colOff>158400</xdr:colOff>
      <xdr:row>130</xdr:row>
      <xdr:rowOff>45360</xdr:rowOff>
    </xdr:to>
    <xdr:graphicFrame>
      <xdr:nvGraphicFramePr>
        <xdr:cNvPr id="5" name="Chart 1"/>
        <xdr:cNvGraphicFramePr/>
      </xdr:nvGraphicFramePr>
      <xdr:xfrm>
        <a:off x="8937360" y="2759040"/>
        <a:ext cx="5826600" cy="22670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263160</xdr:colOff>
      <xdr:row>11</xdr:row>
      <xdr:rowOff>39960</xdr:rowOff>
    </xdr:from>
    <xdr:to>
      <xdr:col>22</xdr:col>
      <xdr:colOff>153720</xdr:colOff>
      <xdr:row>18</xdr:row>
      <xdr:rowOff>154440</xdr:rowOff>
    </xdr:to>
    <xdr:graphicFrame>
      <xdr:nvGraphicFramePr>
        <xdr:cNvPr id="6" name="Chart 2"/>
        <xdr:cNvGraphicFramePr/>
      </xdr:nvGraphicFramePr>
      <xdr:xfrm>
        <a:off x="8914320" y="2811600"/>
        <a:ext cx="5844960" cy="1448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263160</xdr:colOff>
      <xdr:row>18</xdr:row>
      <xdr:rowOff>154440</xdr:rowOff>
    </xdr:from>
    <xdr:to>
      <xdr:col>22</xdr:col>
      <xdr:colOff>153720</xdr:colOff>
      <xdr:row>26</xdr:row>
      <xdr:rowOff>115920</xdr:rowOff>
    </xdr:to>
    <xdr:graphicFrame>
      <xdr:nvGraphicFramePr>
        <xdr:cNvPr id="7" name="Chart 3"/>
        <xdr:cNvGraphicFramePr/>
      </xdr:nvGraphicFramePr>
      <xdr:xfrm>
        <a:off x="8914320" y="4259880"/>
        <a:ext cx="5844960" cy="1466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262440</xdr:colOff>
      <xdr:row>26</xdr:row>
      <xdr:rowOff>112320</xdr:rowOff>
    </xdr:from>
    <xdr:to>
      <xdr:col>22</xdr:col>
      <xdr:colOff>153720</xdr:colOff>
      <xdr:row>34</xdr:row>
      <xdr:rowOff>92880</xdr:rowOff>
    </xdr:to>
    <xdr:graphicFrame>
      <xdr:nvGraphicFramePr>
        <xdr:cNvPr id="8" name="Chart 4"/>
        <xdr:cNvGraphicFramePr/>
      </xdr:nvGraphicFramePr>
      <xdr:xfrm>
        <a:off x="8913600" y="5722560"/>
        <a:ext cx="5845680" cy="14853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262800</xdr:colOff>
      <xdr:row>34</xdr:row>
      <xdr:rowOff>93240</xdr:rowOff>
    </xdr:from>
    <xdr:to>
      <xdr:col>22</xdr:col>
      <xdr:colOff>154080</xdr:colOff>
      <xdr:row>42</xdr:row>
      <xdr:rowOff>73800</xdr:rowOff>
    </xdr:to>
    <xdr:graphicFrame>
      <xdr:nvGraphicFramePr>
        <xdr:cNvPr id="9" name="Chart 5"/>
        <xdr:cNvGraphicFramePr/>
      </xdr:nvGraphicFramePr>
      <xdr:xfrm>
        <a:off x="8913960" y="7208280"/>
        <a:ext cx="5845680" cy="14857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263160</xdr:colOff>
      <xdr:row>42</xdr:row>
      <xdr:rowOff>74160</xdr:rowOff>
    </xdr:from>
    <xdr:to>
      <xdr:col>22</xdr:col>
      <xdr:colOff>154080</xdr:colOff>
      <xdr:row>50</xdr:row>
      <xdr:rowOff>54720</xdr:rowOff>
    </xdr:to>
    <xdr:graphicFrame>
      <xdr:nvGraphicFramePr>
        <xdr:cNvPr id="10" name="Chart 6"/>
        <xdr:cNvGraphicFramePr/>
      </xdr:nvGraphicFramePr>
      <xdr:xfrm>
        <a:off x="8914320" y="8694360"/>
        <a:ext cx="5845320" cy="1504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12</xdr:col>
      <xdr:colOff>262800</xdr:colOff>
      <xdr:row>50</xdr:row>
      <xdr:rowOff>53280</xdr:rowOff>
    </xdr:from>
    <xdr:to>
      <xdr:col>22</xdr:col>
      <xdr:colOff>154080</xdr:colOff>
      <xdr:row>58</xdr:row>
      <xdr:rowOff>43560</xdr:rowOff>
    </xdr:to>
    <xdr:graphicFrame>
      <xdr:nvGraphicFramePr>
        <xdr:cNvPr id="11" name="Chart 7"/>
        <xdr:cNvGraphicFramePr/>
      </xdr:nvGraphicFramePr>
      <xdr:xfrm>
        <a:off x="8913960" y="10197360"/>
        <a:ext cx="5845680" cy="15141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12</xdr:col>
      <xdr:colOff>263520</xdr:colOff>
      <xdr:row>82</xdr:row>
      <xdr:rowOff>5760</xdr:rowOff>
    </xdr:from>
    <xdr:to>
      <xdr:col>22</xdr:col>
      <xdr:colOff>154080</xdr:colOff>
      <xdr:row>90</xdr:row>
      <xdr:rowOff>5400</xdr:rowOff>
    </xdr:to>
    <xdr:graphicFrame>
      <xdr:nvGraphicFramePr>
        <xdr:cNvPr id="12" name="Chart 8"/>
        <xdr:cNvGraphicFramePr/>
      </xdr:nvGraphicFramePr>
      <xdr:xfrm>
        <a:off x="8914680" y="16245720"/>
        <a:ext cx="5844960" cy="15238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12</xdr:col>
      <xdr:colOff>263520</xdr:colOff>
      <xdr:row>90</xdr:row>
      <xdr:rowOff>5760</xdr:rowOff>
    </xdr:from>
    <xdr:to>
      <xdr:col>22</xdr:col>
      <xdr:colOff>154080</xdr:colOff>
      <xdr:row>98</xdr:row>
      <xdr:rowOff>14760</xdr:rowOff>
    </xdr:to>
    <xdr:graphicFrame>
      <xdr:nvGraphicFramePr>
        <xdr:cNvPr id="13" name="Chart 9"/>
        <xdr:cNvGraphicFramePr/>
      </xdr:nvGraphicFramePr>
      <xdr:xfrm>
        <a:off x="8914680" y="17769960"/>
        <a:ext cx="5844960" cy="15328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263520</xdr:colOff>
      <xdr:row>98</xdr:row>
      <xdr:rowOff>15120</xdr:rowOff>
    </xdr:from>
    <xdr:to>
      <xdr:col>22</xdr:col>
      <xdr:colOff>154080</xdr:colOff>
      <xdr:row>106</xdr:row>
      <xdr:rowOff>24120</xdr:rowOff>
    </xdr:to>
    <xdr:graphicFrame>
      <xdr:nvGraphicFramePr>
        <xdr:cNvPr id="14" name="Chart 10"/>
        <xdr:cNvGraphicFramePr/>
      </xdr:nvGraphicFramePr>
      <xdr:xfrm>
        <a:off x="8914680" y="19303200"/>
        <a:ext cx="5844960" cy="15328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12</xdr:col>
      <xdr:colOff>263520</xdr:colOff>
      <xdr:row>106</xdr:row>
      <xdr:rowOff>24840</xdr:rowOff>
    </xdr:from>
    <xdr:to>
      <xdr:col>22</xdr:col>
      <xdr:colOff>154080</xdr:colOff>
      <xdr:row>114</xdr:row>
      <xdr:rowOff>30960</xdr:rowOff>
    </xdr:to>
    <xdr:graphicFrame>
      <xdr:nvGraphicFramePr>
        <xdr:cNvPr id="15" name="Chart 11"/>
        <xdr:cNvGraphicFramePr/>
      </xdr:nvGraphicFramePr>
      <xdr:xfrm>
        <a:off x="8914680" y="20836800"/>
        <a:ext cx="5844960" cy="15303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263520</xdr:colOff>
      <xdr:row>114</xdr:row>
      <xdr:rowOff>28440</xdr:rowOff>
    </xdr:from>
    <xdr:to>
      <xdr:col>22</xdr:col>
      <xdr:colOff>154080</xdr:colOff>
      <xdr:row>122</xdr:row>
      <xdr:rowOff>43920</xdr:rowOff>
    </xdr:to>
    <xdr:graphicFrame>
      <xdr:nvGraphicFramePr>
        <xdr:cNvPr id="16" name="Chart 12"/>
        <xdr:cNvGraphicFramePr/>
      </xdr:nvGraphicFramePr>
      <xdr:xfrm>
        <a:off x="8914680" y="22364640"/>
        <a:ext cx="5844960" cy="15393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263520</xdr:colOff>
      <xdr:row>122</xdr:row>
      <xdr:rowOff>41760</xdr:rowOff>
    </xdr:from>
    <xdr:to>
      <xdr:col>22</xdr:col>
      <xdr:colOff>154080</xdr:colOff>
      <xdr:row>130</xdr:row>
      <xdr:rowOff>62640</xdr:rowOff>
    </xdr:to>
    <xdr:graphicFrame>
      <xdr:nvGraphicFramePr>
        <xdr:cNvPr id="17" name="Chart 13"/>
        <xdr:cNvGraphicFramePr/>
      </xdr:nvGraphicFramePr>
      <xdr:xfrm>
        <a:off x="8914680" y="23901840"/>
        <a:ext cx="5844960" cy="15447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24</xdr:col>
      <xdr:colOff>33840</xdr:colOff>
      <xdr:row>28</xdr:row>
      <xdr:rowOff>158760</xdr:rowOff>
    </xdr:from>
    <xdr:to>
      <xdr:col>35</xdr:col>
      <xdr:colOff>317160</xdr:colOff>
      <xdr:row>64</xdr:row>
      <xdr:rowOff>50400</xdr:rowOff>
    </xdr:to>
    <xdr:graphicFrame>
      <xdr:nvGraphicFramePr>
        <xdr:cNvPr id="18" name="Chart 14"/>
        <xdr:cNvGraphicFramePr/>
      </xdr:nvGraphicFramePr>
      <xdr:xfrm>
        <a:off x="15886440" y="6149880"/>
        <a:ext cx="8259840" cy="67114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12</xdr:col>
      <xdr:colOff>262080</xdr:colOff>
      <xdr:row>58</xdr:row>
      <xdr:rowOff>39960</xdr:rowOff>
    </xdr:from>
    <xdr:to>
      <xdr:col>22</xdr:col>
      <xdr:colOff>153720</xdr:colOff>
      <xdr:row>66</xdr:row>
      <xdr:rowOff>30240</xdr:rowOff>
    </xdr:to>
    <xdr:graphicFrame>
      <xdr:nvGraphicFramePr>
        <xdr:cNvPr id="19" name="Chart 15"/>
        <xdr:cNvGraphicFramePr/>
      </xdr:nvGraphicFramePr>
      <xdr:xfrm>
        <a:off x="8913240" y="11707920"/>
        <a:ext cx="5846040" cy="15145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12</xdr:col>
      <xdr:colOff>263160</xdr:colOff>
      <xdr:row>66</xdr:row>
      <xdr:rowOff>28440</xdr:rowOff>
    </xdr:from>
    <xdr:to>
      <xdr:col>22</xdr:col>
      <xdr:colOff>153720</xdr:colOff>
      <xdr:row>74</xdr:row>
      <xdr:rowOff>18720</xdr:rowOff>
    </xdr:to>
    <xdr:graphicFrame>
      <xdr:nvGraphicFramePr>
        <xdr:cNvPr id="20" name="Chart 16"/>
        <xdr:cNvGraphicFramePr/>
      </xdr:nvGraphicFramePr>
      <xdr:xfrm>
        <a:off x="8914320" y="13220640"/>
        <a:ext cx="5844960" cy="151416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12</xdr:col>
      <xdr:colOff>263160</xdr:colOff>
      <xdr:row>74</xdr:row>
      <xdr:rowOff>16920</xdr:rowOff>
    </xdr:from>
    <xdr:to>
      <xdr:col>22</xdr:col>
      <xdr:colOff>153720</xdr:colOff>
      <xdr:row>82</xdr:row>
      <xdr:rowOff>7200</xdr:rowOff>
    </xdr:to>
    <xdr:graphicFrame>
      <xdr:nvGraphicFramePr>
        <xdr:cNvPr id="21" name="Chart 17"/>
        <xdr:cNvGraphicFramePr/>
      </xdr:nvGraphicFramePr>
      <xdr:xfrm>
        <a:off x="8914320" y="14733000"/>
        <a:ext cx="5844960" cy="151416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SAMM">
      <a:dk1>
        <a:srgbClr val="2c3030"/>
      </a:dk1>
      <a:lt1>
        <a:srgbClr val="f9f6f6"/>
      </a:lt1>
      <a:dk2>
        <a:srgbClr val="1f497d"/>
      </a:dk2>
      <a:lt2>
        <a:srgbClr val="eeece1"/>
      </a:lt2>
      <a:accent1>
        <a:srgbClr val="71b8b8"/>
      </a:accent1>
      <a:accent2>
        <a:srgbClr val="435b70"/>
      </a:accent2>
      <a:accent3>
        <a:srgbClr val="ad4b00"/>
      </a:accent3>
      <a:accent4>
        <a:srgbClr val="3a5f26"/>
      </a:accent4>
      <a:accent5>
        <a:srgbClr val="754858"/>
      </a:accent5>
      <a:accent6>
        <a:srgbClr val="5b5b62"/>
      </a:accent6>
      <a:hlink>
        <a:srgbClr val="0000ff"/>
      </a:hlink>
      <a:folHlink>
        <a:srgbClr val="800080"/>
      </a:folHlink>
    </a:clrScheme>
    <a:fontScheme name="Custom 1">
      <a:majorFont>
        <a:latin typeface="Open Sans" pitchFamily="0" charset="1"/>
        <a:ea typeface=""/>
        <a:cs typeface=""/>
      </a:majorFont>
      <a:minorFont>
        <a:latin typeface="Open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3" activeCellId="0" sqref="B3"/>
    </sheetView>
  </sheetViews>
  <sheetFormatPr defaultColWidth="8.84765625" defaultRowHeight="15" customHeight="true" zeroHeight="false" outlineLevelRow="0" outlineLevelCol="0"/>
  <cols>
    <col collapsed="false" customWidth="true" hidden="false" outlineLevel="0" max="1" min="1" style="1" width="22.85"/>
    <col collapsed="false" customWidth="true" hidden="false" outlineLevel="0" max="2" min="2" style="1" width="100.38"/>
    <col collapsed="false" customWidth="false" hidden="false" outlineLevel="0" max="16384" min="3" style="1" width="8.85"/>
  </cols>
  <sheetData>
    <row r="1" s="3" customFormat="true" ht="24.75" hidden="false" customHeight="true" outlineLevel="0" collapsed="false">
      <c r="A1" s="2" t="s">
        <v>0</v>
      </c>
      <c r="B1" s="2"/>
    </row>
    <row r="2" customFormat="false" ht="15" hidden="false" customHeight="false" outlineLevel="0" collapsed="false">
      <c r="A2" s="4"/>
      <c r="B2" s="4"/>
    </row>
    <row r="3" customFormat="false" ht="15" hidden="false" customHeight="false" outlineLevel="0" collapsed="false">
      <c r="A3" s="4" t="s">
        <v>1</v>
      </c>
      <c r="B3" s="4" t="s">
        <v>2</v>
      </c>
    </row>
    <row r="4" customFormat="false" ht="15" hidden="false" customHeight="false" outlineLevel="0" collapsed="false">
      <c r="A4" s="4"/>
      <c r="B4" s="4"/>
    </row>
    <row r="5" customFormat="false" ht="42" hidden="false" customHeight="true" outlineLevel="0" collapsed="false">
      <c r="A5" s="4" t="s">
        <v>3</v>
      </c>
      <c r="B5" s="5" t="s">
        <v>4</v>
      </c>
    </row>
    <row r="7" customFormat="false" ht="15" hidden="false" customHeight="false" outlineLevel="0" collapsed="false">
      <c r="A7" s="4" t="s">
        <v>5</v>
      </c>
      <c r="B7" s="4" t="s">
        <v>6</v>
      </c>
    </row>
    <row r="8" customFormat="false" ht="42" hidden="false" customHeight="true" outlineLevel="0" collapsed="false">
      <c r="A8" s="4"/>
      <c r="B8" s="5" t="s">
        <v>7</v>
      </c>
    </row>
    <row r="35" customFormat="false" ht="15" hidden="false" customHeight="false" outlineLevel="0" collapsed="false">
      <c r="A35" s="4" t="s">
        <v>8</v>
      </c>
      <c r="B35" s="4" t="s">
        <v>9</v>
      </c>
    </row>
    <row r="36" customFormat="false" ht="15" hidden="false" customHeight="false" outlineLevel="0" collapsed="false">
      <c r="A36" s="4" t="s">
        <v>10</v>
      </c>
      <c r="B36" s="4" t="s">
        <v>11</v>
      </c>
    </row>
    <row r="37" customFormat="false" ht="15" hidden="false" customHeight="false" outlineLevel="0" collapsed="false">
      <c r="A37" s="4" t="s">
        <v>12</v>
      </c>
      <c r="B37" s="4" t="s">
        <v>13</v>
      </c>
    </row>
    <row r="39" customFormat="false" ht="15" hidden="false" customHeight="false" outlineLevel="0" collapsed="false">
      <c r="A39" s="4" t="s">
        <v>8</v>
      </c>
      <c r="B39" s="4" t="s">
        <v>14</v>
      </c>
    </row>
    <row r="40" customFormat="false" ht="15" hidden="false" customHeight="false" outlineLevel="0" collapsed="false">
      <c r="A40" s="4" t="s">
        <v>10</v>
      </c>
      <c r="B40" s="4" t="s">
        <v>15</v>
      </c>
    </row>
    <row r="41" customFormat="false" ht="15" hidden="false" customHeight="false" outlineLevel="0" collapsed="false">
      <c r="A41" s="4"/>
      <c r="B41" s="4"/>
    </row>
    <row r="42" customFormat="false" ht="15" hidden="false" customHeight="false" outlineLevel="0" collapsed="false">
      <c r="A42" s="4" t="s">
        <v>8</v>
      </c>
      <c r="B42" s="4" t="s">
        <v>16</v>
      </c>
    </row>
    <row r="43" customFormat="false" ht="15" hidden="false" customHeight="false" outlineLevel="0" collapsed="false">
      <c r="A43" s="4" t="s">
        <v>17</v>
      </c>
      <c r="B43" s="4" t="s">
        <v>18</v>
      </c>
    </row>
    <row r="44" customFormat="false" ht="15" hidden="false" customHeight="false" outlineLevel="0" collapsed="false">
      <c r="A44" s="4" t="s">
        <v>12</v>
      </c>
      <c r="B44" s="4" t="s">
        <v>19</v>
      </c>
    </row>
    <row r="45" customFormat="false" ht="15" hidden="false" customHeight="false" outlineLevel="0" collapsed="false">
      <c r="A45" s="4"/>
      <c r="B45" s="4"/>
    </row>
    <row r="46" customFormat="false" ht="15" hidden="false" customHeight="false" outlineLevel="0" collapsed="false">
      <c r="A46" s="4" t="s">
        <v>8</v>
      </c>
      <c r="B46" s="4" t="s">
        <v>20</v>
      </c>
    </row>
    <row r="47" customFormat="false" ht="15" hidden="false" customHeight="false" outlineLevel="0" collapsed="false">
      <c r="A47" s="4" t="s">
        <v>21</v>
      </c>
      <c r="B47" s="4" t="s">
        <v>22</v>
      </c>
    </row>
    <row r="48" customFormat="false" ht="15" hidden="false" customHeight="false" outlineLevel="0" collapsed="false">
      <c r="A48" s="4" t="s">
        <v>12</v>
      </c>
      <c r="B48" s="4"/>
    </row>
    <row r="49" customFormat="false" ht="15" hidden="false" customHeight="false" outlineLevel="0" collapsed="false">
      <c r="A49" s="4"/>
      <c r="B49" s="4"/>
    </row>
    <row r="50" customFormat="false" ht="27.75" hidden="false" customHeight="true" outlineLevel="0" collapsed="false">
      <c r="A50" s="6" t="s">
        <v>23</v>
      </c>
      <c r="B50" s="7" t="s">
        <v>24</v>
      </c>
      <c r="C50" s="8"/>
    </row>
    <row r="51" customFormat="false" ht="15" hidden="false" customHeight="false" outlineLevel="0" collapsed="false">
      <c r="A51" s="6"/>
      <c r="B51" s="6" t="s">
        <v>25</v>
      </c>
      <c r="C51" s="8"/>
    </row>
    <row r="52" customFormat="false" ht="15" hidden="false" customHeight="false" outlineLevel="0" collapsed="false">
      <c r="A52" s="6"/>
      <c r="B52" s="9" t="s">
        <v>26</v>
      </c>
      <c r="C52" s="8"/>
    </row>
  </sheetData>
  <sheetProtection sheet="true" objects="true" scenarios="true"/>
  <printOptions headings="false" gridLines="false" gridLinesSet="true" horizontalCentered="false" verticalCentered="false"/>
  <pageMargins left="0.747916666666667" right="0.747916666666667" top="0.39375" bottom="0.39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5B62"/>
    <pageSetUpPr fitToPage="false"/>
  </sheetPr>
  <dimension ref="B1:M1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8.84765625" defaultRowHeight="15" customHeight="true" zeroHeight="false" outlineLevelRow="0" outlineLevelCol="0"/>
  <cols>
    <col collapsed="false" customWidth="false" hidden="false" outlineLevel="0" max="1" min="1" style="10" width="8.85"/>
    <col collapsed="false" customWidth="true" hidden="false" outlineLevel="0" max="2" min="2" style="10" width="26.31"/>
    <col collapsed="false" customWidth="true" hidden="false" outlineLevel="0" max="3" min="3" style="11" width="37.3"/>
    <col collapsed="false" customWidth="true" hidden="false" outlineLevel="0" max="4" min="4" style="10" width="90.85"/>
    <col collapsed="false" customWidth="false" hidden="false" outlineLevel="0" max="5" min="5" style="10" width="8.85"/>
    <col collapsed="false" customWidth="true" hidden="true" outlineLevel="0" max="13" min="6" style="10" width="8.69"/>
    <col collapsed="false" customWidth="false" hidden="false" outlineLevel="0" max="16384" min="14" style="10" width="8.85"/>
  </cols>
  <sheetData>
    <row r="1" customFormat="false" ht="285" hidden="false" customHeight="true" outlineLevel="0" collapsed="false">
      <c r="B1" s="12" t="s">
        <v>27</v>
      </c>
      <c r="C1" s="12"/>
      <c r="D1" s="13" t="s">
        <v>28</v>
      </c>
    </row>
    <row r="2" customFormat="false" ht="15" hidden="false" customHeight="false" outlineLevel="0" collapsed="false">
      <c r="F2" s="10" t="s">
        <v>29</v>
      </c>
    </row>
    <row r="4" customFormat="false" ht="15" hidden="false" customHeight="false" outlineLevel="0" collapsed="false">
      <c r="F4" s="10" t="s">
        <v>30</v>
      </c>
      <c r="G4" s="10" t="s">
        <v>31</v>
      </c>
      <c r="H4" s="10" t="s">
        <v>32</v>
      </c>
      <c r="I4" s="10" t="s">
        <v>33</v>
      </c>
      <c r="J4" s="10" t="s">
        <v>34</v>
      </c>
      <c r="K4" s="10" t="s">
        <v>35</v>
      </c>
      <c r="L4" s="10" t="s">
        <v>36</v>
      </c>
      <c r="M4" s="10" t="s">
        <v>37</v>
      </c>
    </row>
    <row r="5" customFormat="false" ht="15" hidden="false" customHeight="false" outlineLevel="0" collapsed="false">
      <c r="B5" s="10" t="s">
        <v>38</v>
      </c>
      <c r="C5" s="14" t="s">
        <v>39</v>
      </c>
      <c r="D5" s="14" t="s">
        <v>40</v>
      </c>
      <c r="F5" s="10" t="s">
        <v>41</v>
      </c>
      <c r="G5" s="10" t="s">
        <v>42</v>
      </c>
      <c r="H5" s="10" t="s">
        <v>43</v>
      </c>
      <c r="I5" s="10" t="s">
        <v>44</v>
      </c>
      <c r="J5" s="10" t="s">
        <v>45</v>
      </c>
      <c r="K5" s="15" t="s">
        <v>46</v>
      </c>
      <c r="L5" s="15" t="s">
        <v>47</v>
      </c>
      <c r="M5" s="10" t="s">
        <v>48</v>
      </c>
    </row>
    <row r="6" customFormat="false" ht="15" hidden="false" customHeight="false" outlineLevel="0" collapsed="false">
      <c r="F6" s="10" t="s">
        <v>49</v>
      </c>
      <c r="G6" s="10" t="s">
        <v>50</v>
      </c>
      <c r="H6" s="10" t="s">
        <v>51</v>
      </c>
      <c r="I6" s="10" t="s">
        <v>52</v>
      </c>
      <c r="J6" s="10" t="s">
        <v>53</v>
      </c>
      <c r="K6" s="15" t="s">
        <v>54</v>
      </c>
      <c r="L6" s="15" t="s">
        <v>55</v>
      </c>
      <c r="M6" s="10" t="s">
        <v>56</v>
      </c>
    </row>
    <row r="7" customFormat="false" ht="15" hidden="false" customHeight="false" outlineLevel="0" collapsed="false">
      <c r="B7" s="10" t="s">
        <v>57</v>
      </c>
      <c r="C7" s="11" t="str">
        <f aca="false">'Attribution and License'!B3</f>
        <v>'v2.1.1</v>
      </c>
      <c r="D7" s="10" t="s">
        <v>58</v>
      </c>
      <c r="G7" s="10" t="s">
        <v>59</v>
      </c>
      <c r="H7" s="10" t="s">
        <v>60</v>
      </c>
      <c r="I7" s="10" t="s">
        <v>61</v>
      </c>
      <c r="J7" s="10" t="s">
        <v>62</v>
      </c>
      <c r="K7" s="15" t="s">
        <v>63</v>
      </c>
      <c r="L7" s="15" t="s">
        <v>64</v>
      </c>
      <c r="M7" s="10" t="s">
        <v>65</v>
      </c>
    </row>
    <row r="8" customFormat="false" ht="15" hidden="false" customHeight="false" outlineLevel="0" collapsed="false">
      <c r="B8" s="10" t="s">
        <v>66</v>
      </c>
      <c r="C8" s="16" t="n">
        <f aca="false">Interview!D12</f>
        <v>0</v>
      </c>
      <c r="D8" s="10" t="s">
        <v>67</v>
      </c>
      <c r="H8" s="10" t="s">
        <v>68</v>
      </c>
      <c r="I8" s="10" t="s">
        <v>69</v>
      </c>
      <c r="J8" s="10" t="s">
        <v>70</v>
      </c>
      <c r="K8" s="15" t="s">
        <v>71</v>
      </c>
      <c r="L8" s="15" t="s">
        <v>72</v>
      </c>
      <c r="M8" s="10" t="s">
        <v>73</v>
      </c>
    </row>
    <row r="9" customFormat="false" ht="15" hidden="false" customHeight="false" outlineLevel="0" collapsed="false">
      <c r="B9" s="10" t="s">
        <v>30</v>
      </c>
      <c r="D9" s="10" t="s">
        <v>74</v>
      </c>
      <c r="H9" s="10" t="s">
        <v>75</v>
      </c>
      <c r="I9" s="10" t="s">
        <v>76</v>
      </c>
      <c r="K9" s="15"/>
      <c r="L9" s="15" t="s">
        <v>77</v>
      </c>
    </row>
    <row r="10" customFormat="false" ht="15" hidden="false" customHeight="false" outlineLevel="0" collapsed="false">
      <c r="B10" s="10" t="s">
        <v>78</v>
      </c>
      <c r="D10" s="10" t="s">
        <v>79</v>
      </c>
      <c r="H10" s="10" t="s">
        <v>80</v>
      </c>
      <c r="I10" s="10" t="s">
        <v>81</v>
      </c>
      <c r="K10" s="15"/>
      <c r="L10" s="15"/>
    </row>
    <row r="11" customFormat="false" ht="15" hidden="false" customHeight="false" outlineLevel="0" collapsed="false">
      <c r="B11" s="10" t="s">
        <v>82</v>
      </c>
      <c r="D11" s="10" t="s">
        <v>83</v>
      </c>
      <c r="H11" s="10" t="s">
        <v>73</v>
      </c>
      <c r="I11" s="10" t="s">
        <v>84</v>
      </c>
      <c r="L11" s="15"/>
    </row>
    <row r="12" customFormat="false" ht="15" hidden="false" customHeight="false" outlineLevel="0" collapsed="false">
      <c r="B12" s="10" t="s">
        <v>85</v>
      </c>
      <c r="D12" s="10" t="s">
        <v>86</v>
      </c>
      <c r="I12" s="10" t="s">
        <v>87</v>
      </c>
      <c r="L12" s="15"/>
    </row>
    <row r="13" customFormat="false" ht="15" hidden="false" customHeight="false" outlineLevel="0" collapsed="false">
      <c r="B13" s="10" t="s">
        <v>88</v>
      </c>
      <c r="D13" s="10" t="s">
        <v>89</v>
      </c>
      <c r="I13" s="10" t="s">
        <v>90</v>
      </c>
    </row>
    <row r="14" customFormat="false" ht="15" hidden="false" customHeight="false" outlineLevel="0" collapsed="false">
      <c r="B14" s="10" t="s">
        <v>91</v>
      </c>
      <c r="D14" s="10" t="s">
        <v>92</v>
      </c>
      <c r="I14" s="10" t="s">
        <v>93</v>
      </c>
    </row>
    <row r="15" customFormat="false" ht="15" hidden="false" customHeight="false" outlineLevel="0" collapsed="false">
      <c r="B15" s="10" t="s">
        <v>94</v>
      </c>
      <c r="D15" s="10" t="s">
        <v>95</v>
      </c>
      <c r="I15" s="10" t="s">
        <v>96</v>
      </c>
    </row>
    <row r="16" customFormat="false" ht="15" hidden="false" customHeight="false" outlineLevel="0" collapsed="false">
      <c r="B16" s="10" t="s">
        <v>97</v>
      </c>
      <c r="D16" s="10" t="s">
        <v>98</v>
      </c>
      <c r="I16" s="10" t="s">
        <v>99</v>
      </c>
    </row>
    <row r="17" customFormat="false" ht="15" hidden="false" customHeight="false" outlineLevel="0" collapsed="false">
      <c r="B17" s="10" t="s">
        <v>100</v>
      </c>
      <c r="D17" s="10" t="s">
        <v>101</v>
      </c>
      <c r="I17" s="10" t="s">
        <v>102</v>
      </c>
    </row>
    <row r="18" customFormat="false" ht="15" hidden="false" customHeight="false" outlineLevel="0" collapsed="false">
      <c r="B18" s="10" t="s">
        <v>103</v>
      </c>
      <c r="C18" s="17" t="n">
        <f aca="false">Scorecard!J19</f>
        <v>0</v>
      </c>
      <c r="D18" s="10" t="s">
        <v>104</v>
      </c>
      <c r="I18" s="10" t="s">
        <v>105</v>
      </c>
    </row>
    <row r="19" customFormat="false" ht="15" hidden="false" customHeight="false" outlineLevel="0" collapsed="false">
      <c r="B19" s="10" t="s">
        <v>106</v>
      </c>
      <c r="C19" s="17" t="n">
        <f aca="false">Scorecard!J14</f>
        <v>0</v>
      </c>
      <c r="D19" s="10" t="s">
        <v>104</v>
      </c>
      <c r="I19" s="10" t="s">
        <v>73</v>
      </c>
    </row>
    <row r="20" customFormat="false" ht="15" hidden="false" customHeight="false" outlineLevel="0" collapsed="false">
      <c r="B20" s="10" t="s">
        <v>107</v>
      </c>
      <c r="C20" s="17" t="n">
        <f aca="false">Scorecard!J15</f>
        <v>0</v>
      </c>
      <c r="D20" s="10" t="s">
        <v>104</v>
      </c>
    </row>
    <row r="21" customFormat="false" ht="15" hidden="false" customHeight="false" outlineLevel="0" collapsed="false">
      <c r="B21" s="10" t="s">
        <v>108</v>
      </c>
      <c r="C21" s="17" t="n">
        <f aca="false">Scorecard!J16</f>
        <v>0</v>
      </c>
      <c r="D21" s="10" t="s">
        <v>104</v>
      </c>
    </row>
    <row r="22" customFormat="false" ht="15" hidden="false" customHeight="false" outlineLevel="0" collapsed="false">
      <c r="B22" s="10" t="s">
        <v>109</v>
      </c>
      <c r="C22" s="17" t="n">
        <f aca="false">Scorecard!J17</f>
        <v>0</v>
      </c>
      <c r="D22" s="10" t="s">
        <v>104</v>
      </c>
    </row>
    <row r="23" customFormat="false" ht="15" hidden="false" customHeight="false" outlineLevel="0" collapsed="false">
      <c r="B23" s="10" t="s">
        <v>110</v>
      </c>
      <c r="C23" s="17" t="n">
        <f aca="false">Scorecard!J18</f>
        <v>0</v>
      </c>
      <c r="D23" s="10" t="s">
        <v>104</v>
      </c>
    </row>
    <row r="24" customFormat="false" ht="15" hidden="false" customHeight="false" outlineLevel="0" collapsed="false">
      <c r="B24" s="10" t="str">
        <f aca="false">Scorecard!B14</f>
        <v>Strategy &amp; Metrics</v>
      </c>
      <c r="C24" s="17" t="n">
        <f aca="false">Scorecard!C14</f>
        <v>0</v>
      </c>
      <c r="D24" s="10" t="s">
        <v>104</v>
      </c>
    </row>
    <row r="25" customFormat="false" ht="15" hidden="false" customHeight="false" outlineLevel="0" collapsed="false">
      <c r="B25" s="10" t="str">
        <f aca="false">Scorecard!B15</f>
        <v>Policy &amp; Compliance</v>
      </c>
      <c r="C25" s="17" t="n">
        <f aca="false">Scorecard!C15</f>
        <v>0</v>
      </c>
      <c r="D25" s="10" t="s">
        <v>104</v>
      </c>
    </row>
    <row r="26" customFormat="false" ht="15" hidden="false" customHeight="false" outlineLevel="0" collapsed="false">
      <c r="B26" s="10" t="str">
        <f aca="false">Scorecard!B16</f>
        <v>Education &amp; Guidance</v>
      </c>
      <c r="C26" s="17" t="n">
        <f aca="false">Scorecard!C16</f>
        <v>0</v>
      </c>
      <c r="D26" s="10" t="s">
        <v>104</v>
      </c>
    </row>
    <row r="27" customFormat="false" ht="15" hidden="false" customHeight="false" outlineLevel="0" collapsed="false">
      <c r="B27" s="10" t="str">
        <f aca="false">Scorecard!B17</f>
        <v>Threat Assessment</v>
      </c>
      <c r="C27" s="17" t="n">
        <f aca="false">Scorecard!C17</f>
        <v>0</v>
      </c>
      <c r="D27" s="10" t="s">
        <v>104</v>
      </c>
    </row>
    <row r="28" customFormat="false" ht="15" hidden="false" customHeight="false" outlineLevel="0" collapsed="false">
      <c r="B28" s="10" t="str">
        <f aca="false">Scorecard!B18</f>
        <v>Security Requirements</v>
      </c>
      <c r="C28" s="17" t="n">
        <f aca="false">Scorecard!C18</f>
        <v>0</v>
      </c>
      <c r="D28" s="10" t="s">
        <v>104</v>
      </c>
    </row>
    <row r="29" customFormat="false" ht="15" hidden="false" customHeight="false" outlineLevel="0" collapsed="false">
      <c r="B29" s="10" t="str">
        <f aca="false">Scorecard!B19</f>
        <v>Secure Architecture</v>
      </c>
      <c r="C29" s="17" t="n">
        <f aca="false">Scorecard!C19</f>
        <v>0</v>
      </c>
      <c r="D29" s="10" t="s">
        <v>104</v>
      </c>
    </row>
    <row r="30" customFormat="false" ht="15" hidden="false" customHeight="false" outlineLevel="0" collapsed="false">
      <c r="B30" s="10" t="str">
        <f aca="false">Scorecard!B20</f>
        <v>Secure Build</v>
      </c>
      <c r="C30" s="17" t="n">
        <f aca="false">Scorecard!C20</f>
        <v>0</v>
      </c>
      <c r="D30" s="10" t="s">
        <v>104</v>
      </c>
    </row>
    <row r="31" customFormat="false" ht="15" hidden="false" customHeight="false" outlineLevel="0" collapsed="false">
      <c r="B31" s="10" t="str">
        <f aca="false">Scorecard!B21</f>
        <v>Secure Deployment</v>
      </c>
      <c r="C31" s="17" t="n">
        <f aca="false">Scorecard!C21</f>
        <v>0</v>
      </c>
      <c r="D31" s="10" t="s">
        <v>104</v>
      </c>
    </row>
    <row r="32" customFormat="false" ht="15" hidden="false" customHeight="false" outlineLevel="0" collapsed="false">
      <c r="B32" s="10" t="str">
        <f aca="false">Scorecard!B22</f>
        <v>Defect Management</v>
      </c>
      <c r="C32" s="17" t="n">
        <f aca="false">Scorecard!C22</f>
        <v>0</v>
      </c>
      <c r="D32" s="10" t="s">
        <v>104</v>
      </c>
    </row>
    <row r="33" customFormat="false" ht="15" hidden="false" customHeight="false" outlineLevel="0" collapsed="false">
      <c r="B33" s="10" t="str">
        <f aca="false">Scorecard!B23</f>
        <v>Architecture Assessment</v>
      </c>
      <c r="C33" s="17" t="n">
        <f aca="false">Scorecard!C23</f>
        <v>0</v>
      </c>
      <c r="D33" s="10" t="s">
        <v>104</v>
      </c>
    </row>
    <row r="34" customFormat="false" ht="15" hidden="false" customHeight="false" outlineLevel="0" collapsed="false">
      <c r="B34" s="10" t="str">
        <f aca="false">Scorecard!B24</f>
        <v>Requirements Testing</v>
      </c>
      <c r="C34" s="17" t="n">
        <f aca="false">Scorecard!C24</f>
        <v>0</v>
      </c>
      <c r="D34" s="10" t="s">
        <v>104</v>
      </c>
    </row>
    <row r="35" customFormat="false" ht="15" hidden="false" customHeight="false" outlineLevel="0" collapsed="false">
      <c r="B35" s="10" t="str">
        <f aca="false">Scorecard!B25</f>
        <v>Security Testing</v>
      </c>
      <c r="C35" s="17" t="n">
        <f aca="false">Scorecard!C25</f>
        <v>0</v>
      </c>
      <c r="D35" s="10" t="s">
        <v>104</v>
      </c>
    </row>
    <row r="36" customFormat="false" ht="15" hidden="false" customHeight="false" outlineLevel="0" collapsed="false">
      <c r="B36" s="10" t="str">
        <f aca="false">Scorecard!B26</f>
        <v>Incident Management</v>
      </c>
      <c r="C36" s="17" t="n">
        <f aca="false">Scorecard!C26</f>
        <v>0</v>
      </c>
      <c r="D36" s="10" t="s">
        <v>104</v>
      </c>
    </row>
    <row r="37" customFormat="false" ht="15" hidden="false" customHeight="false" outlineLevel="0" collapsed="false">
      <c r="B37" s="10" t="str">
        <f aca="false">Scorecard!B27</f>
        <v>Environment Management</v>
      </c>
      <c r="C37" s="17" t="n">
        <f aca="false">Scorecard!C27</f>
        <v>0</v>
      </c>
      <c r="D37" s="10" t="s">
        <v>104</v>
      </c>
    </row>
    <row r="38" customFormat="false" ht="15" hidden="false" customHeight="false" outlineLevel="0" collapsed="false">
      <c r="B38" s="10" t="str">
        <f aca="false">Scorecard!B28</f>
        <v>Operational Management</v>
      </c>
      <c r="C38" s="17" t="n">
        <f aca="false">Scorecard!C28</f>
        <v>0</v>
      </c>
      <c r="D38" s="10" t="s">
        <v>104</v>
      </c>
    </row>
    <row r="39" customFormat="false" ht="15" hidden="false" customHeight="false" outlineLevel="0" collapsed="false">
      <c r="B39" s="11" t="s">
        <v>111</v>
      </c>
      <c r="C39" s="11" t="n">
        <f aca="false">VLOOKUP(B39,Interview!$A$18:$J$230,7,FALSE())</f>
        <v>0</v>
      </c>
      <c r="D39" s="10" t="s">
        <v>112</v>
      </c>
    </row>
    <row r="40" customFormat="false" ht="15" hidden="false" customHeight="false" outlineLevel="0" collapsed="false">
      <c r="B40" s="11" t="s">
        <v>113</v>
      </c>
      <c r="C40" s="11" t="n">
        <f aca="false">VLOOKUP(B40,Interview!$A$18:$J$230,7,FALSE())</f>
        <v>0</v>
      </c>
      <c r="D40" s="10" t="s">
        <v>112</v>
      </c>
    </row>
    <row r="41" customFormat="false" ht="15" hidden="false" customHeight="false" outlineLevel="0" collapsed="false">
      <c r="B41" s="11" t="s">
        <v>114</v>
      </c>
      <c r="C41" s="11" t="n">
        <f aca="false">VLOOKUP(B41,Interview!$A$18:$J$230,7,FALSE())</f>
        <v>0</v>
      </c>
      <c r="D41" s="10" t="s">
        <v>112</v>
      </c>
    </row>
    <row r="42" customFormat="false" ht="15" hidden="false" customHeight="false" outlineLevel="0" collapsed="false">
      <c r="B42" s="11" t="s">
        <v>115</v>
      </c>
      <c r="C42" s="11" t="n">
        <f aca="false">VLOOKUP(B42,Interview!$A$18:$J$230,7,FALSE())</f>
        <v>0</v>
      </c>
      <c r="D42" s="10" t="s">
        <v>112</v>
      </c>
    </row>
    <row r="43" customFormat="false" ht="15" hidden="false" customHeight="false" outlineLevel="0" collapsed="false">
      <c r="B43" s="11" t="s">
        <v>116</v>
      </c>
      <c r="C43" s="11" t="n">
        <f aca="false">VLOOKUP(B43,Interview!$A$18:$J$230,7,FALSE())</f>
        <v>0</v>
      </c>
      <c r="D43" s="10" t="s">
        <v>112</v>
      </c>
    </row>
    <row r="44" customFormat="false" ht="15" hidden="false" customHeight="false" outlineLevel="0" collapsed="false">
      <c r="B44" s="11" t="s">
        <v>117</v>
      </c>
      <c r="C44" s="11" t="n">
        <f aca="false">VLOOKUP(B44,Interview!$A$18:$J$230,7,FALSE())</f>
        <v>0</v>
      </c>
      <c r="D44" s="10" t="s">
        <v>112</v>
      </c>
    </row>
    <row r="45" customFormat="false" ht="15" hidden="false" customHeight="false" outlineLevel="0" collapsed="false">
      <c r="B45" s="11" t="s">
        <v>118</v>
      </c>
      <c r="C45" s="11" t="n">
        <f aca="false">VLOOKUP(B45,Interview!$A$18:$J$230,7,FALSE())</f>
        <v>0</v>
      </c>
      <c r="D45" s="10" t="s">
        <v>112</v>
      </c>
    </row>
    <row r="46" customFormat="false" ht="15" hidden="false" customHeight="false" outlineLevel="0" collapsed="false">
      <c r="B46" s="11" t="s">
        <v>119</v>
      </c>
      <c r="C46" s="11" t="n">
        <f aca="false">VLOOKUP(B46,Interview!$A$18:$J$230,7,FALSE())</f>
        <v>0</v>
      </c>
      <c r="D46" s="10" t="s">
        <v>112</v>
      </c>
    </row>
    <row r="47" customFormat="false" ht="15" hidden="false" customHeight="false" outlineLevel="0" collapsed="false">
      <c r="B47" s="11" t="s">
        <v>120</v>
      </c>
      <c r="C47" s="11" t="n">
        <f aca="false">VLOOKUP(B47,Interview!$A$18:$J$230,7,FALSE())</f>
        <v>0</v>
      </c>
      <c r="D47" s="10" t="s">
        <v>112</v>
      </c>
    </row>
    <row r="48" customFormat="false" ht="15" hidden="false" customHeight="false" outlineLevel="0" collapsed="false">
      <c r="B48" s="11" t="s">
        <v>121</v>
      </c>
      <c r="C48" s="11" t="n">
        <f aca="false">VLOOKUP(B48,Interview!$A$18:$J$230,7,FALSE())</f>
        <v>0</v>
      </c>
      <c r="D48" s="10" t="s">
        <v>112</v>
      </c>
    </row>
    <row r="49" customFormat="false" ht="15" hidden="false" customHeight="false" outlineLevel="0" collapsed="false">
      <c r="B49" s="11" t="s">
        <v>122</v>
      </c>
      <c r="C49" s="11" t="n">
        <f aca="false">VLOOKUP(B49,Interview!$A$18:$J$230,7,FALSE())</f>
        <v>0</v>
      </c>
      <c r="D49" s="10" t="s">
        <v>112</v>
      </c>
    </row>
    <row r="50" customFormat="false" ht="15" hidden="false" customHeight="false" outlineLevel="0" collapsed="false">
      <c r="B50" s="11" t="s">
        <v>123</v>
      </c>
      <c r="C50" s="11" t="n">
        <f aca="false">VLOOKUP(B50,Interview!$A$18:$J$230,7,FALSE())</f>
        <v>0</v>
      </c>
      <c r="D50" s="10" t="s">
        <v>112</v>
      </c>
    </row>
    <row r="51" customFormat="false" ht="15" hidden="false" customHeight="false" outlineLevel="0" collapsed="false">
      <c r="B51" s="18" t="s">
        <v>124</v>
      </c>
      <c r="C51" s="11" t="n">
        <f aca="false">VLOOKUP(B51,Interview!$A$18:$J$230,7,FALSE())</f>
        <v>0</v>
      </c>
      <c r="D51" s="10" t="s">
        <v>112</v>
      </c>
    </row>
    <row r="52" customFormat="false" ht="15" hidden="false" customHeight="false" outlineLevel="0" collapsed="false">
      <c r="B52" s="18" t="s">
        <v>125</v>
      </c>
      <c r="C52" s="11" t="n">
        <f aca="false">VLOOKUP(B52,Interview!$A$18:$J$230,7,FALSE())</f>
        <v>0</v>
      </c>
      <c r="D52" s="10" t="s">
        <v>112</v>
      </c>
    </row>
    <row r="53" customFormat="false" ht="15" hidden="false" customHeight="false" outlineLevel="0" collapsed="false">
      <c r="B53" s="18" t="s">
        <v>126</v>
      </c>
      <c r="C53" s="11" t="n">
        <f aca="false">VLOOKUP(B53,Interview!$A$18:$J$230,7,FALSE())</f>
        <v>0</v>
      </c>
      <c r="D53" s="10" t="s">
        <v>112</v>
      </c>
    </row>
    <row r="54" customFormat="false" ht="15" hidden="false" customHeight="false" outlineLevel="0" collapsed="false">
      <c r="B54" s="18" t="s">
        <v>127</v>
      </c>
      <c r="C54" s="11" t="n">
        <f aca="false">VLOOKUP(B54,Interview!$A$18:$J$230,7,FALSE())</f>
        <v>0</v>
      </c>
      <c r="D54" s="10" t="s">
        <v>112</v>
      </c>
    </row>
    <row r="55" customFormat="false" ht="15" hidden="false" customHeight="false" outlineLevel="0" collapsed="false">
      <c r="B55" s="18" t="s">
        <v>128</v>
      </c>
      <c r="C55" s="11" t="n">
        <f aca="false">VLOOKUP(B55,Interview!$A$18:$J$230,7,FALSE())</f>
        <v>0</v>
      </c>
      <c r="D55" s="10" t="s">
        <v>112</v>
      </c>
    </row>
    <row r="56" customFormat="false" ht="15" hidden="false" customHeight="false" outlineLevel="0" collapsed="false">
      <c r="B56" s="18" t="s">
        <v>129</v>
      </c>
      <c r="C56" s="11" t="n">
        <f aca="false">VLOOKUP(B56,Interview!$A$18:$J$230,7,FALSE())</f>
        <v>0</v>
      </c>
      <c r="D56" s="10" t="s">
        <v>112</v>
      </c>
    </row>
    <row r="57" customFormat="false" ht="15" hidden="false" customHeight="false" outlineLevel="0" collapsed="false">
      <c r="B57" s="18" t="s">
        <v>130</v>
      </c>
      <c r="C57" s="11" t="n">
        <f aca="false">VLOOKUP(B57,Interview!$A$18:$J$230,7,FALSE())</f>
        <v>0</v>
      </c>
      <c r="D57" s="10" t="s">
        <v>112</v>
      </c>
    </row>
    <row r="58" customFormat="false" ht="15" hidden="false" customHeight="false" outlineLevel="0" collapsed="false">
      <c r="B58" s="18" t="s">
        <v>131</v>
      </c>
      <c r="C58" s="11" t="n">
        <f aca="false">VLOOKUP(B58,Interview!$A$18:$J$230,7,FALSE())</f>
        <v>0</v>
      </c>
      <c r="D58" s="10" t="s">
        <v>112</v>
      </c>
    </row>
    <row r="59" customFormat="false" ht="15" hidden="false" customHeight="false" outlineLevel="0" collapsed="false">
      <c r="B59" s="18" t="s">
        <v>132</v>
      </c>
      <c r="C59" s="11" t="n">
        <f aca="false">VLOOKUP(B59,Interview!$A$18:$J$230,7,FALSE())</f>
        <v>0</v>
      </c>
      <c r="D59" s="10" t="s">
        <v>112</v>
      </c>
    </row>
    <row r="60" customFormat="false" ht="15" hidden="false" customHeight="false" outlineLevel="0" collapsed="false">
      <c r="B60" s="18" t="s">
        <v>133</v>
      </c>
      <c r="C60" s="11" t="n">
        <f aca="false">VLOOKUP(B60,Interview!$A$18:$J$230,7,FALSE())</f>
        <v>0</v>
      </c>
      <c r="D60" s="10" t="s">
        <v>112</v>
      </c>
    </row>
    <row r="61" customFormat="false" ht="15" hidden="false" customHeight="false" outlineLevel="0" collapsed="false">
      <c r="B61" s="18" t="s">
        <v>134</v>
      </c>
      <c r="C61" s="11" t="n">
        <f aca="false">VLOOKUP(B61,Interview!$A$18:$J$230,7,FALSE())</f>
        <v>0</v>
      </c>
      <c r="D61" s="10" t="s">
        <v>112</v>
      </c>
    </row>
    <row r="62" customFormat="false" ht="15" hidden="false" customHeight="false" outlineLevel="0" collapsed="false">
      <c r="B62" s="18" t="s">
        <v>135</v>
      </c>
      <c r="C62" s="11" t="n">
        <f aca="false">VLOOKUP(B62,Interview!$A$18:$J$230,7,FALSE())</f>
        <v>0</v>
      </c>
      <c r="D62" s="10" t="s">
        <v>112</v>
      </c>
    </row>
    <row r="63" customFormat="false" ht="15" hidden="false" customHeight="false" outlineLevel="0" collapsed="false">
      <c r="B63" s="18" t="s">
        <v>136</v>
      </c>
      <c r="C63" s="11" t="n">
        <f aca="false">VLOOKUP(B63,Interview!$A$18:$J$230,7,FALSE())</f>
        <v>0</v>
      </c>
      <c r="D63" s="10" t="s">
        <v>112</v>
      </c>
    </row>
    <row r="64" customFormat="false" ht="15" hidden="false" customHeight="false" outlineLevel="0" collapsed="false">
      <c r="B64" s="18" t="s">
        <v>137</v>
      </c>
      <c r="C64" s="11" t="n">
        <f aca="false">VLOOKUP(B64,Interview!$A$18:$J$230,7,FALSE())</f>
        <v>0</v>
      </c>
      <c r="D64" s="10" t="s">
        <v>112</v>
      </c>
    </row>
    <row r="65" customFormat="false" ht="15" hidden="false" customHeight="false" outlineLevel="0" collapsed="false">
      <c r="B65" s="18" t="s">
        <v>138</v>
      </c>
      <c r="C65" s="11" t="n">
        <f aca="false">VLOOKUP(B65,Interview!$A$18:$J$230,7,FALSE())</f>
        <v>0</v>
      </c>
      <c r="D65" s="10" t="s">
        <v>112</v>
      </c>
    </row>
    <row r="66" customFormat="false" ht="15" hidden="false" customHeight="false" outlineLevel="0" collapsed="false">
      <c r="B66" s="18" t="s">
        <v>139</v>
      </c>
      <c r="C66" s="11" t="n">
        <f aca="false">VLOOKUP(B66,Interview!$A$18:$J$230,7,FALSE())</f>
        <v>0</v>
      </c>
      <c r="D66" s="10" t="s">
        <v>112</v>
      </c>
    </row>
    <row r="67" customFormat="false" ht="15" hidden="false" customHeight="false" outlineLevel="0" collapsed="false">
      <c r="B67" s="18" t="s">
        <v>140</v>
      </c>
      <c r="C67" s="11" t="n">
        <f aca="false">VLOOKUP(B67,Interview!$A$18:$J$230,7,FALSE())</f>
        <v>0</v>
      </c>
      <c r="D67" s="10" t="s">
        <v>112</v>
      </c>
    </row>
    <row r="68" customFormat="false" ht="15" hidden="false" customHeight="false" outlineLevel="0" collapsed="false">
      <c r="B68" s="18" t="s">
        <v>141</v>
      </c>
      <c r="C68" s="11" t="n">
        <f aca="false">VLOOKUP(B68,Interview!$A$18:$J$230,7,FALSE())</f>
        <v>0</v>
      </c>
      <c r="D68" s="10" t="s">
        <v>112</v>
      </c>
    </row>
    <row r="69" customFormat="false" ht="15" hidden="false" customHeight="false" outlineLevel="0" collapsed="false">
      <c r="B69" s="18" t="s">
        <v>142</v>
      </c>
      <c r="C69" s="11" t="n">
        <f aca="false">VLOOKUP(B69,Interview!$A$18:$J$230,7,FALSE())</f>
        <v>0</v>
      </c>
      <c r="D69" s="10" t="s">
        <v>112</v>
      </c>
    </row>
    <row r="70" customFormat="false" ht="15" hidden="false" customHeight="false" outlineLevel="0" collapsed="false">
      <c r="B70" s="18" t="s">
        <v>143</v>
      </c>
      <c r="C70" s="11" t="n">
        <f aca="false">VLOOKUP(B70,Interview!$A$18:$J$230,7,FALSE())</f>
        <v>0</v>
      </c>
      <c r="D70" s="10" t="s">
        <v>112</v>
      </c>
    </row>
    <row r="71" customFormat="false" ht="15" hidden="false" customHeight="false" outlineLevel="0" collapsed="false">
      <c r="B71" s="18" t="s">
        <v>144</v>
      </c>
      <c r="C71" s="11" t="n">
        <f aca="false">VLOOKUP(B71,Interview!$A$18:$J$230,7,FALSE())</f>
        <v>0</v>
      </c>
      <c r="D71" s="10" t="s">
        <v>112</v>
      </c>
    </row>
    <row r="72" customFormat="false" ht="15" hidden="false" customHeight="false" outlineLevel="0" collapsed="false">
      <c r="B72" s="18" t="s">
        <v>145</v>
      </c>
      <c r="C72" s="11" t="n">
        <f aca="false">VLOOKUP(B72,Interview!$A$18:$J$230,7,FALSE())</f>
        <v>0</v>
      </c>
      <c r="D72" s="10" t="s">
        <v>112</v>
      </c>
    </row>
    <row r="73" customFormat="false" ht="15" hidden="false" customHeight="false" outlineLevel="0" collapsed="false">
      <c r="B73" s="18" t="s">
        <v>146</v>
      </c>
      <c r="C73" s="11" t="n">
        <f aca="false">VLOOKUP(B73,Interview!$A$18:$J$230,7,FALSE())</f>
        <v>0</v>
      </c>
      <c r="D73" s="10" t="s">
        <v>112</v>
      </c>
    </row>
    <row r="74" customFormat="false" ht="15" hidden="false" customHeight="false" outlineLevel="0" collapsed="false">
      <c r="B74" s="18" t="s">
        <v>147</v>
      </c>
      <c r="C74" s="11" t="n">
        <f aca="false">VLOOKUP(B74,Interview!$A$18:$J$230,7,FALSE())</f>
        <v>0</v>
      </c>
      <c r="D74" s="10" t="s">
        <v>112</v>
      </c>
    </row>
    <row r="75" customFormat="false" ht="15" hidden="false" customHeight="false" outlineLevel="0" collapsed="false">
      <c r="B75" s="18" t="s">
        <v>148</v>
      </c>
      <c r="C75" s="11" t="n">
        <f aca="false">VLOOKUP(B75,Interview!$A$18:$J$230,7,FALSE())</f>
        <v>0</v>
      </c>
      <c r="D75" s="10" t="s">
        <v>112</v>
      </c>
    </row>
    <row r="76" customFormat="false" ht="15" hidden="false" customHeight="false" outlineLevel="0" collapsed="false">
      <c r="B76" s="18" t="s">
        <v>149</v>
      </c>
      <c r="C76" s="11" t="n">
        <f aca="false">VLOOKUP(B76,Interview!$A$18:$J$230,7,FALSE())</f>
        <v>0</v>
      </c>
      <c r="D76" s="10" t="s">
        <v>112</v>
      </c>
    </row>
    <row r="77" customFormat="false" ht="15" hidden="false" customHeight="false" outlineLevel="0" collapsed="false">
      <c r="B77" s="18" t="s">
        <v>150</v>
      </c>
      <c r="C77" s="11" t="n">
        <f aca="false">VLOOKUP(B77,Interview!$A$18:$J$230,7,FALSE())</f>
        <v>0</v>
      </c>
      <c r="D77" s="10" t="s">
        <v>112</v>
      </c>
    </row>
    <row r="78" customFormat="false" ht="15" hidden="false" customHeight="false" outlineLevel="0" collapsed="false">
      <c r="B78" s="18" t="s">
        <v>151</v>
      </c>
      <c r="C78" s="11" t="n">
        <f aca="false">VLOOKUP(B78,Interview!$A$18:$J$230,7,FALSE())</f>
        <v>0</v>
      </c>
      <c r="D78" s="10" t="s">
        <v>112</v>
      </c>
    </row>
    <row r="79" customFormat="false" ht="15" hidden="false" customHeight="false" outlineLevel="0" collapsed="false">
      <c r="B79" s="18" t="s">
        <v>152</v>
      </c>
      <c r="C79" s="11" t="n">
        <f aca="false">VLOOKUP(B79,Interview!$A$18:$J$230,7,FALSE())</f>
        <v>0</v>
      </c>
      <c r="D79" s="10" t="s">
        <v>112</v>
      </c>
    </row>
    <row r="80" customFormat="false" ht="15" hidden="false" customHeight="false" outlineLevel="0" collapsed="false">
      <c r="B80" s="18" t="s">
        <v>153</v>
      </c>
      <c r="C80" s="11" t="n">
        <f aca="false">VLOOKUP(B80,Interview!$A$18:$J$230,7,FALSE())</f>
        <v>0</v>
      </c>
      <c r="D80" s="10" t="s">
        <v>112</v>
      </c>
    </row>
    <row r="81" customFormat="false" ht="15" hidden="false" customHeight="false" outlineLevel="0" collapsed="false">
      <c r="B81" s="18" t="s">
        <v>154</v>
      </c>
      <c r="C81" s="11" t="n">
        <f aca="false">VLOOKUP(B81,Interview!$A$18:$J$230,7,FALSE())</f>
        <v>0</v>
      </c>
      <c r="D81" s="10" t="s">
        <v>112</v>
      </c>
    </row>
    <row r="82" customFormat="false" ht="15" hidden="false" customHeight="false" outlineLevel="0" collapsed="false">
      <c r="B82" s="18" t="s">
        <v>155</v>
      </c>
      <c r="C82" s="11" t="n">
        <f aca="false">VLOOKUP(B82,Interview!$A$18:$J$230,7,FALSE())</f>
        <v>0</v>
      </c>
      <c r="D82" s="10" t="s">
        <v>112</v>
      </c>
    </row>
    <row r="83" customFormat="false" ht="15" hidden="false" customHeight="false" outlineLevel="0" collapsed="false">
      <c r="B83" s="18" t="s">
        <v>156</v>
      </c>
      <c r="C83" s="11" t="n">
        <f aca="false">VLOOKUP(B83,Interview!$A$18:$J$230,7,FALSE())</f>
        <v>0</v>
      </c>
      <c r="D83" s="10" t="s">
        <v>112</v>
      </c>
    </row>
    <row r="84" customFormat="false" ht="15" hidden="false" customHeight="false" outlineLevel="0" collapsed="false">
      <c r="B84" s="18" t="s">
        <v>157</v>
      </c>
      <c r="C84" s="11" t="n">
        <f aca="false">VLOOKUP(B84,Interview!$A$18:$J$230,7,FALSE())</f>
        <v>0</v>
      </c>
      <c r="D84" s="10" t="s">
        <v>112</v>
      </c>
    </row>
    <row r="85" customFormat="false" ht="15" hidden="false" customHeight="false" outlineLevel="0" collapsed="false">
      <c r="B85" s="18" t="s">
        <v>158</v>
      </c>
      <c r="C85" s="11" t="n">
        <f aca="false">VLOOKUP(B85,Interview!$A$18:$J$230,7,FALSE())</f>
        <v>0</v>
      </c>
      <c r="D85" s="10" t="s">
        <v>112</v>
      </c>
    </row>
    <row r="86" customFormat="false" ht="15" hidden="false" customHeight="false" outlineLevel="0" collapsed="false">
      <c r="B86" s="18" t="s">
        <v>159</v>
      </c>
      <c r="C86" s="11" t="n">
        <f aca="false">VLOOKUP(B86,Interview!$A$18:$J$230,7,FALSE())</f>
        <v>0</v>
      </c>
      <c r="D86" s="10" t="s">
        <v>112</v>
      </c>
    </row>
    <row r="87" customFormat="false" ht="15" hidden="false" customHeight="false" outlineLevel="0" collapsed="false">
      <c r="B87" s="18" t="s">
        <v>160</v>
      </c>
      <c r="C87" s="11" t="n">
        <f aca="false">VLOOKUP(B87,Interview!$A$18:$J$230,7,FALSE())</f>
        <v>0</v>
      </c>
      <c r="D87" s="10" t="s">
        <v>112</v>
      </c>
    </row>
    <row r="88" customFormat="false" ht="15" hidden="false" customHeight="false" outlineLevel="0" collapsed="false">
      <c r="B88" s="18" t="s">
        <v>161</v>
      </c>
      <c r="C88" s="11" t="n">
        <f aca="false">VLOOKUP(B88,Interview!$A$18:$J$230,7,FALSE())</f>
        <v>0</v>
      </c>
      <c r="D88" s="10" t="s">
        <v>112</v>
      </c>
    </row>
    <row r="89" customFormat="false" ht="15" hidden="false" customHeight="false" outlineLevel="0" collapsed="false">
      <c r="B89" s="18" t="s">
        <v>162</v>
      </c>
      <c r="C89" s="11" t="n">
        <f aca="false">VLOOKUP(B89,Interview!$A$18:$J$230,7,FALSE())</f>
        <v>0</v>
      </c>
      <c r="D89" s="10" t="s">
        <v>112</v>
      </c>
    </row>
    <row r="90" customFormat="false" ht="15" hidden="false" customHeight="false" outlineLevel="0" collapsed="false">
      <c r="B90" s="18" t="s">
        <v>163</v>
      </c>
      <c r="C90" s="11" t="n">
        <f aca="false">VLOOKUP(B90,Interview!$A$18:$J$230,7,FALSE())</f>
        <v>0</v>
      </c>
      <c r="D90" s="10" t="s">
        <v>112</v>
      </c>
    </row>
    <row r="91" customFormat="false" ht="15" hidden="false" customHeight="false" outlineLevel="0" collapsed="false">
      <c r="B91" s="18" t="s">
        <v>164</v>
      </c>
      <c r="C91" s="11" t="n">
        <f aca="false">VLOOKUP(B91,Interview!$A$18:$J$230,7,FALSE())</f>
        <v>0</v>
      </c>
      <c r="D91" s="10" t="s">
        <v>112</v>
      </c>
    </row>
    <row r="92" customFormat="false" ht="15" hidden="false" customHeight="false" outlineLevel="0" collapsed="false">
      <c r="B92" s="18" t="s">
        <v>165</v>
      </c>
      <c r="C92" s="11" t="n">
        <f aca="false">VLOOKUP(B92,Interview!$A$18:$J$230,7,FALSE())</f>
        <v>0</v>
      </c>
      <c r="D92" s="10" t="s">
        <v>112</v>
      </c>
    </row>
    <row r="93" customFormat="false" ht="15" hidden="false" customHeight="false" outlineLevel="0" collapsed="false">
      <c r="B93" s="18" t="s">
        <v>166</v>
      </c>
      <c r="C93" s="11" t="n">
        <f aca="false">VLOOKUP(B93,Interview!$A$18:$J$230,7,FALSE())</f>
        <v>0</v>
      </c>
      <c r="D93" s="10" t="s">
        <v>112</v>
      </c>
    </row>
    <row r="94" customFormat="false" ht="15" hidden="false" customHeight="false" outlineLevel="0" collapsed="false">
      <c r="B94" s="18" t="s">
        <v>167</v>
      </c>
      <c r="C94" s="11" t="n">
        <f aca="false">VLOOKUP(B94,Interview!$A$18:$J$230,7,FALSE())</f>
        <v>0</v>
      </c>
      <c r="D94" s="10" t="s">
        <v>112</v>
      </c>
    </row>
    <row r="95" customFormat="false" ht="15" hidden="false" customHeight="false" outlineLevel="0" collapsed="false">
      <c r="B95" s="18" t="s">
        <v>168</v>
      </c>
      <c r="C95" s="11" t="n">
        <f aca="false">VLOOKUP(B95,Interview!$A$18:$J$230,7,FALSE())</f>
        <v>0</v>
      </c>
      <c r="D95" s="10" t="s">
        <v>112</v>
      </c>
    </row>
    <row r="96" customFormat="false" ht="15" hidden="false" customHeight="false" outlineLevel="0" collapsed="false">
      <c r="B96" s="18" t="s">
        <v>169</v>
      </c>
      <c r="C96" s="11" t="n">
        <f aca="false">VLOOKUP(B96,Interview!$A$18:$J$230,7,FALSE())</f>
        <v>0</v>
      </c>
      <c r="D96" s="10" t="s">
        <v>112</v>
      </c>
    </row>
    <row r="97" customFormat="false" ht="15" hidden="false" customHeight="false" outlineLevel="0" collapsed="false">
      <c r="B97" s="18" t="s">
        <v>170</v>
      </c>
      <c r="C97" s="11" t="n">
        <f aca="false">VLOOKUP(B97,Interview!$A$18:$J$230,7,FALSE())</f>
        <v>0</v>
      </c>
      <c r="D97" s="10" t="s">
        <v>112</v>
      </c>
    </row>
    <row r="98" customFormat="false" ht="15" hidden="false" customHeight="false" outlineLevel="0" collapsed="false">
      <c r="B98" s="18" t="s">
        <v>171</v>
      </c>
      <c r="C98" s="11" t="n">
        <f aca="false">VLOOKUP(B98,Interview!$A$18:$J$230,7,FALSE())</f>
        <v>0</v>
      </c>
      <c r="D98" s="10" t="s">
        <v>112</v>
      </c>
    </row>
    <row r="99" customFormat="false" ht="15" hidden="false" customHeight="false" outlineLevel="0" collapsed="false">
      <c r="B99" s="18" t="s">
        <v>172</v>
      </c>
      <c r="C99" s="11" t="n">
        <f aca="false">VLOOKUP(B99,Interview!$A$18:$J$230,7,FALSE())</f>
        <v>0</v>
      </c>
      <c r="D99" s="10" t="s">
        <v>112</v>
      </c>
    </row>
    <row r="100" customFormat="false" ht="15" hidden="false" customHeight="false" outlineLevel="0" collapsed="false">
      <c r="B100" s="18" t="s">
        <v>173</v>
      </c>
      <c r="C100" s="11" t="n">
        <f aca="false">VLOOKUP(B100,Interview!$A$18:$J$230,7,FALSE())</f>
        <v>0</v>
      </c>
      <c r="D100" s="10" t="s">
        <v>112</v>
      </c>
    </row>
    <row r="101" customFormat="false" ht="15" hidden="false" customHeight="false" outlineLevel="0" collapsed="false">
      <c r="B101" s="18" t="s">
        <v>174</v>
      </c>
      <c r="C101" s="11" t="n">
        <f aca="false">VLOOKUP(B101,Interview!$A$18:$J$230,7,FALSE())</f>
        <v>0</v>
      </c>
      <c r="D101" s="10" t="s">
        <v>112</v>
      </c>
    </row>
    <row r="102" customFormat="false" ht="15" hidden="false" customHeight="false" outlineLevel="0" collapsed="false">
      <c r="B102" s="18" t="s">
        <v>175</v>
      </c>
      <c r="C102" s="11" t="n">
        <f aca="false">VLOOKUP(B102,Interview!$A$18:$J$230,7,FALSE())</f>
        <v>0</v>
      </c>
      <c r="D102" s="10" t="s">
        <v>112</v>
      </c>
    </row>
    <row r="103" customFormat="false" ht="15" hidden="false" customHeight="false" outlineLevel="0" collapsed="false">
      <c r="B103" s="18" t="s">
        <v>176</v>
      </c>
      <c r="C103" s="11" t="n">
        <f aca="false">VLOOKUP(B103,Interview!$A$18:$J$230,7,FALSE())</f>
        <v>0</v>
      </c>
      <c r="D103" s="10" t="s">
        <v>112</v>
      </c>
    </row>
    <row r="104" customFormat="false" ht="15" hidden="false" customHeight="false" outlineLevel="0" collapsed="false">
      <c r="B104" s="18" t="s">
        <v>177</v>
      </c>
      <c r="C104" s="11" t="n">
        <f aca="false">VLOOKUP(B104,Interview!$A$18:$J$230,7,FALSE())</f>
        <v>0</v>
      </c>
      <c r="D104" s="10" t="s">
        <v>112</v>
      </c>
    </row>
    <row r="105" customFormat="false" ht="15" hidden="false" customHeight="false" outlineLevel="0" collapsed="false">
      <c r="B105" s="18" t="s">
        <v>178</v>
      </c>
      <c r="C105" s="11" t="n">
        <f aca="false">VLOOKUP(B105,Interview!$A$18:$J$230,7,FALSE())</f>
        <v>0</v>
      </c>
      <c r="D105" s="10" t="s">
        <v>112</v>
      </c>
    </row>
    <row r="106" customFormat="false" ht="15" hidden="false" customHeight="false" outlineLevel="0" collapsed="false">
      <c r="B106" s="18" t="s">
        <v>179</v>
      </c>
      <c r="C106" s="11" t="n">
        <f aca="false">VLOOKUP(B106,Interview!$A$18:$J$230,7,FALSE())</f>
        <v>0</v>
      </c>
      <c r="D106" s="10" t="s">
        <v>112</v>
      </c>
    </row>
    <row r="107" customFormat="false" ht="15" hidden="false" customHeight="false" outlineLevel="0" collapsed="false">
      <c r="B107" s="18" t="s">
        <v>180</v>
      </c>
      <c r="C107" s="11" t="n">
        <f aca="false">VLOOKUP(B107,Interview!$A$18:$J$230,7,FALSE())</f>
        <v>0</v>
      </c>
      <c r="D107" s="10" t="s">
        <v>112</v>
      </c>
    </row>
    <row r="108" customFormat="false" ht="15" hidden="false" customHeight="false" outlineLevel="0" collapsed="false">
      <c r="B108" s="18" t="s">
        <v>181</v>
      </c>
      <c r="C108" s="11" t="n">
        <f aca="false">VLOOKUP(B108,Interview!$A$18:$J$230,7,FALSE())</f>
        <v>0</v>
      </c>
      <c r="D108" s="10" t="s">
        <v>112</v>
      </c>
    </row>
    <row r="109" customFormat="false" ht="15" hidden="false" customHeight="false" outlineLevel="0" collapsed="false">
      <c r="B109" s="18" t="s">
        <v>182</v>
      </c>
      <c r="C109" s="11" t="n">
        <f aca="false">VLOOKUP(B109,Interview!$A$18:$J$230,7,FALSE())</f>
        <v>0</v>
      </c>
      <c r="D109" s="10" t="s">
        <v>112</v>
      </c>
    </row>
    <row r="110" customFormat="false" ht="15" hidden="false" customHeight="false" outlineLevel="0" collapsed="false">
      <c r="B110" s="18" t="s">
        <v>183</v>
      </c>
      <c r="C110" s="11" t="n">
        <f aca="false">VLOOKUP(B110,Interview!$A$18:$J$230,7,FALSE())</f>
        <v>0</v>
      </c>
      <c r="D110" s="10" t="s">
        <v>112</v>
      </c>
    </row>
    <row r="111" customFormat="false" ht="15" hidden="false" customHeight="false" outlineLevel="0" collapsed="false">
      <c r="B111" s="18" t="s">
        <v>184</v>
      </c>
      <c r="C111" s="11" t="n">
        <f aca="false">VLOOKUP(B111,Interview!$A$18:$J$230,7,FALSE())</f>
        <v>0</v>
      </c>
      <c r="D111" s="10" t="s">
        <v>112</v>
      </c>
    </row>
    <row r="112" customFormat="false" ht="15" hidden="false" customHeight="false" outlineLevel="0" collapsed="false">
      <c r="B112" s="18" t="s">
        <v>185</v>
      </c>
      <c r="C112" s="11" t="n">
        <f aca="false">VLOOKUP(B112,Interview!$A$18:$J$230,7,FALSE())</f>
        <v>0</v>
      </c>
      <c r="D112" s="10" t="s">
        <v>112</v>
      </c>
    </row>
    <row r="113" customFormat="false" ht="15" hidden="false" customHeight="false" outlineLevel="0" collapsed="false">
      <c r="B113" s="18" t="s">
        <v>186</v>
      </c>
      <c r="C113" s="11" t="n">
        <f aca="false">VLOOKUP(B113,Interview!$A$18:$J$230,7,FALSE())</f>
        <v>0</v>
      </c>
      <c r="D113" s="10" t="s">
        <v>112</v>
      </c>
    </row>
    <row r="114" customFormat="false" ht="15" hidden="false" customHeight="false" outlineLevel="0" collapsed="false">
      <c r="B114" s="18" t="s">
        <v>187</v>
      </c>
      <c r="C114" s="11" t="n">
        <f aca="false">VLOOKUP(B114,Interview!$A$18:$J$230,7,FALSE())</f>
        <v>0</v>
      </c>
      <c r="D114" s="10" t="s">
        <v>112</v>
      </c>
    </row>
    <row r="115" customFormat="false" ht="15" hidden="false" customHeight="false" outlineLevel="0" collapsed="false">
      <c r="B115" s="18" t="s">
        <v>188</v>
      </c>
      <c r="C115" s="11" t="n">
        <f aca="false">VLOOKUP(B115,Interview!$A$18:$J$230,7,FALSE())</f>
        <v>0</v>
      </c>
      <c r="D115" s="10" t="s">
        <v>112</v>
      </c>
    </row>
    <row r="116" customFormat="false" ht="15" hidden="false" customHeight="false" outlineLevel="0" collapsed="false">
      <c r="B116" s="18" t="s">
        <v>189</v>
      </c>
      <c r="C116" s="11" t="n">
        <f aca="false">VLOOKUP(B116,Interview!$A$18:$J$230,7,FALSE())</f>
        <v>0</v>
      </c>
      <c r="D116" s="10" t="s">
        <v>112</v>
      </c>
    </row>
    <row r="117" customFormat="false" ht="15" hidden="false" customHeight="false" outlineLevel="0" collapsed="false">
      <c r="B117" s="18" t="s">
        <v>190</v>
      </c>
      <c r="C117" s="11" t="n">
        <f aca="false">VLOOKUP(B117,Interview!$A$18:$J$230,7,FALSE())</f>
        <v>0</v>
      </c>
      <c r="D117" s="10" t="s">
        <v>112</v>
      </c>
    </row>
    <row r="118" customFormat="false" ht="15" hidden="false" customHeight="false" outlineLevel="0" collapsed="false">
      <c r="B118" s="18" t="s">
        <v>191</v>
      </c>
      <c r="C118" s="11" t="n">
        <f aca="false">VLOOKUP(B118,Interview!$A$18:$J$230,7,FALSE())</f>
        <v>0</v>
      </c>
      <c r="D118" s="10" t="s">
        <v>112</v>
      </c>
    </row>
    <row r="119" customFormat="false" ht="15" hidden="false" customHeight="false" outlineLevel="0" collapsed="false">
      <c r="B119" s="18" t="s">
        <v>192</v>
      </c>
      <c r="C119" s="11" t="n">
        <f aca="false">VLOOKUP(B119,Interview!$A$18:$J$230,7,FALSE())</f>
        <v>0</v>
      </c>
      <c r="D119" s="10" t="s">
        <v>112</v>
      </c>
    </row>
    <row r="120" customFormat="false" ht="15" hidden="false" customHeight="false" outlineLevel="0" collapsed="false">
      <c r="B120" s="18" t="s">
        <v>193</v>
      </c>
      <c r="C120" s="11" t="n">
        <f aca="false">VLOOKUP(B120,Interview!$A$18:$J$230,7,FALSE())</f>
        <v>0</v>
      </c>
      <c r="D120" s="10" t="s">
        <v>112</v>
      </c>
    </row>
    <row r="121" customFormat="false" ht="15" hidden="false" customHeight="false" outlineLevel="0" collapsed="false">
      <c r="B121" s="18" t="s">
        <v>194</v>
      </c>
      <c r="C121" s="11" t="n">
        <f aca="false">VLOOKUP(B121,Interview!$A$18:$J$230,7,FALSE())</f>
        <v>0</v>
      </c>
      <c r="D121" s="10" t="s">
        <v>112</v>
      </c>
    </row>
    <row r="122" customFormat="false" ht="15" hidden="false" customHeight="false" outlineLevel="0" collapsed="false">
      <c r="B122" s="18" t="s">
        <v>195</v>
      </c>
      <c r="C122" s="11" t="n">
        <f aca="false">VLOOKUP(B122,Interview!$A$18:$J$230,7,FALSE())</f>
        <v>0</v>
      </c>
      <c r="D122" s="10" t="s">
        <v>112</v>
      </c>
    </row>
    <row r="123" customFormat="false" ht="15" hidden="false" customHeight="false" outlineLevel="0" collapsed="false">
      <c r="B123" s="18" t="s">
        <v>196</v>
      </c>
      <c r="C123" s="11" t="n">
        <f aca="false">VLOOKUP(B123,Interview!$A$18:$J$230,7,FALSE())</f>
        <v>0</v>
      </c>
      <c r="D123" s="10" t="s">
        <v>112</v>
      </c>
    </row>
    <row r="124" customFormat="false" ht="15" hidden="false" customHeight="false" outlineLevel="0" collapsed="false">
      <c r="B124" s="18" t="s">
        <v>197</v>
      </c>
      <c r="C124" s="11" t="n">
        <f aca="false">VLOOKUP(B124,Interview!$A$18:$J$230,7,FALSE())</f>
        <v>0</v>
      </c>
      <c r="D124" s="10" t="s">
        <v>112</v>
      </c>
    </row>
    <row r="125" customFormat="false" ht="15" hidden="false" customHeight="false" outlineLevel="0" collapsed="false">
      <c r="B125" s="18" t="s">
        <v>198</v>
      </c>
      <c r="C125" s="11" t="n">
        <f aca="false">VLOOKUP(B125,Interview!$A$18:$J$230,7,FALSE())</f>
        <v>0</v>
      </c>
      <c r="D125" s="10" t="s">
        <v>112</v>
      </c>
    </row>
    <row r="126" customFormat="false" ht="15" hidden="false" customHeight="false" outlineLevel="0" collapsed="false">
      <c r="B126" s="18" t="s">
        <v>199</v>
      </c>
      <c r="C126" s="11" t="n">
        <f aca="false">VLOOKUP(B126,Interview!$A$18:$J$230,7,FALSE())</f>
        <v>0</v>
      </c>
      <c r="D126" s="10" t="s">
        <v>112</v>
      </c>
    </row>
    <row r="127" customFormat="false" ht="15" hidden="false" customHeight="false" outlineLevel="0" collapsed="false">
      <c r="B127" s="18" t="s">
        <v>200</v>
      </c>
      <c r="C127" s="11" t="n">
        <f aca="false">VLOOKUP(B127,Interview!$A$18:$J$230,7,FALSE())</f>
        <v>0</v>
      </c>
      <c r="D127" s="10" t="s">
        <v>112</v>
      </c>
    </row>
    <row r="128" customFormat="false" ht="15" hidden="false" customHeight="false" outlineLevel="0" collapsed="false">
      <c r="B128" s="18" t="s">
        <v>201</v>
      </c>
      <c r="C128" s="11" t="n">
        <f aca="false">VLOOKUP(B128,Interview!$A$18:$J$230,7,FALSE())</f>
        <v>0</v>
      </c>
      <c r="D128" s="10" t="s">
        <v>112</v>
      </c>
    </row>
  </sheetData>
  <mergeCells count="1">
    <mergeCell ref="B1:C1"/>
  </mergeCells>
  <dataValidations count="8">
    <dataValidation allowBlank="false" errorStyle="stop" operator="between" showDropDown="false" showErrorMessage="true" showInputMessage="true" sqref="C15" type="list">
      <formula1>$L$5:$L$9</formula1>
      <formula2>0</formula2>
    </dataValidation>
    <dataValidation allowBlank="false" errorStyle="stop" operator="between" showDropDown="false" showErrorMessage="true" showInputMessage="true" sqref="C14" type="list">
      <formula1>$K$5:$K$8</formula1>
      <formula2>0</formula2>
    </dataValidation>
    <dataValidation allowBlank="false" errorStyle="stop" operator="between" showDropDown="false" showErrorMessage="true" showInputMessage="true" sqref="C13 C16" type="list">
      <formula1>$J$5:$J$8</formula1>
      <formula2>0</formula2>
    </dataValidation>
    <dataValidation allowBlank="false" errorStyle="stop" operator="between" showDropDown="false" showErrorMessage="true" showInputMessage="true" sqref="C12" type="list">
      <formula1>$I$5:$I$19</formula1>
      <formula2>0</formula2>
    </dataValidation>
    <dataValidation allowBlank="false" errorStyle="stop" operator="between" showDropDown="false" showErrorMessage="true" showInputMessage="true" sqref="C10" type="list">
      <formula1>$G$5:$G$7</formula1>
      <formula2>0</formula2>
    </dataValidation>
    <dataValidation allowBlank="false" errorStyle="stop" operator="between" showDropDown="false" showErrorMessage="true" showInputMessage="true" sqref="C11" type="list">
      <formula1>$H$5:$H$11</formula1>
      <formula2>0</formula2>
    </dataValidation>
    <dataValidation allowBlank="false" errorStyle="stop" operator="between" showDropDown="false" showErrorMessage="true" showInputMessage="true" sqref="C9" type="list">
      <formula1>$F$5:$F$6</formula1>
      <formula2>0</formula2>
    </dataValidation>
    <dataValidation allowBlank="false" errorStyle="stop" operator="between" showDropDown="false" showErrorMessage="true" showInputMessage="true" sqref="C17" type="list">
      <formula1>$M$5:$M$8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14" colorId="64" zoomScale="100" zoomScaleNormal="100" zoomScalePageLayoutView="100" workbookViewId="0">
      <selection pane="topLeft" activeCell="F18" activeCellId="0" sqref="F18"/>
    </sheetView>
  </sheetViews>
  <sheetFormatPr defaultColWidth="8.84765625" defaultRowHeight="12.75" customHeight="true" zeroHeight="false" outlineLevelRow="0" outlineLevelCol="0"/>
  <cols>
    <col collapsed="false" customWidth="true" hidden="true" outlineLevel="0" max="1" min="1" style="19" width="10.38"/>
    <col collapsed="false" customWidth="true" hidden="false" outlineLevel="0" max="2" min="2" style="20" width="15.31"/>
    <col collapsed="false" customWidth="true" hidden="false" outlineLevel="0" max="3" min="3" style="20" width="7.38"/>
    <col collapsed="false" customWidth="true" hidden="false" outlineLevel="0" max="4" min="4" style="21" width="107.85"/>
    <col collapsed="false" customWidth="true" hidden="true" outlineLevel="0" max="5" min="5" style="22" width="5.15"/>
    <col collapsed="false" customWidth="true" hidden="false" outlineLevel="0" max="6" min="6" style="23" width="33.38"/>
    <col collapsed="false" customWidth="true" hidden="true" outlineLevel="0" max="7" min="7" style="19" width="8.53"/>
    <col collapsed="false" customWidth="true" hidden="true" outlineLevel="0" max="8" min="8" style="24" width="8.53"/>
    <col collapsed="false" customWidth="true" hidden="false" outlineLevel="0" max="9" min="9" style="20" width="33.38"/>
    <col collapsed="false" customWidth="true" hidden="false" outlineLevel="0" max="10" min="10" style="25" width="15"/>
    <col collapsed="false" customWidth="true" hidden="false" outlineLevel="0" max="11" min="11" style="20" width="15"/>
    <col collapsed="false" customWidth="true" hidden="false" outlineLevel="0" max="12" min="12" style="20" width="26"/>
    <col collapsed="false" customWidth="true" hidden="false" outlineLevel="0" max="13" min="13" style="20" width="24.38"/>
    <col collapsed="false" customWidth="true" hidden="false" outlineLevel="0" max="14" min="14" style="20" width="26.53"/>
    <col collapsed="false" customWidth="true" hidden="false" outlineLevel="0" max="15" min="15" style="20" width="25.53"/>
    <col collapsed="false" customWidth="true" hidden="false" outlineLevel="0" max="16" min="16" style="20" width="28.53"/>
    <col collapsed="false" customWidth="true" hidden="false" outlineLevel="0" max="26" min="17" style="20" width="15"/>
    <col collapsed="false" customWidth="false" hidden="false" outlineLevel="0" max="16384" min="27" style="20" width="8.85"/>
  </cols>
  <sheetData>
    <row r="1" customFormat="false" ht="18" hidden="false" customHeight="true" outlineLevel="0" collapsed="false">
      <c r="B1" s="26" t="str">
        <f aca="false">CONCATENATE("SAMM Assessment Interview: ",D11," For ",D10)</f>
        <v>SAMM Assessment Interview:  For </v>
      </c>
      <c r="C1" s="26"/>
      <c r="D1" s="26"/>
      <c r="E1" s="26"/>
      <c r="F1" s="26"/>
      <c r="G1" s="26"/>
      <c r="H1" s="26"/>
      <c r="I1" s="26"/>
      <c r="J1" s="27"/>
      <c r="K1" s="28"/>
      <c r="L1" s="28"/>
      <c r="M1" s="28"/>
      <c r="N1" s="28"/>
      <c r="O1" s="28"/>
      <c r="P1" s="28"/>
      <c r="Q1" s="28"/>
      <c r="R1" s="28"/>
      <c r="S1" s="28"/>
      <c r="T1" s="28"/>
      <c r="U1" s="28"/>
      <c r="V1" s="28"/>
      <c r="W1" s="28"/>
      <c r="X1" s="28"/>
      <c r="Y1" s="28"/>
      <c r="Z1" s="28"/>
    </row>
    <row r="2" customFormat="false" ht="15" hidden="false" customHeight="true" outlineLevel="0" collapsed="false">
      <c r="B2" s="28"/>
      <c r="C2" s="28"/>
      <c r="D2" s="28"/>
      <c r="E2" s="29"/>
      <c r="F2" s="30"/>
      <c r="G2" s="29"/>
      <c r="H2" s="31"/>
      <c r="I2" s="32"/>
      <c r="J2" s="27"/>
      <c r="K2" s="28"/>
      <c r="L2" s="28"/>
      <c r="M2" s="28"/>
      <c r="N2" s="28"/>
      <c r="O2" s="28"/>
      <c r="P2" s="28"/>
      <c r="Q2" s="28"/>
      <c r="R2" s="28"/>
      <c r="S2" s="28"/>
      <c r="T2" s="28"/>
      <c r="U2" s="28"/>
      <c r="V2" s="28"/>
      <c r="W2" s="28"/>
      <c r="X2" s="28"/>
      <c r="Y2" s="28"/>
      <c r="Z2" s="28"/>
    </row>
    <row r="3" customFormat="false" ht="14.15" hidden="false" customHeight="true" outlineLevel="0" collapsed="false">
      <c r="B3" s="33" t="s">
        <v>202</v>
      </c>
      <c r="C3" s="33"/>
      <c r="D3" s="33"/>
      <c r="E3" s="33"/>
      <c r="F3" s="33"/>
      <c r="G3" s="33"/>
      <c r="H3" s="33"/>
      <c r="I3" s="33"/>
      <c r="J3" s="27"/>
      <c r="K3" s="28"/>
      <c r="L3" s="28"/>
      <c r="M3" s="28"/>
      <c r="N3" s="28"/>
      <c r="O3" s="28"/>
      <c r="P3" s="28"/>
      <c r="Q3" s="28"/>
      <c r="R3" s="28"/>
      <c r="S3" s="28"/>
      <c r="T3" s="28"/>
      <c r="U3" s="28"/>
      <c r="V3" s="28"/>
      <c r="W3" s="28"/>
      <c r="X3" s="28"/>
      <c r="Y3" s="28"/>
      <c r="Z3" s="28"/>
    </row>
    <row r="4" customFormat="false" ht="14.15" hidden="false" customHeight="true" outlineLevel="0" collapsed="false">
      <c r="B4" s="34" t="s">
        <v>203</v>
      </c>
      <c r="C4" s="34"/>
      <c r="D4" s="34"/>
      <c r="E4" s="34"/>
      <c r="F4" s="34"/>
      <c r="G4" s="34"/>
      <c r="H4" s="34"/>
      <c r="I4" s="34"/>
      <c r="J4" s="27"/>
      <c r="K4" s="28"/>
      <c r="L4" s="28"/>
      <c r="M4" s="28"/>
      <c r="N4" s="28"/>
      <c r="O4" s="28"/>
      <c r="P4" s="28"/>
      <c r="Q4" s="28"/>
      <c r="R4" s="28"/>
      <c r="S4" s="28"/>
      <c r="T4" s="28"/>
      <c r="U4" s="28"/>
      <c r="V4" s="28"/>
      <c r="W4" s="28"/>
      <c r="X4" s="28"/>
      <c r="Y4" s="28"/>
      <c r="Z4" s="28"/>
    </row>
    <row r="5" customFormat="false" ht="14.15" hidden="false" customHeight="true" outlineLevel="0" collapsed="false">
      <c r="B5" s="35" t="s">
        <v>204</v>
      </c>
      <c r="C5" s="35"/>
      <c r="D5" s="35"/>
      <c r="E5" s="35"/>
      <c r="F5" s="35"/>
      <c r="G5" s="35"/>
      <c r="H5" s="35"/>
      <c r="I5" s="35"/>
      <c r="J5" s="27"/>
      <c r="K5" s="28"/>
      <c r="L5" s="28"/>
      <c r="M5" s="28"/>
      <c r="N5" s="28"/>
      <c r="O5" s="28"/>
      <c r="P5" s="28"/>
      <c r="Q5" s="28"/>
      <c r="R5" s="28"/>
      <c r="S5" s="28"/>
      <c r="T5" s="28"/>
      <c r="U5" s="28"/>
      <c r="V5" s="28"/>
      <c r="W5" s="28"/>
      <c r="X5" s="28"/>
      <c r="Y5" s="28"/>
      <c r="Z5" s="28"/>
    </row>
    <row r="6" customFormat="false" ht="14.15" hidden="false" customHeight="true" outlineLevel="0" collapsed="false">
      <c r="B6" s="35" t="s">
        <v>205</v>
      </c>
      <c r="C6" s="35"/>
      <c r="D6" s="35"/>
      <c r="E6" s="35"/>
      <c r="F6" s="35"/>
      <c r="G6" s="35"/>
      <c r="H6" s="35"/>
      <c r="I6" s="35"/>
      <c r="J6" s="27"/>
      <c r="K6" s="28"/>
      <c r="L6" s="28"/>
      <c r="M6" s="28"/>
      <c r="N6" s="28"/>
      <c r="O6" s="28"/>
      <c r="P6" s="28"/>
      <c r="Q6" s="28"/>
      <c r="R6" s="28"/>
      <c r="S6" s="28"/>
      <c r="T6" s="28"/>
      <c r="U6" s="28"/>
      <c r="V6" s="28"/>
      <c r="W6" s="28"/>
      <c r="X6" s="28"/>
      <c r="Y6" s="28"/>
      <c r="Z6" s="28"/>
    </row>
    <row r="7" customFormat="false" ht="14.15" hidden="false" customHeight="true" outlineLevel="0" collapsed="false">
      <c r="B7" s="35" t="s">
        <v>206</v>
      </c>
      <c r="C7" s="35"/>
      <c r="D7" s="35"/>
      <c r="E7" s="35"/>
      <c r="F7" s="35"/>
      <c r="G7" s="35"/>
      <c r="H7" s="35"/>
      <c r="I7" s="35"/>
      <c r="J7" s="27"/>
      <c r="K7" s="28"/>
      <c r="L7" s="28"/>
      <c r="M7" s="28"/>
      <c r="N7" s="28"/>
      <c r="O7" s="28"/>
      <c r="P7" s="28"/>
      <c r="Q7" s="28"/>
      <c r="R7" s="28"/>
      <c r="S7" s="28"/>
      <c r="T7" s="28"/>
      <c r="U7" s="28"/>
      <c r="V7" s="28"/>
      <c r="W7" s="28"/>
      <c r="X7" s="28"/>
      <c r="Y7" s="28"/>
      <c r="Z7" s="28"/>
    </row>
    <row r="8" customFormat="false" ht="15" hidden="false" customHeight="true" outlineLevel="0" collapsed="false">
      <c r="B8" s="36" t="s">
        <v>207</v>
      </c>
      <c r="C8" s="36"/>
      <c r="D8" s="36"/>
      <c r="E8" s="36"/>
      <c r="F8" s="36"/>
      <c r="G8" s="36"/>
      <c r="H8" s="36"/>
      <c r="I8" s="36"/>
      <c r="J8" s="27"/>
      <c r="K8" s="28"/>
      <c r="L8" s="28"/>
      <c r="M8" s="28"/>
      <c r="N8" s="28"/>
      <c r="O8" s="28"/>
      <c r="P8" s="28"/>
      <c r="Q8" s="28"/>
      <c r="R8" s="28"/>
      <c r="S8" s="28"/>
      <c r="T8" s="28"/>
      <c r="U8" s="28"/>
      <c r="V8" s="28"/>
      <c r="W8" s="28"/>
      <c r="X8" s="28"/>
      <c r="Y8" s="28"/>
      <c r="Z8" s="28"/>
    </row>
    <row r="9" customFormat="false" ht="15" hidden="false" customHeight="true" outlineLevel="0" collapsed="false">
      <c r="B9" s="28"/>
      <c r="C9" s="28"/>
      <c r="D9" s="28"/>
      <c r="E9" s="29"/>
      <c r="F9" s="30"/>
      <c r="G9" s="29"/>
      <c r="H9" s="31"/>
      <c r="I9" s="32"/>
      <c r="J9" s="27"/>
      <c r="K9" s="28"/>
      <c r="L9" s="28"/>
      <c r="M9" s="28"/>
      <c r="N9" s="28"/>
      <c r="O9" s="28"/>
      <c r="P9" s="28"/>
      <c r="Q9" s="28"/>
      <c r="R9" s="28"/>
      <c r="S9" s="28"/>
      <c r="T9" s="28"/>
      <c r="U9" s="28"/>
      <c r="V9" s="28"/>
      <c r="W9" s="28"/>
      <c r="X9" s="28"/>
      <c r="Y9" s="28"/>
      <c r="Z9" s="28"/>
    </row>
    <row r="10" customFormat="false" ht="14.15" hidden="false" customHeight="true" outlineLevel="0" collapsed="false">
      <c r="B10" s="37" t="s">
        <v>208</v>
      </c>
      <c r="C10" s="37"/>
      <c r="D10" s="38"/>
      <c r="E10" s="29"/>
      <c r="F10" s="30"/>
      <c r="G10" s="29"/>
      <c r="H10" s="31"/>
      <c r="I10" s="32"/>
      <c r="J10" s="27"/>
      <c r="K10" s="28"/>
      <c r="L10" s="28"/>
      <c r="M10" s="28"/>
      <c r="N10" s="28"/>
      <c r="O10" s="28"/>
      <c r="P10" s="28"/>
      <c r="Q10" s="28"/>
      <c r="R10" s="28"/>
      <c r="S10" s="28"/>
      <c r="T10" s="28"/>
      <c r="U10" s="28"/>
      <c r="V10" s="28"/>
      <c r="W10" s="28"/>
      <c r="X10" s="28"/>
      <c r="Y10" s="28"/>
      <c r="Z10" s="28"/>
    </row>
    <row r="11" customFormat="false" ht="14.15" hidden="false" customHeight="true" outlineLevel="0" collapsed="false">
      <c r="B11" s="39" t="s">
        <v>209</v>
      </c>
      <c r="C11" s="39"/>
      <c r="D11" s="40"/>
      <c r="E11" s="29"/>
      <c r="F11" s="30"/>
      <c r="G11" s="29"/>
      <c r="H11" s="31"/>
      <c r="I11" s="32"/>
      <c r="J11" s="27"/>
      <c r="K11" s="28"/>
      <c r="L11" s="28"/>
      <c r="M11" s="28"/>
      <c r="N11" s="28"/>
      <c r="O11" s="28"/>
      <c r="P11" s="28"/>
      <c r="Q11" s="28"/>
      <c r="R11" s="28"/>
      <c r="S11" s="28"/>
      <c r="T11" s="28"/>
      <c r="U11" s="28"/>
      <c r="V11" s="28"/>
      <c r="W11" s="28"/>
      <c r="X11" s="28"/>
      <c r="Y11" s="28"/>
      <c r="Z11" s="28"/>
    </row>
    <row r="12" customFormat="false" ht="14.15" hidden="false" customHeight="true" outlineLevel="0" collapsed="false">
      <c r="B12" s="39" t="s">
        <v>210</v>
      </c>
      <c r="C12" s="39"/>
      <c r="D12" s="41"/>
      <c r="E12" s="42"/>
      <c r="F12" s="30"/>
      <c r="G12" s="29"/>
      <c r="H12" s="31"/>
      <c r="I12" s="32"/>
      <c r="J12" s="27"/>
      <c r="K12" s="28"/>
      <c r="L12" s="28"/>
      <c r="M12" s="28"/>
      <c r="N12" s="28"/>
      <c r="O12" s="28"/>
      <c r="P12" s="28"/>
      <c r="Q12" s="28"/>
      <c r="R12" s="28"/>
      <c r="S12" s="28"/>
      <c r="T12" s="28"/>
      <c r="U12" s="28"/>
      <c r="V12" s="28"/>
      <c r="W12" s="28"/>
      <c r="X12" s="28"/>
      <c r="Y12" s="28"/>
      <c r="Z12" s="28"/>
    </row>
    <row r="13" customFormat="false" ht="14.15" hidden="false" customHeight="true" outlineLevel="0" collapsed="false">
      <c r="B13" s="39" t="s">
        <v>211</v>
      </c>
      <c r="C13" s="39"/>
      <c r="D13" s="40"/>
      <c r="E13" s="29"/>
      <c r="F13" s="30"/>
      <c r="G13" s="29"/>
      <c r="H13" s="31"/>
      <c r="I13" s="32"/>
      <c r="J13" s="27"/>
      <c r="K13" s="28"/>
      <c r="L13" s="28"/>
      <c r="M13" s="28"/>
      <c r="N13" s="28"/>
      <c r="O13" s="28"/>
      <c r="P13" s="28"/>
      <c r="Q13" s="28"/>
      <c r="R13" s="28"/>
      <c r="S13" s="28"/>
      <c r="T13" s="28"/>
      <c r="U13" s="28"/>
      <c r="V13" s="28"/>
      <c r="W13" s="28"/>
      <c r="X13" s="28"/>
      <c r="Y13" s="28"/>
      <c r="Z13" s="28"/>
    </row>
    <row r="14" customFormat="false" ht="24" hidden="false" customHeight="true" outlineLevel="0" collapsed="false">
      <c r="A14" s="43"/>
      <c r="B14" s="44" t="s">
        <v>12</v>
      </c>
      <c r="C14" s="44"/>
      <c r="D14" s="45"/>
      <c r="E14" s="29"/>
      <c r="F14" s="30"/>
      <c r="G14" s="29"/>
      <c r="H14" s="31"/>
      <c r="I14" s="32"/>
      <c r="J14" s="27"/>
      <c r="K14" s="28"/>
      <c r="L14" s="28"/>
      <c r="M14" s="28"/>
      <c r="N14" s="28"/>
      <c r="O14" s="28"/>
      <c r="P14" s="28"/>
      <c r="Q14" s="28"/>
      <c r="R14" s="28"/>
      <c r="S14" s="28"/>
      <c r="T14" s="28"/>
      <c r="U14" s="28"/>
      <c r="V14" s="28"/>
      <c r="W14" s="28"/>
      <c r="X14" s="28"/>
      <c r="Y14" s="28"/>
      <c r="Z14" s="28"/>
    </row>
    <row r="15" customFormat="false" ht="12.75" hidden="false" customHeight="false" outlineLevel="0" collapsed="false">
      <c r="B15" s="28"/>
      <c r="C15" s="28"/>
      <c r="D15" s="28"/>
      <c r="E15" s="29"/>
      <c r="F15" s="30"/>
      <c r="G15" s="29"/>
      <c r="H15" s="31"/>
      <c r="I15" s="32"/>
      <c r="J15" s="27"/>
      <c r="K15" s="28"/>
      <c r="L15" s="28"/>
      <c r="M15" s="28"/>
      <c r="N15" s="28"/>
      <c r="O15" s="28"/>
      <c r="P15" s="28"/>
      <c r="Q15" s="28"/>
      <c r="R15" s="28"/>
      <c r="S15" s="28"/>
      <c r="T15" s="28"/>
      <c r="U15" s="28"/>
      <c r="V15" s="28"/>
      <c r="W15" s="28"/>
      <c r="X15" s="28"/>
      <c r="Y15" s="28"/>
      <c r="Z15" s="28"/>
    </row>
    <row r="16" customFormat="false" ht="21.75" hidden="false" customHeight="true" outlineLevel="0" collapsed="false">
      <c r="B16" s="46" t="s">
        <v>212</v>
      </c>
      <c r="C16" s="46"/>
      <c r="D16" s="46"/>
      <c r="E16" s="46"/>
      <c r="F16" s="46"/>
      <c r="G16" s="46"/>
      <c r="H16" s="46"/>
      <c r="I16" s="46"/>
      <c r="J16" s="46"/>
      <c r="K16" s="28"/>
      <c r="Q16" s="28"/>
      <c r="R16" s="28"/>
      <c r="S16" s="28"/>
      <c r="T16" s="28"/>
      <c r="U16" s="28"/>
      <c r="V16" s="28"/>
      <c r="W16" s="28"/>
      <c r="X16" s="28"/>
      <c r="Y16" s="28"/>
      <c r="Z16" s="28"/>
    </row>
    <row r="17" customFormat="false" ht="15" hidden="false" customHeight="true" outlineLevel="0" collapsed="false">
      <c r="B17" s="47" t="s">
        <v>213</v>
      </c>
      <c r="C17" s="48" t="s">
        <v>214</v>
      </c>
      <c r="D17" s="48" t="s">
        <v>215</v>
      </c>
      <c r="E17" s="49"/>
      <c r="F17" s="50" t="s">
        <v>216</v>
      </c>
      <c r="G17" s="50"/>
      <c r="H17" s="51"/>
      <c r="I17" s="52" t="s">
        <v>217</v>
      </c>
      <c r="J17" s="52" t="s">
        <v>218</v>
      </c>
      <c r="K17" s="28"/>
      <c r="Q17" s="28"/>
      <c r="R17" s="28"/>
      <c r="S17" s="28"/>
      <c r="T17" s="28"/>
      <c r="U17" s="28"/>
      <c r="V17" s="28"/>
      <c r="W17" s="28"/>
      <c r="X17" s="28"/>
      <c r="Y17" s="28"/>
      <c r="Z17" s="28"/>
    </row>
    <row r="18" customFormat="false" ht="14.15" hidden="false" customHeight="false" outlineLevel="0" collapsed="false">
      <c r="A18" s="19" t="s">
        <v>111</v>
      </c>
      <c r="B18" s="53" t="str">
        <f aca="false">INDEX('imp-questions'!D:D, MATCH(A18, 'imp-questions'!A:A, 0))</f>
        <v>Create and Promote</v>
      </c>
      <c r="C18" s="54" t="n">
        <f aca="false">INDEX('imp-questions'!E:E, MATCH(A18, 'imp-questions'!A:A, 0))</f>
        <v>1</v>
      </c>
      <c r="D18" s="55" t="str">
        <f aca="false">INDEX('imp-questions'!F:F, MATCH(A18, 'imp-questions'!A:A, 0))</f>
        <v>Do you understand the enterprise-wide risk appetite for your applications?</v>
      </c>
      <c r="E18" s="56" t="str">
        <f aca="false">CHAR(65+INDEX('imp-questions'!H:H, MATCH(A18, 'imp-questions'!A:A, 0)))</f>
        <v>N</v>
      </c>
      <c r="F18" s="57"/>
      <c r="G18" s="20" t="n">
        <f aca="true">IFERROR(INDEX(INDIRECT("Ans" &amp; E18 &amp; "TBL"), MATCH(F18, INDEX(INDIRECT("Ans" &amp; E18 &amp; "TBL"), 0, 1), 0), 2), 0)</f>
        <v>0</v>
      </c>
      <c r="H18" s="58" t="n">
        <f aca="false">IFERROR(AVERAGE(G18,G25),0)</f>
        <v>0</v>
      </c>
      <c r="I18" s="59"/>
      <c r="J18" s="60" t="n">
        <f aca="false">SUM(H18,H20,H22)</f>
        <v>0</v>
      </c>
      <c r="K18" s="28"/>
      <c r="L18" s="29"/>
      <c r="M18" s="29"/>
      <c r="N18" s="29"/>
      <c r="O18" s="29"/>
      <c r="P18" s="29"/>
      <c r="Q18" s="28"/>
      <c r="R18" s="28"/>
      <c r="S18" s="28"/>
      <c r="T18" s="28"/>
      <c r="U18" s="28"/>
      <c r="V18" s="28"/>
      <c r="W18" s="28"/>
      <c r="X18" s="28"/>
      <c r="Y18" s="28"/>
      <c r="Z18" s="28"/>
    </row>
    <row r="19" customFormat="false" ht="58.5" hidden="false" customHeight="true" outlineLevel="0" collapsed="false">
      <c r="B19" s="53"/>
      <c r="C19" s="61"/>
      <c r="D19" s="62" t="str">
        <f aca="false">INDEX('imp-questions'!G:G, MATCH(A18, 'imp-questions'!A:A, 0))</f>
        <v>You capture the risk appetite of your organization's executive leadership
 The organization's leadership vet and approve the set of risks
 You identify the main business and technical threats to your assets and data
 You document risks and store them in an accessible location</v>
      </c>
      <c r="E19" s="63"/>
      <c r="F19" s="64"/>
      <c r="G19" s="65"/>
      <c r="H19" s="66"/>
      <c r="I19" s="59"/>
      <c r="J19" s="59"/>
      <c r="K19" s="28"/>
      <c r="L19" s="29"/>
      <c r="M19" s="29"/>
      <c r="N19" s="29"/>
      <c r="O19" s="29"/>
      <c r="P19" s="29"/>
      <c r="Q19" s="28"/>
      <c r="R19" s="28"/>
      <c r="S19" s="28"/>
      <c r="T19" s="28"/>
      <c r="U19" s="28"/>
      <c r="V19" s="28"/>
      <c r="W19" s="28"/>
      <c r="X19" s="28"/>
      <c r="Y19" s="28"/>
      <c r="Z19" s="28"/>
    </row>
    <row r="20" customFormat="false" ht="14.15" hidden="false" customHeight="false" outlineLevel="0" collapsed="false">
      <c r="A20" s="19" t="s">
        <v>113</v>
      </c>
      <c r="B20" s="53"/>
      <c r="C20" s="54" t="n">
        <f aca="false">INDEX('imp-questions'!E:E, MATCH(A20, 'imp-questions'!A:A, 0))</f>
        <v>2</v>
      </c>
      <c r="D20" s="55" t="str">
        <f aca="false">INDEX('imp-questions'!F:F, MATCH(A20, 'imp-questions'!A:A, 0))</f>
        <v>Do you have a strategic plan for application security and use it to make decisions?</v>
      </c>
      <c r="E20" s="56" t="str">
        <f aca="false">CHAR(65+INDEX('imp-questions'!H:H, MATCH(A20, 'imp-questions'!A:A, 0)))</f>
        <v>O</v>
      </c>
      <c r="F20" s="67"/>
      <c r="G20" s="68" t="n">
        <f aca="true">IFERROR(INDEX(INDIRECT("Ans" &amp; E20 &amp; "TBL"), MATCH(F20, INDEX(INDIRECT("Ans" &amp; E20 &amp; "TBL"), 0, 1), 0), 2), 0)</f>
        <v>0</v>
      </c>
      <c r="H20" s="69" t="n">
        <f aca="false">IFERROR(AVERAGE(G20,G27),0)</f>
        <v>0</v>
      </c>
      <c r="I20" s="70"/>
      <c r="J20" s="71"/>
      <c r="K20" s="28"/>
      <c r="L20" s="29"/>
      <c r="M20" s="29"/>
      <c r="N20" s="29"/>
      <c r="O20" s="29"/>
      <c r="P20" s="29"/>
      <c r="Q20" s="28"/>
      <c r="R20" s="28"/>
      <c r="S20" s="28"/>
      <c r="T20" s="28"/>
      <c r="U20" s="28"/>
      <c r="V20" s="28"/>
      <c r="W20" s="28"/>
      <c r="X20" s="28"/>
      <c r="Y20" s="28"/>
      <c r="Z20" s="28"/>
    </row>
    <row r="21" customFormat="false" ht="72" hidden="false" customHeight="true" outlineLevel="0" collapsed="false">
      <c r="B21" s="53"/>
      <c r="C21" s="61"/>
      <c r="D21" s="62" t="str">
        <f aca="false">INDEX('imp-questions'!G:G, MATCH(A20, 'imp-questions'!A:A, 0))</f>
        <v>The plan reflects the organization's business priorities and risk appetite
 The plan includes measurable milestones and a budget
 The plan is consistent with the organization's business drivers and risks
 The plan lays out a roadmap for strategic and tactical initiatives
 You have buy-in from stakeholders, including development teams</v>
      </c>
      <c r="E21" s="63"/>
      <c r="F21" s="72"/>
      <c r="G21" s="65"/>
      <c r="H21" s="73"/>
      <c r="I21" s="70"/>
      <c r="J21" s="71"/>
      <c r="K21" s="28"/>
      <c r="L21" s="29"/>
      <c r="M21" s="29"/>
      <c r="N21" s="29"/>
      <c r="O21" s="29"/>
      <c r="P21" s="29"/>
      <c r="Q21" s="28"/>
      <c r="R21" s="28"/>
      <c r="S21" s="28"/>
      <c r="T21" s="28"/>
      <c r="U21" s="28"/>
      <c r="V21" s="28"/>
      <c r="W21" s="28"/>
      <c r="X21" s="28"/>
      <c r="Y21" s="28"/>
      <c r="Z21" s="28"/>
    </row>
    <row r="22" customFormat="false" ht="14.15" hidden="false" customHeight="false" outlineLevel="0" collapsed="false">
      <c r="A22" s="19" t="s">
        <v>114</v>
      </c>
      <c r="B22" s="53"/>
      <c r="C22" s="54" t="n">
        <f aca="false">INDEX('imp-questions'!E:E, MATCH(A22, 'imp-questions'!A:A, 0))</f>
        <v>3</v>
      </c>
      <c r="D22" s="55" t="str">
        <f aca="false">INDEX('imp-questions'!F:F, MATCH(A22, 'imp-questions'!A:A, 0))</f>
        <v>Do you regularly review and update the Strategic Plan for Application Security?</v>
      </c>
      <c r="E22" s="56" t="str">
        <f aca="false">CHAR(65+INDEX('imp-questions'!H:H, MATCH(A22, 'imp-questions'!A:A, 0)))</f>
        <v>P</v>
      </c>
      <c r="F22" s="67"/>
      <c r="G22" s="68" t="n">
        <f aca="true">IFERROR(INDEX(INDIRECT("Ans" &amp; E22 &amp; "TBL"), MATCH(F22, INDEX(INDIRECT("Ans" &amp; E22 &amp; "TBL"), 0, 1), 0), 2), 0)</f>
        <v>0</v>
      </c>
      <c r="H22" s="69" t="n">
        <f aca="false">IFERROR(AVERAGE(G22,G29),0)</f>
        <v>0</v>
      </c>
      <c r="I22" s="70"/>
      <c r="J22" s="71"/>
      <c r="K22" s="28"/>
      <c r="L22" s="29"/>
      <c r="M22" s="29"/>
      <c r="N22" s="29"/>
      <c r="O22" s="29"/>
      <c r="P22" s="29"/>
      <c r="Q22" s="28"/>
      <c r="R22" s="28"/>
      <c r="S22" s="28"/>
      <c r="T22" s="28"/>
      <c r="U22" s="28"/>
      <c r="V22" s="28"/>
      <c r="W22" s="28"/>
      <c r="X22" s="28"/>
      <c r="Y22" s="28"/>
      <c r="Z22" s="28"/>
    </row>
    <row r="23" customFormat="false" ht="60" hidden="false" customHeight="true" outlineLevel="0" collapsed="false">
      <c r="B23" s="53"/>
      <c r="C23" s="61"/>
      <c r="D23" s="62" t="str">
        <f aca="false">INDEX('imp-questions'!G:G, MATCH(A22, 'imp-questions'!A:A, 0))</f>
        <v>You review and update the plan in response to significant changes in the business environment, the organization, or its risk appetite
 Plan update steps include reviewing the plan with all the stakeholders and updating the business drivers and strategies
 You adjust the plan and roadmap based on lessons learned from completed roadmap activities
 You publish progress information on roadmap activities, making sure they are available to all stakeholders</v>
      </c>
      <c r="E23" s="63"/>
      <c r="F23" s="72"/>
      <c r="G23" s="65"/>
      <c r="H23" s="73"/>
      <c r="I23" s="70"/>
      <c r="J23" s="71"/>
      <c r="K23" s="28"/>
      <c r="L23" s="29"/>
      <c r="M23" s="29"/>
      <c r="N23" s="29"/>
      <c r="O23" s="29"/>
      <c r="P23" s="29"/>
      <c r="Q23" s="28"/>
      <c r="R23" s="28"/>
      <c r="S23" s="28"/>
      <c r="T23" s="28"/>
      <c r="U23" s="28"/>
      <c r="V23" s="28"/>
      <c r="W23" s="28"/>
      <c r="X23" s="28"/>
      <c r="Y23" s="28"/>
      <c r="Z23" s="28"/>
    </row>
    <row r="24" customFormat="false" ht="12.75" hidden="false" customHeight="false" outlineLevel="0" collapsed="false">
      <c r="B24" s="74"/>
      <c r="C24" s="75"/>
      <c r="D24" s="76"/>
      <c r="E24" s="76"/>
      <c r="F24" s="76"/>
      <c r="G24" s="76"/>
      <c r="H24" s="76"/>
      <c r="I24" s="77"/>
      <c r="J24" s="71"/>
      <c r="K24" s="28"/>
      <c r="L24" s="29"/>
      <c r="M24" s="29"/>
      <c r="N24" s="29"/>
      <c r="O24" s="29"/>
      <c r="P24" s="29"/>
      <c r="Q24" s="28"/>
      <c r="R24" s="28"/>
      <c r="S24" s="28"/>
      <c r="T24" s="28"/>
      <c r="U24" s="28"/>
      <c r="V24" s="28"/>
      <c r="W24" s="28"/>
      <c r="X24" s="28"/>
      <c r="Y24" s="28"/>
      <c r="Z24" s="28"/>
    </row>
    <row r="25" customFormat="false" ht="27.75" hidden="false" customHeight="true" outlineLevel="0" collapsed="false">
      <c r="A25" s="19" t="s">
        <v>115</v>
      </c>
      <c r="B25" s="53" t="str">
        <f aca="false">INDEX('imp-questions'!D:D, MATCH(A25, 'imp-questions'!A:A, 0))</f>
        <v>Measure and Improve</v>
      </c>
      <c r="C25" s="54" t="n">
        <f aca="false">INDEX('imp-questions'!E:E, MATCH(A25, 'imp-questions'!A:A, 0))</f>
        <v>1</v>
      </c>
      <c r="D25" s="55" t="str">
        <f aca="false">INDEX('imp-questions'!F:F, MATCH(A25, 'imp-questions'!A:A, 0))</f>
        <v>Do you use a set of metrics to measure the effectiveness and efficiency of the application security program across applications?</v>
      </c>
      <c r="E25" s="56" t="str">
        <f aca="false">CHAR(65+INDEX('imp-questions'!H:H, MATCH(A25, 'imp-questions'!A:A, 0)))</f>
        <v>Q</v>
      </c>
      <c r="F25" s="57"/>
      <c r="G25" s="68" t="n">
        <f aca="true">IFERROR(INDEX(INDIRECT("Ans" &amp; E25 &amp; "TBL"), MATCH(F25, INDEX(INDIRECT("Ans" &amp; E25 &amp; "TBL"), 0, 1), 0), 2), 0)</f>
        <v>0</v>
      </c>
      <c r="H25" s="58"/>
      <c r="I25" s="59"/>
      <c r="J25" s="71"/>
      <c r="K25" s="28"/>
      <c r="L25" s="29"/>
      <c r="M25" s="29"/>
      <c r="N25" s="29"/>
      <c r="O25" s="29"/>
      <c r="P25" s="29"/>
      <c r="Q25" s="28"/>
      <c r="R25" s="28"/>
      <c r="S25" s="28"/>
      <c r="T25" s="28"/>
      <c r="U25" s="28"/>
      <c r="V25" s="28"/>
      <c r="W25" s="28"/>
      <c r="X25" s="28"/>
      <c r="Y25" s="28"/>
      <c r="Z25" s="28"/>
    </row>
    <row r="26" customFormat="false" ht="70.5" hidden="false" customHeight="true" outlineLevel="0" collapsed="false">
      <c r="B26" s="53"/>
      <c r="C26" s="61"/>
      <c r="D26" s="62" t="str">
        <f aca="false">INDEX('imp-questions'!G:G, MATCH(A25, 'imp-questions'!A:A, 0))</f>
        <v>You document each metric, including a description of the sources, measurement coverage, and guidance on how to use it to explain application security trends
 Metrics include measures of efforts, results, and the environment measurement categories
 Most of the metrics are frequently measured, easy or inexpensive to gather, and expressed as a cardinal number or a percentage
 Application security and development teams publish metrics</v>
      </c>
      <c r="E26" s="63"/>
      <c r="F26" s="72"/>
      <c r="G26" s="65"/>
      <c r="H26" s="73"/>
      <c r="I26" s="59"/>
      <c r="J26" s="71"/>
      <c r="K26" s="28"/>
      <c r="L26" s="29"/>
      <c r="M26" s="29"/>
      <c r="N26" s="29"/>
      <c r="O26" s="29"/>
      <c r="P26" s="29"/>
      <c r="Q26" s="28"/>
      <c r="R26" s="28"/>
      <c r="S26" s="28"/>
      <c r="T26" s="28"/>
      <c r="U26" s="28"/>
      <c r="V26" s="28"/>
      <c r="W26" s="28"/>
      <c r="X26" s="28"/>
      <c r="Y26" s="28"/>
      <c r="Z26" s="28"/>
    </row>
    <row r="27" customFormat="false" ht="14.15" hidden="false" customHeight="false" outlineLevel="0" collapsed="false">
      <c r="A27" s="19" t="s">
        <v>116</v>
      </c>
      <c r="B27" s="53"/>
      <c r="C27" s="54" t="n">
        <f aca="false">INDEX('imp-questions'!E:E, MATCH(A27, 'imp-questions'!A:A, 0))</f>
        <v>2</v>
      </c>
      <c r="D27" s="55" t="str">
        <f aca="false">INDEX('imp-questions'!F:F, MATCH(A27, 'imp-questions'!A:A, 0))</f>
        <v>Did you define Key Performance Indicators (KPI) from available application security metrics?</v>
      </c>
      <c r="E27" s="56" t="str">
        <f aca="false">CHAR(65+INDEX('imp-questions'!H:H, MATCH(A27, 'imp-questions'!A:A, 0)))</f>
        <v>S</v>
      </c>
      <c r="F27" s="67"/>
      <c r="G27" s="68" t="n">
        <f aca="true">IFERROR(INDEX(INDIRECT("Ans" &amp; E27 &amp; "TBL"), MATCH(F27, INDEX(INDIRECT("Ans" &amp; E27 &amp; "TBL"), 0, 1), 0), 2), 0)</f>
        <v>0</v>
      </c>
      <c r="H27" s="58"/>
      <c r="I27" s="59"/>
      <c r="J27" s="71"/>
      <c r="K27" s="28"/>
      <c r="L27" s="29"/>
      <c r="M27" s="29"/>
      <c r="N27" s="29"/>
      <c r="O27" s="29"/>
      <c r="P27" s="29"/>
      <c r="Q27" s="28"/>
      <c r="R27" s="28"/>
      <c r="S27" s="28"/>
      <c r="T27" s="28"/>
      <c r="U27" s="28"/>
      <c r="V27" s="28"/>
      <c r="W27" s="28"/>
      <c r="X27" s="28"/>
      <c r="Y27" s="28"/>
      <c r="Z27" s="28"/>
    </row>
    <row r="28" customFormat="false" ht="60" hidden="false" customHeight="true" outlineLevel="0" collapsed="false">
      <c r="B28" s="53"/>
      <c r="C28" s="61"/>
      <c r="D28" s="62" t="str">
        <f aca="false">INDEX('imp-questions'!G:G, MATCH(A27, 'imp-questions'!A:A, 0))</f>
        <v>You defined KPIs after gathering enough information to establish realistic objectives
 You developed KPIs with the buy-in from the leadership and teams responsible for application security
 KPIs are available to the application teams and include acceptability thresholds and guidance in case teams need to take action
 Success of the application security program is clearly visible based on defined KPIs</v>
      </c>
      <c r="E28" s="63"/>
      <c r="F28" s="72"/>
      <c r="G28" s="65"/>
      <c r="H28" s="73"/>
      <c r="I28" s="59"/>
      <c r="J28" s="71"/>
      <c r="K28" s="28"/>
      <c r="L28" s="29"/>
      <c r="M28" s="29"/>
      <c r="N28" s="29"/>
      <c r="O28" s="29"/>
      <c r="P28" s="29"/>
      <c r="Q28" s="28"/>
      <c r="R28" s="28"/>
      <c r="S28" s="28"/>
      <c r="T28" s="28"/>
      <c r="U28" s="28"/>
      <c r="V28" s="28"/>
      <c r="W28" s="28"/>
      <c r="X28" s="28"/>
      <c r="Y28" s="28"/>
      <c r="Z28" s="28"/>
    </row>
    <row r="29" customFormat="false" ht="14.15" hidden="false" customHeight="false" outlineLevel="0" collapsed="false">
      <c r="A29" s="19" t="s">
        <v>117</v>
      </c>
      <c r="B29" s="53"/>
      <c r="C29" s="54" t="n">
        <f aca="false">INDEX('imp-questions'!E:E, MATCH(A29, 'imp-questions'!A:A, 0))</f>
        <v>3</v>
      </c>
      <c r="D29" s="55" t="str">
        <f aca="false">INDEX('imp-questions'!F:F, MATCH(A29, 'imp-questions'!A:A, 0))</f>
        <v>Do you update the Application Security strategy and roadmap based on application security metrics and KPIs?</v>
      </c>
      <c r="E29" s="56" t="str">
        <f aca="false">CHAR(65+INDEX('imp-questions'!H:H, MATCH(A29, 'imp-questions'!A:A, 0)))</f>
        <v>P</v>
      </c>
      <c r="F29" s="67"/>
      <c r="G29" s="68" t="n">
        <f aca="true">IFERROR(INDEX(INDIRECT("Ans" &amp; E29 &amp; "TBL"), MATCH(F29, INDEX(INDIRECT("Ans" &amp; E29 &amp; "TBL"), 0, 1), 0), 2), 0)</f>
        <v>0</v>
      </c>
      <c r="H29" s="58"/>
      <c r="I29" s="59"/>
      <c r="J29" s="71"/>
      <c r="K29" s="28"/>
      <c r="L29" s="29"/>
      <c r="M29" s="29"/>
      <c r="N29" s="29"/>
      <c r="O29" s="29"/>
      <c r="P29" s="29"/>
      <c r="Q29" s="28"/>
      <c r="R29" s="28"/>
      <c r="S29" s="28"/>
      <c r="T29" s="28"/>
      <c r="U29" s="28"/>
      <c r="V29" s="28"/>
      <c r="W29" s="28"/>
      <c r="X29" s="28"/>
      <c r="Y29" s="28"/>
      <c r="Z29" s="28"/>
    </row>
    <row r="30" customFormat="false" ht="37.5" hidden="false" customHeight="true" outlineLevel="0" collapsed="false">
      <c r="B30" s="53"/>
      <c r="C30" s="61"/>
      <c r="D30" s="78" t="str">
        <f aca="false">INDEX('imp-questions'!G:G, MATCH(A29, 'imp-questions'!A:A, 0))</f>
        <v>You review KPIs at least yearly for their efficiency and effectiveness
 KPIs and application security metrics trigger most of the changes to the application security strategy</v>
      </c>
      <c r="E30" s="63"/>
      <c r="F30" s="72"/>
      <c r="G30" s="65"/>
      <c r="H30" s="73"/>
      <c r="I30" s="59"/>
      <c r="J30" s="71"/>
      <c r="K30" s="28"/>
      <c r="L30" s="29"/>
      <c r="M30" s="29"/>
      <c r="N30" s="29"/>
      <c r="O30" s="29"/>
      <c r="P30" s="29"/>
      <c r="Q30" s="28"/>
      <c r="R30" s="28"/>
      <c r="S30" s="28"/>
      <c r="T30" s="28"/>
      <c r="U30" s="28"/>
      <c r="V30" s="28"/>
      <c r="W30" s="28"/>
      <c r="X30" s="28"/>
      <c r="Y30" s="28"/>
      <c r="Z30" s="28"/>
    </row>
    <row r="31" customFormat="false" ht="14.15" hidden="false" customHeight="true" outlineLevel="0" collapsed="false">
      <c r="B31" s="79" t="s">
        <v>219</v>
      </c>
      <c r="C31" s="79"/>
      <c r="D31" s="79"/>
      <c r="E31" s="80"/>
      <c r="F31" s="50" t="s">
        <v>216</v>
      </c>
      <c r="G31" s="81"/>
      <c r="H31" s="82"/>
      <c r="I31" s="52" t="s">
        <v>217</v>
      </c>
      <c r="J31" s="52" t="s">
        <v>218</v>
      </c>
      <c r="K31" s="28"/>
      <c r="L31" s="29"/>
      <c r="M31" s="29"/>
      <c r="N31" s="29"/>
      <c r="O31" s="29"/>
      <c r="P31" s="29"/>
      <c r="Q31" s="28"/>
      <c r="R31" s="28"/>
      <c r="S31" s="28"/>
      <c r="T31" s="28"/>
      <c r="U31" s="28"/>
      <c r="V31" s="28"/>
      <c r="W31" s="28"/>
      <c r="X31" s="28"/>
      <c r="Y31" s="28"/>
      <c r="Z31" s="28"/>
    </row>
    <row r="32" customFormat="false" ht="12.75" hidden="false" customHeight="true" outlineLevel="0" collapsed="false">
      <c r="A32" s="19" t="s">
        <v>118</v>
      </c>
      <c r="B32" s="53" t="str">
        <f aca="false">INDEX('imp-questions'!D:D, MATCH(A32, 'imp-questions'!A:A, 0))</f>
        <v>Policy and Standards</v>
      </c>
      <c r="C32" s="54" t="n">
        <f aca="false">INDEX('imp-questions'!E:E, MATCH(A32, 'imp-questions'!A:A, 0))</f>
        <v>1</v>
      </c>
      <c r="D32" s="83" t="str">
        <f aca="false">INDEX('imp-questions'!F:F, MATCH(A32, 'imp-questions'!A:A, 0))</f>
        <v>Do you have and apply a common set of policies and standards throughout your organization?</v>
      </c>
      <c r="E32" s="56" t="str">
        <f aca="false">CHAR(65+INDEX('imp-questions'!H:H, MATCH(A32, 'imp-questions'!A:A, 0)))</f>
        <v>A</v>
      </c>
      <c r="F32" s="57"/>
      <c r="G32" s="68" t="n">
        <f aca="true">IFERROR(INDEX(INDIRECT("Ans" &amp; E32 &amp; "TBL"), MATCH(F32, INDEX(INDIRECT("Ans" &amp; E32 &amp; "TBL"), 0, 1), 0), 2), 0)</f>
        <v>0</v>
      </c>
      <c r="H32" s="58" t="n">
        <f aca="false">IFERROR(AVERAGE(G32,G39),0)</f>
        <v>0</v>
      </c>
      <c r="I32" s="59"/>
      <c r="J32" s="84" t="n">
        <f aca="false">SUM(H32,H34,H36)</f>
        <v>0</v>
      </c>
      <c r="K32" s="28"/>
      <c r="L32" s="29"/>
      <c r="M32" s="29"/>
      <c r="N32" s="29"/>
      <c r="O32" s="29"/>
      <c r="P32" s="29"/>
      <c r="Q32" s="28"/>
      <c r="R32" s="28"/>
      <c r="S32" s="28"/>
      <c r="T32" s="28"/>
      <c r="U32" s="28"/>
      <c r="V32" s="28"/>
      <c r="W32" s="28"/>
      <c r="X32" s="28"/>
      <c r="Y32" s="28"/>
      <c r="Z32" s="28"/>
    </row>
    <row r="33" customFormat="false" ht="36" hidden="false" customHeight="true" outlineLevel="0" collapsed="false">
      <c r="B33" s="53"/>
      <c r="C33" s="61"/>
      <c r="D33" s="62" t="str">
        <f aca="false">INDEX('imp-questions'!G:G, MATCH(A32, 'imp-questions'!A:A, 0))</f>
        <v>You have adapted existing standards appropriate for the organization’s industry to account for domain-specific considerations
 Your standards are aligned with your policies and incorporate technology-specific implementation guidance</v>
      </c>
      <c r="E33" s="63"/>
      <c r="F33" s="72"/>
      <c r="G33" s="65"/>
      <c r="H33" s="66"/>
      <c r="I33" s="59"/>
      <c r="J33" s="59"/>
      <c r="K33" s="28"/>
      <c r="L33" s="29"/>
      <c r="M33" s="29"/>
      <c r="N33" s="29"/>
      <c r="O33" s="29"/>
      <c r="P33" s="29"/>
      <c r="Q33" s="28"/>
      <c r="R33" s="28"/>
      <c r="S33" s="28"/>
      <c r="T33" s="28"/>
      <c r="U33" s="28"/>
      <c r="V33" s="28"/>
      <c r="W33" s="28"/>
      <c r="X33" s="28"/>
      <c r="Y33" s="28"/>
      <c r="Z33" s="28"/>
    </row>
    <row r="34" customFormat="false" ht="15" hidden="false" customHeight="true" outlineLevel="0" collapsed="false">
      <c r="A34" s="19" t="s">
        <v>119</v>
      </c>
      <c r="B34" s="53"/>
      <c r="C34" s="54" t="n">
        <f aca="false">INDEX('imp-questions'!E:E, MATCH(A34, 'imp-questions'!A:A, 0))</f>
        <v>2</v>
      </c>
      <c r="D34" s="55" t="str">
        <f aca="false">INDEX('imp-questions'!F:F, MATCH(A34, 'imp-questions'!A:A, 0))</f>
        <v>Do you publish the organization's policies as test scripts or run-books for easy interpretation by development teams?</v>
      </c>
      <c r="E34" s="56" t="str">
        <f aca="false">CHAR(65+INDEX('imp-questions'!H:H, MATCH(A34, 'imp-questions'!A:A, 0)))</f>
        <v>C</v>
      </c>
      <c r="F34" s="57"/>
      <c r="G34" s="68" t="n">
        <f aca="true">IFERROR(INDEX(INDIRECT("Ans" &amp; E34 &amp; "TBL"), MATCH(F34, INDEX(INDIRECT("Ans" &amp; E34 &amp; "TBL"), 0, 1), 0), 2), 0)</f>
        <v>0</v>
      </c>
      <c r="H34" s="69" t="n">
        <f aca="false">IFERROR(AVERAGE(G34,G41),0)</f>
        <v>0</v>
      </c>
      <c r="I34" s="70"/>
      <c r="J34" s="71"/>
      <c r="K34" s="28"/>
      <c r="L34" s="29"/>
      <c r="M34" s="29"/>
      <c r="N34" s="29"/>
      <c r="O34" s="29"/>
      <c r="P34" s="29"/>
      <c r="Q34" s="28"/>
      <c r="R34" s="28"/>
      <c r="S34" s="28"/>
      <c r="T34" s="28"/>
      <c r="U34" s="28"/>
      <c r="V34" s="28"/>
      <c r="W34" s="28"/>
      <c r="X34" s="28"/>
      <c r="Y34" s="28"/>
      <c r="Z34" s="28"/>
    </row>
    <row r="35" customFormat="false" ht="42.75" hidden="false" customHeight="true" outlineLevel="0" collapsed="false">
      <c r="B35" s="53"/>
      <c r="C35" s="61"/>
      <c r="D35" s="62" t="str">
        <f aca="false">INDEX('imp-questions'!G:G, MATCH(A34, 'imp-questions'!A:A, 0))</f>
        <v>You create verification checklists and test scripts where applicable, aligned with the policy's requirements and the implementation guidance in the associated standards
 You create versions adapted to each development methodology and technology the organization uses</v>
      </c>
      <c r="E35" s="63"/>
      <c r="F35" s="72"/>
      <c r="G35" s="65"/>
      <c r="H35" s="73"/>
      <c r="I35" s="70"/>
      <c r="J35" s="71"/>
      <c r="K35" s="28"/>
      <c r="L35" s="29"/>
      <c r="M35" s="29"/>
      <c r="N35" s="29"/>
      <c r="O35" s="29"/>
      <c r="P35" s="29"/>
      <c r="Q35" s="28"/>
      <c r="R35" s="28"/>
      <c r="S35" s="28"/>
      <c r="T35" s="28"/>
      <c r="U35" s="28"/>
      <c r="V35" s="28"/>
      <c r="W35" s="28"/>
      <c r="X35" s="28"/>
      <c r="Y35" s="28"/>
      <c r="Z35" s="28"/>
    </row>
    <row r="36" customFormat="false" ht="28.5" hidden="false" customHeight="true" outlineLevel="0" collapsed="false">
      <c r="A36" s="19" t="s">
        <v>120</v>
      </c>
      <c r="B36" s="53"/>
      <c r="C36" s="54" t="n">
        <f aca="false">INDEX('imp-questions'!E:E, MATCH(A36, 'imp-questions'!A:A, 0))</f>
        <v>3</v>
      </c>
      <c r="D36" s="55" t="str">
        <f aca="false">INDEX('imp-questions'!F:F, MATCH(A36, 'imp-questions'!A:A, 0))</f>
        <v>Do you regularly report on policy and standard compliance, and use that information to guide compliance improvement efforts?</v>
      </c>
      <c r="E36" s="56" t="str">
        <f aca="false">CHAR(65+INDEX('imp-questions'!H:H, MATCH(A36, 'imp-questions'!A:A, 0)))</f>
        <v>T</v>
      </c>
      <c r="F36" s="57"/>
      <c r="G36" s="68" t="n">
        <f aca="true">IFERROR(INDEX(INDIRECT("Ans" &amp; E36 &amp; "TBL"), MATCH(F36, INDEX(INDIRECT("Ans" &amp; E36 &amp; "TBL"), 0, 1), 0), 2), 0)</f>
        <v>0</v>
      </c>
      <c r="H36" s="69" t="n">
        <f aca="false">IFERROR(AVERAGE(G36,G43),0)</f>
        <v>0</v>
      </c>
      <c r="I36" s="70"/>
      <c r="J36" s="71"/>
      <c r="K36" s="28"/>
      <c r="L36" s="29"/>
      <c r="M36" s="29"/>
      <c r="N36" s="29"/>
      <c r="O36" s="29"/>
      <c r="P36" s="29"/>
      <c r="Q36" s="28"/>
      <c r="R36" s="28"/>
      <c r="S36" s="28"/>
      <c r="T36" s="28"/>
      <c r="U36" s="28"/>
      <c r="V36" s="28"/>
      <c r="W36" s="28"/>
      <c r="X36" s="28"/>
      <c r="Y36" s="28"/>
      <c r="Z36" s="28"/>
    </row>
    <row r="37" customFormat="false" ht="46.5" hidden="false" customHeight="true" outlineLevel="0" collapsed="false">
      <c r="B37" s="53"/>
      <c r="C37" s="61"/>
      <c r="D37" s="62" t="str">
        <f aca="false">INDEX('imp-questions'!G:G, MATCH(A36, 'imp-questions'!A:A, 0))</f>
        <v>You have procedures (automated, if possible) to regularly generate compliance reports
 You deliver compliance reports to all relevant stakeholders
 Stakeholders use the reported compliance status information to identify areas for improvement</v>
      </c>
      <c r="E37" s="63"/>
      <c r="F37" s="72"/>
      <c r="G37" s="65"/>
      <c r="H37" s="73"/>
      <c r="I37" s="70"/>
      <c r="J37" s="71"/>
      <c r="K37" s="28"/>
      <c r="L37" s="29"/>
      <c r="M37" s="29"/>
      <c r="N37" s="29"/>
      <c r="O37" s="29"/>
      <c r="P37" s="29"/>
      <c r="Q37" s="28"/>
      <c r="R37" s="28"/>
      <c r="S37" s="28"/>
      <c r="T37" s="28"/>
      <c r="U37" s="28"/>
      <c r="V37" s="28"/>
      <c r="W37" s="28"/>
      <c r="X37" s="28"/>
      <c r="Y37" s="28"/>
      <c r="Z37" s="28"/>
    </row>
    <row r="38" customFormat="false" ht="12.75" hidden="false" customHeight="false" outlineLevel="0" collapsed="false">
      <c r="B38" s="85"/>
      <c r="C38" s="75"/>
      <c r="D38" s="75"/>
      <c r="E38" s="75"/>
      <c r="F38" s="75"/>
      <c r="G38" s="75"/>
      <c r="H38" s="75"/>
      <c r="I38" s="86"/>
      <c r="J38" s="27"/>
      <c r="K38" s="28"/>
      <c r="L38" s="29"/>
      <c r="M38" s="29"/>
      <c r="N38" s="29"/>
      <c r="O38" s="29"/>
      <c r="P38" s="29"/>
      <c r="Q38" s="28"/>
      <c r="R38" s="28"/>
      <c r="S38" s="28"/>
      <c r="T38" s="28"/>
      <c r="U38" s="28"/>
      <c r="V38" s="28"/>
      <c r="W38" s="28"/>
      <c r="X38" s="28"/>
      <c r="Y38" s="28"/>
      <c r="Z38" s="28"/>
    </row>
    <row r="39" customFormat="false" ht="15" hidden="false" customHeight="true" outlineLevel="0" collapsed="false">
      <c r="A39" s="19" t="s">
        <v>121</v>
      </c>
      <c r="B39" s="53" t="str">
        <f aca="false">INDEX('imp-questions'!D:D, MATCH(A39, 'imp-questions'!A:A, 0))</f>
        <v>Compliance Management</v>
      </c>
      <c r="C39" s="54" t="n">
        <f aca="false">INDEX('imp-questions'!E:E, MATCH(A39, 'imp-questions'!A:A, 0))</f>
        <v>1</v>
      </c>
      <c r="D39" s="55" t="str">
        <f aca="false">INDEX('imp-questions'!F:F, MATCH(A39, 'imp-questions'!A:A, 0))</f>
        <v>Do you have a complete picture of your external compliance obligations?</v>
      </c>
      <c r="E39" s="56" t="str">
        <f aca="false">CHAR(65+INDEX('imp-questions'!H:H, MATCH(A39, 'imp-questions'!A:A, 0)))</f>
        <v>A</v>
      </c>
      <c r="F39" s="87"/>
      <c r="G39" s="88" t="n">
        <f aca="true">IFERROR(INDEX(INDIRECT("Ans" &amp; E39 &amp; "TBL"), MATCH(F39, INDEX(INDIRECT("Ans" &amp; E39 &amp; "TBL"), 0, 1), 0), 2), 0)</f>
        <v>0</v>
      </c>
      <c r="H39" s="89"/>
      <c r="I39" s="90"/>
      <c r="J39" s="71"/>
      <c r="K39" s="28"/>
      <c r="L39" s="29"/>
      <c r="M39" s="29"/>
      <c r="N39" s="29"/>
      <c r="O39" s="29"/>
      <c r="P39" s="29"/>
      <c r="Q39" s="28"/>
      <c r="R39" s="28"/>
      <c r="S39" s="28"/>
      <c r="T39" s="28"/>
      <c r="U39" s="28"/>
      <c r="V39" s="28"/>
      <c r="W39" s="28"/>
      <c r="X39" s="28"/>
      <c r="Y39" s="28"/>
      <c r="Z39" s="28"/>
    </row>
    <row r="40" customFormat="false" ht="36.75" hidden="false" customHeight="true" outlineLevel="0" collapsed="false">
      <c r="B40" s="53"/>
      <c r="C40" s="61"/>
      <c r="D40" s="62" t="str">
        <f aca="false">INDEX('imp-questions'!G:G, MATCH(A39, 'imp-questions'!A:A, 0))</f>
        <v>You have identified all sources of external compliance obligations
 You have captured and reconciled compliance obligations from all sources</v>
      </c>
      <c r="E40" s="63"/>
      <c r="F40" s="91"/>
      <c r="G40" s="92"/>
      <c r="H40" s="93"/>
      <c r="I40" s="90"/>
      <c r="J40" s="71"/>
      <c r="K40" s="28"/>
      <c r="L40" s="29"/>
      <c r="M40" s="29"/>
      <c r="N40" s="29"/>
      <c r="O40" s="29"/>
      <c r="P40" s="29"/>
      <c r="Q40" s="28"/>
      <c r="R40" s="28"/>
      <c r="S40" s="28"/>
      <c r="T40" s="28"/>
      <c r="U40" s="28"/>
      <c r="V40" s="28"/>
      <c r="W40" s="28"/>
      <c r="X40" s="28"/>
      <c r="Y40" s="28"/>
      <c r="Z40" s="28"/>
    </row>
    <row r="41" customFormat="false" ht="27.75" hidden="false" customHeight="true" outlineLevel="0" collapsed="false">
      <c r="A41" s="19" t="s">
        <v>122</v>
      </c>
      <c r="B41" s="53"/>
      <c r="C41" s="54" t="n">
        <f aca="false">INDEX('imp-questions'!E:E, MATCH(A41, 'imp-questions'!A:A, 0))</f>
        <v>2</v>
      </c>
      <c r="D41" s="55" t="str">
        <f aca="false">INDEX('imp-questions'!F:F, MATCH(A41, 'imp-questions'!A:A, 0))</f>
        <v>Do you have a standard set of security requirements and verification procedures addressing the organization's external compliance obligations?</v>
      </c>
      <c r="E41" s="56" t="str">
        <f aca="false">CHAR(65+INDEX('imp-questions'!H:H, MATCH(A41, 'imp-questions'!A:A, 0)))</f>
        <v>U</v>
      </c>
      <c r="F41" s="87"/>
      <c r="G41" s="88" t="n">
        <f aca="true">IFERROR(INDEX(INDIRECT("Ans" &amp; E41 &amp; "TBL"), MATCH(F41, INDEX(INDIRECT("Ans" &amp; E41 &amp; "TBL"), 0, 1), 0), 2), 0)</f>
        <v>0</v>
      </c>
      <c r="H41" s="89"/>
      <c r="I41" s="94"/>
      <c r="J41" s="71"/>
      <c r="K41" s="28"/>
      <c r="L41" s="29"/>
      <c r="M41" s="29"/>
      <c r="N41" s="29"/>
      <c r="O41" s="29"/>
      <c r="P41" s="29"/>
      <c r="Q41" s="28"/>
      <c r="R41" s="28"/>
      <c r="S41" s="28"/>
      <c r="T41" s="28"/>
      <c r="U41" s="28"/>
      <c r="V41" s="28"/>
      <c r="W41" s="28"/>
      <c r="X41" s="28"/>
      <c r="Y41" s="28"/>
      <c r="Z41" s="28"/>
    </row>
    <row r="42" customFormat="false" ht="37.5" hidden="false" customHeight="true" outlineLevel="0" collapsed="false">
      <c r="B42" s="53"/>
      <c r="C42" s="61"/>
      <c r="D42" s="62" t="str">
        <f aca="false">INDEX('imp-questions'!G:G, MATCH(A41, 'imp-questions'!A:A, 0))</f>
        <v>You map each external compliance obligation to a well-defined set of application requirements
 You define verification procedures, including automated tests, to verify compliance with compliance-related requirements</v>
      </c>
      <c r="E42" s="63"/>
      <c r="F42" s="91"/>
      <c r="G42" s="92"/>
      <c r="H42" s="93"/>
      <c r="I42" s="94"/>
      <c r="J42" s="71"/>
      <c r="K42" s="28"/>
      <c r="L42" s="29"/>
      <c r="M42" s="29"/>
      <c r="N42" s="29"/>
      <c r="O42" s="29"/>
      <c r="P42" s="29"/>
      <c r="Q42" s="28"/>
      <c r="R42" s="28"/>
      <c r="S42" s="28"/>
      <c r="T42" s="28"/>
      <c r="U42" s="28"/>
      <c r="V42" s="28"/>
      <c r="W42" s="28"/>
      <c r="X42" s="28"/>
      <c r="Y42" s="28"/>
      <c r="Z42" s="28"/>
    </row>
    <row r="43" customFormat="false" ht="27.75" hidden="false" customHeight="true" outlineLevel="0" collapsed="false">
      <c r="A43" s="19" t="s">
        <v>123</v>
      </c>
      <c r="B43" s="53"/>
      <c r="C43" s="54" t="n">
        <f aca="false">INDEX('imp-questions'!E:E, MATCH(A43, 'imp-questions'!A:A, 0))</f>
        <v>3</v>
      </c>
      <c r="D43" s="55" t="str">
        <f aca="false">INDEX('imp-questions'!F:F, MATCH(A43, 'imp-questions'!A:A, 0))</f>
        <v>Do you regularly report on adherence to external compliance obligations and use that information to guide efforts to close compliance gaps?</v>
      </c>
      <c r="E43" s="56" t="str">
        <f aca="false">CHAR(65+INDEX('imp-questions'!H:H, MATCH(A43, 'imp-questions'!A:A, 0)))</f>
        <v>T</v>
      </c>
      <c r="F43" s="87"/>
      <c r="G43" s="88" t="n">
        <f aca="true">IFERROR(INDEX(INDIRECT("Ans" &amp; E43 &amp; "TBL"), MATCH(F43, INDEX(INDIRECT("Ans" &amp; E43 &amp; "TBL"), 0, 1), 0), 2), 0)</f>
        <v>0</v>
      </c>
      <c r="H43" s="89"/>
      <c r="I43" s="94"/>
      <c r="J43" s="71"/>
      <c r="K43" s="28"/>
      <c r="L43" s="29"/>
      <c r="M43" s="29"/>
      <c r="N43" s="29"/>
      <c r="O43" s="29"/>
      <c r="P43" s="29"/>
      <c r="Q43" s="28"/>
      <c r="R43" s="28"/>
      <c r="S43" s="28"/>
      <c r="T43" s="28"/>
      <c r="U43" s="28"/>
      <c r="V43" s="28"/>
      <c r="W43" s="28"/>
      <c r="X43" s="28"/>
      <c r="Y43" s="28"/>
      <c r="Z43" s="28"/>
    </row>
    <row r="44" customFormat="false" ht="45" hidden="false" customHeight="true" outlineLevel="0" collapsed="false">
      <c r="B44" s="53"/>
      <c r="C44" s="61"/>
      <c r="D44" s="78" t="str">
        <f aca="false">INDEX('imp-questions'!G:G, MATCH(A43, 'imp-questions'!A:A, 0))</f>
        <v>You have established, well-defined compliance metrics
 You measure and report on applications' compliance metrics regularly
 Stakeholders use the reported compliance status information to identify compliance gaps and prioritize gap remediation efforts</v>
      </c>
      <c r="E44" s="63"/>
      <c r="F44" s="91"/>
      <c r="G44" s="92"/>
      <c r="H44" s="93"/>
      <c r="I44" s="94"/>
      <c r="J44" s="71"/>
      <c r="K44" s="28"/>
      <c r="L44" s="29"/>
      <c r="M44" s="29"/>
      <c r="N44" s="29"/>
      <c r="O44" s="29"/>
      <c r="P44" s="29"/>
      <c r="Q44" s="28"/>
      <c r="R44" s="28"/>
      <c r="S44" s="28"/>
      <c r="T44" s="28"/>
      <c r="U44" s="28"/>
      <c r="V44" s="28"/>
      <c r="W44" s="28"/>
      <c r="X44" s="28"/>
      <c r="Y44" s="28"/>
      <c r="Z44" s="28"/>
    </row>
    <row r="45" customFormat="false" ht="14.15" hidden="false" customHeight="true" outlineLevel="0" collapsed="false">
      <c r="B45" s="79" t="s">
        <v>220</v>
      </c>
      <c r="C45" s="79"/>
      <c r="D45" s="79"/>
      <c r="E45" s="80"/>
      <c r="F45" s="50" t="s">
        <v>216</v>
      </c>
      <c r="G45" s="81"/>
      <c r="H45" s="82"/>
      <c r="I45" s="52" t="s">
        <v>217</v>
      </c>
      <c r="J45" s="52" t="s">
        <v>218</v>
      </c>
      <c r="K45" s="28"/>
      <c r="L45" s="29"/>
      <c r="M45" s="29"/>
      <c r="N45" s="29"/>
      <c r="O45" s="29"/>
      <c r="P45" s="29"/>
      <c r="Q45" s="28"/>
      <c r="R45" s="28"/>
      <c r="S45" s="28"/>
      <c r="T45" s="28"/>
      <c r="U45" s="28"/>
      <c r="V45" s="28"/>
      <c r="W45" s="28"/>
      <c r="X45" s="28"/>
      <c r="Y45" s="28"/>
      <c r="Z45" s="28"/>
    </row>
    <row r="46" customFormat="false" ht="12.75" hidden="false" customHeight="true" outlineLevel="0" collapsed="false">
      <c r="A46" s="20" t="s">
        <v>124</v>
      </c>
      <c r="B46" s="53" t="str">
        <f aca="false">INDEX('imp-questions'!D:D, MATCH(A46, 'imp-questions'!A:A, 0))</f>
        <v>Training and Awareness</v>
      </c>
      <c r="C46" s="54" t="n">
        <f aca="false">INDEX('imp-questions'!E:E, MATCH(A46, 'imp-questions'!A:A, 0))</f>
        <v>1</v>
      </c>
      <c r="D46" s="83" t="str">
        <f aca="false">INDEX('imp-questions'!F:F, MATCH(A46, 'imp-questions'!A:A, 0))</f>
        <v>Do you require employees involved with application development to take SDLC training?</v>
      </c>
      <c r="E46" s="56" t="str">
        <f aca="false">CHAR(65+INDEX('imp-questions'!H:H, MATCH(A46, 'imp-questions'!A:A, 0)))</f>
        <v>B</v>
      </c>
      <c r="F46" s="57"/>
      <c r="G46" s="68" t="n">
        <f aca="true">IFERROR(INDEX(INDIRECT("Ans" &amp; E46 &amp; "TBL"), MATCH(F46, INDEX(INDIRECT("Ans" &amp; E46 &amp; "TBL"), 0, 1), 0), 2), 0)</f>
        <v>0</v>
      </c>
      <c r="H46" s="58" t="n">
        <f aca="false">IFERROR(AVERAGE(G46,G53),0)</f>
        <v>0</v>
      </c>
      <c r="I46" s="95"/>
      <c r="J46" s="84" t="n">
        <f aca="false">SUM(H46,H48,H50)</f>
        <v>0</v>
      </c>
      <c r="K46" s="28"/>
      <c r="L46" s="29"/>
      <c r="M46" s="29"/>
      <c r="N46" s="29"/>
      <c r="O46" s="29"/>
      <c r="P46" s="29"/>
      <c r="Q46" s="28"/>
      <c r="R46" s="28"/>
      <c r="S46" s="28"/>
      <c r="T46" s="28"/>
      <c r="U46" s="28"/>
      <c r="V46" s="28"/>
      <c r="W46" s="28"/>
      <c r="X46" s="28"/>
      <c r="Y46" s="28"/>
      <c r="Z46" s="28"/>
    </row>
    <row r="47" customFormat="false" ht="84" hidden="false" customHeight="true" outlineLevel="0" collapsed="false">
      <c r="B47" s="53"/>
      <c r="C47" s="61"/>
      <c r="D47" s="62" t="str">
        <f aca="false">INDEX('imp-questions'!G:G, MATCH(A46, 'imp-questions'!A:A, 0))</f>
        <v>Training is repeatable, consistent, and available to anyone involved with software development lifecycle
 Training includes relevant content from the latest OWASP Top 10 and includes concepts such as Least Privilege, Defense-in-Depth, Fail Secure (Safe), Complete Mediation, Session Management, Open Design, and Psychological Acceptability
 Training requires a sign-off or an acknowledgement from attendees
 You have reviewed the training content within the last 12 months, and have completed any required updates
 All new covered staff are required to complete training during their onboarding process
 Existing covered staff are required to complete training when content is added/revised, or complete refresher training at least every 24 months, whichever comes first</v>
      </c>
      <c r="E47" s="63"/>
      <c r="F47" s="72"/>
      <c r="G47" s="65"/>
      <c r="H47" s="96"/>
      <c r="I47" s="95"/>
      <c r="J47" s="84"/>
      <c r="K47" s="28"/>
      <c r="L47" s="29"/>
      <c r="M47" s="29"/>
      <c r="N47" s="29"/>
      <c r="O47" s="29"/>
      <c r="P47" s="29"/>
      <c r="Q47" s="28"/>
      <c r="R47" s="28"/>
      <c r="S47" s="28"/>
      <c r="T47" s="28"/>
      <c r="U47" s="28"/>
      <c r="V47" s="28"/>
      <c r="W47" s="28"/>
      <c r="X47" s="28"/>
      <c r="Y47" s="28"/>
      <c r="Z47" s="28"/>
    </row>
    <row r="48" customFormat="false" ht="14.15" hidden="false" customHeight="false" outlineLevel="0" collapsed="false">
      <c r="A48" s="20" t="s">
        <v>125</v>
      </c>
      <c r="B48" s="53"/>
      <c r="C48" s="54" t="n">
        <f aca="false">INDEX('imp-questions'!E:E, MATCH(A48, 'imp-questions'!A:A, 0))</f>
        <v>2</v>
      </c>
      <c r="D48" s="55" t="str">
        <f aca="false">INDEX('imp-questions'!F:F, MATCH(A48, 'imp-questions'!A:A, 0))</f>
        <v>Is training customized for individual roles such as developers, testers, or security champions?</v>
      </c>
      <c r="E48" s="56" t="str">
        <f aca="false">CHAR(65+INDEX('imp-questions'!H:H, MATCH(A48, 'imp-questions'!A:A, 0)))</f>
        <v>D</v>
      </c>
      <c r="F48" s="67"/>
      <c r="G48" s="68" t="n">
        <f aca="true">IFERROR(INDEX(INDIRECT("Ans" &amp; E48 &amp; "TBL"), MATCH(F48, INDEX(INDIRECT("Ans" &amp; E48 &amp; "TBL"), 0, 1), 0), 2), 0)</f>
        <v>0</v>
      </c>
      <c r="H48" s="69" t="n">
        <f aca="false">IFERROR(AVERAGE(G48,G55),0)</f>
        <v>0</v>
      </c>
      <c r="I48" s="97"/>
      <c r="J48" s="27"/>
      <c r="K48" s="28"/>
      <c r="L48" s="29"/>
      <c r="M48" s="29"/>
      <c r="N48" s="29"/>
      <c r="O48" s="29"/>
      <c r="P48" s="29"/>
      <c r="Q48" s="28"/>
      <c r="R48" s="28"/>
      <c r="S48" s="28"/>
      <c r="T48" s="28"/>
      <c r="U48" s="28"/>
      <c r="V48" s="28"/>
      <c r="W48" s="28"/>
      <c r="X48" s="28"/>
      <c r="Y48" s="28"/>
      <c r="Z48" s="28"/>
    </row>
    <row r="49" customFormat="false" ht="72.75" hidden="false" customHeight="true" outlineLevel="0" collapsed="false">
      <c r="B49" s="53"/>
      <c r="C49" s="61"/>
      <c r="D49" s="62" t="str">
        <f aca="false">INDEX('imp-questions'!G:G, MATCH(A48, 'imp-questions'!A:A, 0))</f>
        <v>Training includes all topics from maturity level 1, and adds more specific tools, techniques, and demonstrations
 Training is mandatory for all employees and contractors
 Training includes input from in-house SMEs and trainees
 Training includes demonstrations of tools and techniques developed in-house
 You use feedback to enhance and make future training more relevant</v>
      </c>
      <c r="E49" s="63"/>
      <c r="F49" s="72"/>
      <c r="G49" s="65"/>
      <c r="H49" s="98"/>
      <c r="I49" s="97"/>
      <c r="J49" s="27"/>
      <c r="K49" s="28"/>
      <c r="L49" s="29"/>
      <c r="M49" s="29"/>
      <c r="N49" s="29"/>
      <c r="O49" s="29"/>
      <c r="P49" s="29"/>
      <c r="Q49" s="28"/>
      <c r="R49" s="28"/>
      <c r="S49" s="28"/>
      <c r="T49" s="28"/>
      <c r="U49" s="28"/>
      <c r="V49" s="28"/>
      <c r="W49" s="28"/>
      <c r="X49" s="28"/>
      <c r="Y49" s="28"/>
      <c r="Z49" s="28"/>
    </row>
    <row r="50" customFormat="false" ht="15" hidden="false" customHeight="true" outlineLevel="0" collapsed="false">
      <c r="A50" s="20" t="s">
        <v>126</v>
      </c>
      <c r="B50" s="53"/>
      <c r="C50" s="54" t="n">
        <f aca="false">INDEX('imp-questions'!E:E, MATCH(A50, 'imp-questions'!A:A, 0))</f>
        <v>3</v>
      </c>
      <c r="D50" s="55" t="str">
        <f aca="false">INDEX('imp-questions'!F:F, MATCH(A50, 'imp-questions'!A:A, 0))</f>
        <v>Have you implemented a Learning Management System or equivalent to track employee training and certification processes?</v>
      </c>
      <c r="E50" s="56" t="str">
        <f aca="false">CHAR(65+INDEX('imp-questions'!H:H, MATCH(A50, 'imp-questions'!A:A, 0)))</f>
        <v>D</v>
      </c>
      <c r="F50" s="67"/>
      <c r="G50" s="68" t="n">
        <f aca="true">IFERROR(INDEX(INDIRECT("Ans" &amp; E50 &amp; "TBL"), MATCH(F50, INDEX(INDIRECT("Ans" &amp; E50 &amp; "TBL"), 0, 1), 0), 2), 0)</f>
        <v>0</v>
      </c>
      <c r="H50" s="69" t="n">
        <f aca="false">IFERROR(AVERAGE(G50,G57),0)</f>
        <v>0</v>
      </c>
      <c r="I50" s="99"/>
      <c r="J50" s="27"/>
      <c r="K50" s="28"/>
      <c r="L50" s="29"/>
      <c r="M50" s="29"/>
      <c r="N50" s="29"/>
      <c r="O50" s="29"/>
      <c r="P50" s="29"/>
      <c r="Q50" s="28"/>
      <c r="R50" s="28"/>
      <c r="S50" s="28"/>
      <c r="T50" s="28"/>
      <c r="U50" s="28"/>
      <c r="V50" s="28"/>
      <c r="W50" s="28"/>
      <c r="X50" s="28"/>
      <c r="Y50" s="28"/>
      <c r="Z50" s="28"/>
    </row>
    <row r="51" customFormat="false" ht="46.5" hidden="false" customHeight="true" outlineLevel="0" collapsed="false">
      <c r="B51" s="53"/>
      <c r="C51" s="61"/>
      <c r="D51" s="62" t="str">
        <f aca="false">INDEX('imp-questions'!G:G, MATCH(A50, 'imp-questions'!A:A, 0))</f>
        <v>A Learning Management System (LMS) is used to track trainings and certifications
 Training is based on internal standards, policies, and procedures
 You use certification programs or attendance records to determine access to development systems and resources</v>
      </c>
      <c r="E51" s="63"/>
      <c r="F51" s="72"/>
      <c r="G51" s="65"/>
      <c r="H51" s="98"/>
      <c r="I51" s="99"/>
      <c r="J51" s="27"/>
      <c r="K51" s="28"/>
      <c r="L51" s="29"/>
      <c r="M51" s="29"/>
      <c r="N51" s="29"/>
      <c r="O51" s="29"/>
      <c r="P51" s="29"/>
      <c r="Q51" s="28"/>
      <c r="R51" s="28"/>
      <c r="S51" s="28"/>
      <c r="T51" s="28"/>
      <c r="U51" s="28"/>
      <c r="V51" s="28"/>
      <c r="W51" s="28"/>
      <c r="X51" s="28"/>
      <c r="Y51" s="28"/>
      <c r="Z51" s="28"/>
    </row>
    <row r="52" customFormat="false" ht="12.75" hidden="false" customHeight="false" outlineLevel="0" collapsed="false">
      <c r="B52" s="74"/>
      <c r="C52" s="75"/>
      <c r="D52" s="76"/>
      <c r="E52" s="76"/>
      <c r="F52" s="76"/>
      <c r="G52" s="76"/>
      <c r="H52" s="76"/>
      <c r="I52" s="77"/>
      <c r="J52" s="71"/>
      <c r="K52" s="28"/>
      <c r="L52" s="29"/>
      <c r="M52" s="29"/>
      <c r="N52" s="29"/>
      <c r="O52" s="29"/>
      <c r="P52" s="29"/>
      <c r="Q52" s="28"/>
      <c r="R52" s="28"/>
      <c r="S52" s="28"/>
      <c r="T52" s="28"/>
      <c r="U52" s="28"/>
      <c r="V52" s="28"/>
      <c r="W52" s="28"/>
      <c r="X52" s="28"/>
      <c r="Y52" s="28"/>
      <c r="Z52" s="28"/>
    </row>
    <row r="53" customFormat="false" ht="15" hidden="false" customHeight="true" outlineLevel="0" collapsed="false">
      <c r="A53" s="20" t="s">
        <v>127</v>
      </c>
      <c r="B53" s="53" t="str">
        <f aca="false">INDEX('imp-questions'!D:D, MATCH(A53, 'imp-questions'!A:A, 0))</f>
        <v>Organization and Culture</v>
      </c>
      <c r="C53" s="54" t="n">
        <f aca="false">INDEX('imp-questions'!E:E, MATCH(A53, 'imp-questions'!A:A, 0))</f>
        <v>1</v>
      </c>
      <c r="D53" s="55" t="str">
        <f aca="false">INDEX('imp-questions'!F:F, MATCH(A53, 'imp-questions'!A:A, 0))</f>
        <v>Have you identified a Security Champion for each development team?</v>
      </c>
      <c r="E53" s="56" t="str">
        <f aca="false">CHAR(65+INDEX('imp-questions'!H:H, MATCH(A53, 'imp-questions'!A:A, 0)))</f>
        <v>V</v>
      </c>
      <c r="F53" s="57"/>
      <c r="G53" s="68" t="n">
        <f aca="true">IFERROR(INDEX(INDIRECT("Ans" &amp; E53 &amp; "TBL"), MATCH(F53, INDEX(INDIRECT("Ans" &amp; E53 &amp; "TBL"), 0, 1), 0), 2), 0)</f>
        <v>0</v>
      </c>
      <c r="H53" s="58"/>
      <c r="I53" s="59"/>
      <c r="J53" s="71"/>
      <c r="K53" s="28"/>
      <c r="L53" s="29"/>
      <c r="M53" s="29"/>
      <c r="N53" s="29"/>
      <c r="O53" s="29"/>
      <c r="P53" s="29"/>
      <c r="Q53" s="28"/>
      <c r="R53" s="28"/>
      <c r="S53" s="28"/>
      <c r="T53" s="28"/>
      <c r="U53" s="28"/>
      <c r="V53" s="28"/>
      <c r="W53" s="28"/>
      <c r="X53" s="28"/>
      <c r="Y53" s="28"/>
      <c r="Z53" s="28"/>
    </row>
    <row r="54" customFormat="false" ht="69.75" hidden="false" customHeight="true" outlineLevel="0" collapsed="false">
      <c r="B54" s="53"/>
      <c r="C54" s="61"/>
      <c r="D54" s="62" t="str">
        <f aca="false">INDEX('imp-questions'!G:G, MATCH(A53, 'imp-questions'!A:A, 0))</f>
        <v>Security Champions receive appropriate training
 Application Security and Development teams receive periodic briefings from Security Champions on the overall status of security initiatives and fixes
 The Security Champion reviews the results of external testing before adding to the application backlog</v>
      </c>
      <c r="E54" s="63"/>
      <c r="F54" s="72"/>
      <c r="G54" s="65"/>
      <c r="H54" s="73"/>
      <c r="I54" s="59"/>
      <c r="J54" s="71"/>
      <c r="K54" s="28"/>
      <c r="L54" s="29"/>
      <c r="M54" s="29"/>
      <c r="N54" s="29"/>
      <c r="O54" s="29"/>
      <c r="P54" s="29"/>
      <c r="Q54" s="28"/>
      <c r="R54" s="28"/>
      <c r="S54" s="28"/>
      <c r="T54" s="28"/>
      <c r="U54" s="28"/>
      <c r="V54" s="28"/>
      <c r="W54" s="28"/>
      <c r="X54" s="28"/>
      <c r="Y54" s="28"/>
      <c r="Z54" s="28"/>
    </row>
    <row r="55" customFormat="false" ht="14.15" hidden="false" customHeight="false" outlineLevel="0" collapsed="false">
      <c r="A55" s="20" t="s">
        <v>128</v>
      </c>
      <c r="B55" s="53"/>
      <c r="C55" s="54" t="n">
        <f aca="false">INDEX('imp-questions'!E:E, MATCH(A55, 'imp-questions'!A:A, 0))</f>
        <v>2</v>
      </c>
      <c r="D55" s="55" t="str">
        <f aca="false">INDEX('imp-questions'!F:F, MATCH(A55, 'imp-questions'!A:A, 0))</f>
        <v>Does the organization have a Secure Software Center of Excellence (SSCE)?</v>
      </c>
      <c r="E55" s="56" t="str">
        <f aca="false">CHAR(65+INDEX('imp-questions'!H:H, MATCH(A55, 'imp-questions'!A:A, 0)))</f>
        <v>F</v>
      </c>
      <c r="F55" s="67"/>
      <c r="G55" s="68" t="n">
        <f aca="true">IFERROR(INDEX(INDIRECT("Ans" &amp; E55 &amp; "TBL"), MATCH(F55, INDEX(INDIRECT("Ans" &amp; E55 &amp; "TBL"), 0, 1), 0), 2), 0)</f>
        <v>0</v>
      </c>
      <c r="H55" s="58"/>
      <c r="I55" s="70"/>
      <c r="J55" s="71"/>
      <c r="K55" s="28"/>
      <c r="L55" s="29"/>
      <c r="M55" s="29"/>
      <c r="N55" s="29"/>
      <c r="O55" s="29"/>
      <c r="P55" s="29"/>
      <c r="Q55" s="28"/>
      <c r="R55" s="28"/>
      <c r="S55" s="28"/>
      <c r="T55" s="28"/>
      <c r="U55" s="28"/>
      <c r="V55" s="28"/>
      <c r="W55" s="28"/>
      <c r="X55" s="28"/>
      <c r="Y55" s="28"/>
      <c r="Z55" s="28"/>
    </row>
    <row r="56" customFormat="false" ht="60" hidden="false" customHeight="true" outlineLevel="0" collapsed="false">
      <c r="B56" s="53"/>
      <c r="C56" s="61"/>
      <c r="D56" s="62" t="str">
        <f aca="false">INDEX('imp-questions'!G:G, MATCH(A55, 'imp-questions'!A:A, 0))</f>
        <v>The SSCE has a charter defining its role in the organization
 Development teams review all significant architectural changes with the SSCE
 The SSCE publishes SDLC standards and guidelines related to Application Security
 Product Champions are responsible for promoting the use of specific security tools</v>
      </c>
      <c r="E56" s="63"/>
      <c r="F56" s="72"/>
      <c r="G56" s="65"/>
      <c r="H56" s="73"/>
      <c r="I56" s="70"/>
      <c r="J56" s="71"/>
      <c r="K56" s="28"/>
      <c r="L56" s="29"/>
      <c r="M56" s="29"/>
      <c r="N56" s="29"/>
      <c r="O56" s="29"/>
      <c r="P56" s="29"/>
      <c r="Q56" s="28"/>
      <c r="R56" s="28"/>
      <c r="S56" s="28"/>
      <c r="T56" s="28"/>
      <c r="U56" s="28"/>
      <c r="V56" s="28"/>
      <c r="W56" s="28"/>
      <c r="X56" s="28"/>
      <c r="Y56" s="28"/>
      <c r="Z56" s="28"/>
    </row>
    <row r="57" customFormat="false" ht="27.75" hidden="false" customHeight="true" outlineLevel="0" collapsed="false">
      <c r="A57" s="20" t="s">
        <v>129</v>
      </c>
      <c r="B57" s="53"/>
      <c r="C57" s="54" t="n">
        <f aca="false">INDEX('imp-questions'!E:E, MATCH(A57, 'imp-questions'!A:A, 0))</f>
        <v>3</v>
      </c>
      <c r="D57" s="55" t="str">
        <f aca="false">INDEX('imp-questions'!F:F, MATCH(A57, 'imp-questions'!A:A, 0))</f>
        <v>Is there a centralized portal where developers and application security professionals from different teams and business units are able to communicate and share information?</v>
      </c>
      <c r="E57" s="56" t="str">
        <f aca="false">CHAR(65+INDEX('imp-questions'!H:H, MATCH(A57, 'imp-questions'!A:A, 0)))</f>
        <v>F</v>
      </c>
      <c r="F57" s="67"/>
      <c r="G57" s="68" t="n">
        <f aca="true">IFERROR(INDEX(INDIRECT("Ans" &amp; E57 &amp; "TBL"), MATCH(F57, INDEX(INDIRECT("Ans" &amp; E57 &amp; "TBL"), 0, 1), 0), 2), 0)</f>
        <v>0</v>
      </c>
      <c r="H57" s="58"/>
      <c r="I57" s="70"/>
      <c r="J57" s="71"/>
      <c r="K57" s="28"/>
      <c r="L57" s="29"/>
      <c r="M57" s="29"/>
      <c r="N57" s="29"/>
      <c r="O57" s="29"/>
      <c r="P57" s="29"/>
      <c r="Q57" s="28"/>
      <c r="R57" s="28"/>
      <c r="S57" s="28"/>
      <c r="T57" s="28"/>
      <c r="U57" s="28"/>
      <c r="V57" s="28"/>
      <c r="W57" s="28"/>
      <c r="X57" s="28"/>
      <c r="Y57" s="28"/>
      <c r="Z57" s="28"/>
    </row>
    <row r="58" customFormat="false" ht="105.75" hidden="false" customHeight="true" outlineLevel="0" collapsed="false">
      <c r="B58" s="53"/>
      <c r="C58" s="61"/>
      <c r="D58" s="78" t="str">
        <f aca="false">INDEX('imp-questions'!G:G, MATCH(A57, 'imp-questions'!A:A, 0))</f>
        <v>The organization promotes use of a single portal across different teams and business units
 The portal is used for timely information such as notification of security incidents, tool updates, architectural standard changes, and other related announcements
 The portal is widely recognized by developers and architects as a centralized repository of the organization-specific application security information
 All content is considered persistent and searchable
 The portal provides access to application-specific security metrics</v>
      </c>
      <c r="E58" s="100"/>
      <c r="F58" s="101"/>
      <c r="G58" s="102"/>
      <c r="H58" s="103"/>
      <c r="I58" s="70"/>
      <c r="J58" s="71"/>
      <c r="K58" s="28"/>
      <c r="L58" s="29"/>
      <c r="M58" s="29"/>
      <c r="N58" s="29"/>
      <c r="O58" s="29"/>
      <c r="P58" s="29"/>
      <c r="Q58" s="28"/>
      <c r="R58" s="28"/>
      <c r="S58" s="28"/>
      <c r="T58" s="28"/>
      <c r="U58" s="28"/>
      <c r="V58" s="28"/>
      <c r="W58" s="28"/>
      <c r="X58" s="28"/>
      <c r="Y58" s="28"/>
      <c r="Z58" s="28"/>
    </row>
    <row r="59" customFormat="false" ht="21.75" hidden="false" customHeight="true" outlineLevel="0" collapsed="false">
      <c r="B59" s="104" t="s">
        <v>221</v>
      </c>
      <c r="C59" s="104"/>
      <c r="D59" s="104"/>
      <c r="E59" s="104"/>
      <c r="F59" s="104"/>
      <c r="G59" s="104"/>
      <c r="H59" s="104"/>
      <c r="I59" s="104"/>
      <c r="J59" s="104"/>
      <c r="K59" s="28"/>
      <c r="L59" s="29"/>
      <c r="M59" s="29"/>
      <c r="N59" s="29"/>
      <c r="O59" s="29"/>
      <c r="P59" s="29"/>
      <c r="Q59" s="28"/>
      <c r="R59" s="28"/>
      <c r="S59" s="28"/>
      <c r="T59" s="28"/>
      <c r="U59" s="28"/>
      <c r="V59" s="28"/>
      <c r="W59" s="28"/>
      <c r="X59" s="28"/>
      <c r="Y59" s="28"/>
      <c r="Z59" s="28"/>
    </row>
    <row r="60" customFormat="false" ht="14.15" hidden="false" customHeight="true" outlineLevel="0" collapsed="false">
      <c r="B60" s="105" t="s">
        <v>222</v>
      </c>
      <c r="C60" s="105"/>
      <c r="D60" s="105"/>
      <c r="E60" s="106"/>
      <c r="F60" s="105" t="s">
        <v>216</v>
      </c>
      <c r="G60" s="105"/>
      <c r="H60" s="107"/>
      <c r="I60" s="108" t="s">
        <v>217</v>
      </c>
      <c r="J60" s="108" t="s">
        <v>218</v>
      </c>
      <c r="K60" s="28"/>
      <c r="L60" s="29"/>
      <c r="M60" s="29"/>
      <c r="N60" s="29"/>
      <c r="O60" s="29"/>
      <c r="P60" s="29"/>
      <c r="Q60" s="28"/>
      <c r="R60" s="28"/>
      <c r="S60" s="28"/>
      <c r="T60" s="28"/>
      <c r="U60" s="28"/>
      <c r="V60" s="28"/>
      <c r="W60" s="28"/>
      <c r="X60" s="28"/>
      <c r="Y60" s="28"/>
      <c r="Z60" s="28"/>
    </row>
    <row r="61" customFormat="false" ht="12.75" hidden="false" customHeight="true" outlineLevel="0" collapsed="false">
      <c r="A61" s="20" t="s">
        <v>130</v>
      </c>
      <c r="B61" s="109" t="str">
        <f aca="false">INDEX('imp-questions'!D:D, MATCH(A61, 'imp-questions'!A:A, 0))</f>
        <v>Application Risk Profile</v>
      </c>
      <c r="C61" s="110" t="n">
        <f aca="false">INDEX('imp-questions'!E:E, MATCH(A61, 'imp-questions'!A:A, 0))</f>
        <v>1</v>
      </c>
      <c r="D61" s="55" t="str">
        <f aca="false">INDEX('imp-questions'!F:F, MATCH(A61, 'imp-questions'!A:A, 0))</f>
        <v>Do you classify applications according to business risk based on a simple and predefined set of questions?</v>
      </c>
      <c r="E61" s="56" t="str">
        <f aca="false">CHAR(65+INDEX('imp-questions'!H:H, MATCH(A61, 'imp-questions'!A:A, 0)))</f>
        <v>B</v>
      </c>
      <c r="F61" s="111"/>
      <c r="G61" s="68" t="n">
        <f aca="true">IFERROR(INDEX(INDIRECT("Ans" &amp; E61 &amp; "TBL"), MATCH(F61, INDEX(INDIRECT("Ans" &amp; E61 &amp; "TBL"), 0, 1), 0), 2), 0)</f>
        <v>0</v>
      </c>
      <c r="H61" s="58" t="n">
        <f aca="false">IFERROR(AVERAGE(G61,G68),0)</f>
        <v>0</v>
      </c>
      <c r="I61" s="95"/>
      <c r="J61" s="112" t="n">
        <f aca="false">SUM(H61,H63,H65)</f>
        <v>0</v>
      </c>
      <c r="K61" s="28"/>
      <c r="L61" s="29"/>
      <c r="M61" s="29"/>
      <c r="N61" s="29"/>
      <c r="O61" s="29"/>
      <c r="P61" s="29"/>
      <c r="Q61" s="28"/>
      <c r="R61" s="28"/>
      <c r="S61" s="28"/>
      <c r="T61" s="28"/>
      <c r="U61" s="28"/>
      <c r="V61" s="28"/>
      <c r="W61" s="28"/>
      <c r="X61" s="28"/>
      <c r="Y61" s="28"/>
      <c r="Z61" s="28"/>
    </row>
    <row r="62" customFormat="false" ht="55.5" hidden="false" customHeight="true" outlineLevel="0" collapsed="false">
      <c r="B62" s="109"/>
      <c r="C62" s="113"/>
      <c r="D62" s="114" t="str">
        <f aca="false">INDEX('imp-questions'!G:G, MATCH(A61, 'imp-questions'!A:A, 0))</f>
        <v>An agreed-upon risk classification exists
 The application team understands the risk classification
 The risk classification covers critical aspects of business risks the organization is facing
 The organization has an inventory for the applications in scope</v>
      </c>
      <c r="E62" s="115"/>
      <c r="F62" s="116"/>
      <c r="G62" s="65"/>
      <c r="H62" s="96"/>
      <c r="I62" s="95"/>
      <c r="J62" s="112"/>
      <c r="K62" s="28"/>
      <c r="L62" s="29"/>
      <c r="M62" s="29"/>
      <c r="N62" s="29"/>
      <c r="O62" s="29"/>
      <c r="P62" s="29"/>
      <c r="Q62" s="28"/>
      <c r="R62" s="28"/>
      <c r="S62" s="28"/>
      <c r="T62" s="28"/>
      <c r="U62" s="28"/>
      <c r="V62" s="28"/>
      <c r="W62" s="28"/>
      <c r="X62" s="28"/>
      <c r="Y62" s="28"/>
      <c r="Z62" s="28"/>
    </row>
    <row r="63" customFormat="false" ht="15" hidden="false" customHeight="true" outlineLevel="0" collapsed="false">
      <c r="A63" s="20" t="s">
        <v>131</v>
      </c>
      <c r="B63" s="109"/>
      <c r="C63" s="110" t="n">
        <f aca="false">INDEX('imp-questions'!E:E, MATCH(A63, 'imp-questions'!A:A, 0))</f>
        <v>2</v>
      </c>
      <c r="D63" s="55" t="str">
        <f aca="false">INDEX('imp-questions'!F:F, MATCH(A63, 'imp-questions'!A:A, 0))</f>
        <v>Do you use centralized and quantified application risk profiles to evaluate business risk?</v>
      </c>
      <c r="E63" s="56" t="str">
        <f aca="false">CHAR(65+INDEX('imp-questions'!H:H, MATCH(A63, 'imp-questions'!A:A, 0)))</f>
        <v>A</v>
      </c>
      <c r="F63" s="117"/>
      <c r="G63" s="88" t="n">
        <f aca="true">IFERROR(INDEX(INDIRECT("Ans" &amp; E63 &amp; "TBL"), MATCH(F63, INDEX(INDIRECT("Ans" &amp; E63 &amp; "TBL"), 0, 1), 0), 2), 0)</f>
        <v>0</v>
      </c>
      <c r="H63" s="118" t="n">
        <f aca="false">IFERROR(AVERAGE(G63,G70),0)</f>
        <v>0</v>
      </c>
      <c r="I63" s="119"/>
      <c r="J63" s="27"/>
      <c r="K63" s="28"/>
      <c r="L63" s="29"/>
      <c r="M63" s="29"/>
      <c r="N63" s="29"/>
      <c r="O63" s="29"/>
      <c r="P63" s="29"/>
      <c r="Q63" s="28"/>
      <c r="R63" s="28"/>
      <c r="S63" s="28"/>
      <c r="T63" s="28"/>
      <c r="U63" s="28"/>
      <c r="V63" s="28"/>
      <c r="W63" s="28"/>
      <c r="X63" s="28"/>
      <c r="Y63" s="28"/>
      <c r="Z63" s="28"/>
    </row>
    <row r="64" customFormat="false" ht="55.5" hidden="false" customHeight="true" outlineLevel="0" collapsed="false">
      <c r="B64" s="109"/>
      <c r="C64" s="113"/>
      <c r="D64" s="114" t="str">
        <f aca="false">INDEX('imp-questions'!G:G, MATCH(A63, 'imp-questions'!A:A, 0))</f>
        <v>The application risk profile is in line with the organizational risk standard
 The application risk profile covers impact to security and privacy
 You validate the quality of the risk profile manually and/or automatically
 The application risk profiles are stored in a central inventory</v>
      </c>
      <c r="E64" s="115"/>
      <c r="F64" s="120"/>
      <c r="G64" s="92"/>
      <c r="H64" s="121"/>
      <c r="I64" s="119"/>
      <c r="J64" s="27"/>
      <c r="K64" s="28"/>
      <c r="L64" s="29"/>
      <c r="M64" s="29"/>
      <c r="N64" s="29"/>
      <c r="O64" s="29"/>
      <c r="P64" s="29"/>
      <c r="Q64" s="28"/>
      <c r="R64" s="28"/>
      <c r="S64" s="28"/>
      <c r="T64" s="28"/>
      <c r="U64" s="28"/>
      <c r="V64" s="28"/>
      <c r="W64" s="28"/>
      <c r="X64" s="28"/>
      <c r="Y64" s="28"/>
      <c r="Z64" s="28"/>
    </row>
    <row r="65" customFormat="false" ht="15" hidden="false" customHeight="true" outlineLevel="0" collapsed="false">
      <c r="A65" s="20" t="s">
        <v>132</v>
      </c>
      <c r="B65" s="109"/>
      <c r="C65" s="110" t="n">
        <f aca="false">INDEX('imp-questions'!E:E, MATCH(A65, 'imp-questions'!A:A, 0))</f>
        <v>3</v>
      </c>
      <c r="D65" s="55" t="str">
        <f aca="false">INDEX('imp-questions'!F:F, MATCH(A65, 'imp-questions'!A:A, 0))</f>
        <v>Do you regularly review and update the risk profiles for your applications?</v>
      </c>
      <c r="E65" s="56" t="str">
        <f aca="false">CHAR(65+INDEX('imp-questions'!H:H, MATCH(A65, 'imp-questions'!A:A, 0)))</f>
        <v>R</v>
      </c>
      <c r="F65" s="111"/>
      <c r="G65" s="122" t="n">
        <f aca="true">IFERROR(INDEX(INDIRECT("Ans" &amp; E65 &amp; "TBL"), MATCH(F65, INDEX(INDIRECT("Ans" &amp; E65 &amp; "TBL"), 0, 1), 0), 2), 0)</f>
        <v>0</v>
      </c>
      <c r="H65" s="58" t="n">
        <f aca="false">IFERROR(AVERAGE(G65,G72),0)</f>
        <v>0</v>
      </c>
      <c r="I65" s="123"/>
      <c r="J65" s="27"/>
      <c r="K65" s="28"/>
      <c r="L65" s="29"/>
      <c r="M65" s="29"/>
      <c r="N65" s="29"/>
      <c r="O65" s="29"/>
      <c r="P65" s="29"/>
      <c r="Q65" s="28"/>
      <c r="R65" s="28"/>
      <c r="S65" s="28"/>
      <c r="T65" s="28"/>
      <c r="U65" s="28"/>
      <c r="V65" s="28"/>
      <c r="W65" s="28"/>
      <c r="X65" s="28"/>
      <c r="Y65" s="28"/>
      <c r="Z65" s="28"/>
    </row>
    <row r="66" customFormat="false" ht="27.75" hidden="false" customHeight="true" outlineLevel="0" collapsed="false">
      <c r="B66" s="109"/>
      <c r="C66" s="113"/>
      <c r="D66" s="114" t="str">
        <f aca="false">INDEX('imp-questions'!G:G, MATCH(A65, 'imp-questions'!A:A, 0))</f>
        <v>The organizational risk standard considers historical feedback to improve the evaluation method
 Significant changes in the application or business context trigger a review of the relevant risk profiles</v>
      </c>
      <c r="E66" s="115"/>
      <c r="F66" s="120"/>
      <c r="G66" s="92"/>
      <c r="H66" s="98"/>
      <c r="I66" s="123"/>
      <c r="J66" s="27"/>
      <c r="K66" s="28"/>
      <c r="L66" s="29"/>
      <c r="M66" s="29"/>
      <c r="N66" s="29"/>
      <c r="O66" s="29"/>
      <c r="P66" s="29"/>
      <c r="Q66" s="28"/>
      <c r="R66" s="28"/>
      <c r="S66" s="28"/>
      <c r="T66" s="28"/>
      <c r="U66" s="28"/>
      <c r="V66" s="28"/>
      <c r="W66" s="28"/>
      <c r="X66" s="28"/>
      <c r="Y66" s="28"/>
      <c r="Z66" s="28"/>
    </row>
    <row r="67" customFormat="false" ht="12.75" hidden="false" customHeight="false" outlineLevel="0" collapsed="false">
      <c r="B67" s="74"/>
      <c r="C67" s="75"/>
      <c r="D67" s="76"/>
      <c r="E67" s="76"/>
      <c r="F67" s="76"/>
      <c r="G67" s="124"/>
      <c r="H67" s="124"/>
      <c r="I67" s="125"/>
      <c r="J67" s="71"/>
      <c r="K67" s="28"/>
      <c r="L67" s="29"/>
      <c r="M67" s="29"/>
      <c r="N67" s="29"/>
      <c r="O67" s="29"/>
      <c r="P67" s="29"/>
      <c r="Q67" s="28"/>
      <c r="R67" s="28"/>
      <c r="S67" s="28"/>
      <c r="T67" s="28"/>
      <c r="U67" s="28"/>
      <c r="V67" s="28"/>
      <c r="W67" s="28"/>
      <c r="X67" s="28"/>
      <c r="Y67" s="28"/>
      <c r="Z67" s="28"/>
    </row>
    <row r="68" customFormat="false" ht="15" hidden="false" customHeight="true" outlineLevel="0" collapsed="false">
      <c r="A68" s="20" t="s">
        <v>133</v>
      </c>
      <c r="B68" s="126" t="str">
        <f aca="false">INDEX('imp-questions'!D:D, MATCH(A68, 'imp-questions'!A:A, 0))</f>
        <v>Threat Modeling</v>
      </c>
      <c r="C68" s="127" t="n">
        <f aca="false">INDEX('imp-questions'!E:E, MATCH(A68, 'imp-questions'!A:A, 0))</f>
        <v>1</v>
      </c>
      <c r="D68" s="55" t="str">
        <f aca="false">INDEX('imp-questions'!F:F, MATCH(A68, 'imp-questions'!A:A, 0))</f>
        <v>Do you identify and manage architectural design flaws with threat modeling?</v>
      </c>
      <c r="E68" s="56" t="str">
        <f aca="false">CHAR(65+INDEX('imp-questions'!H:H, MATCH(A68, 'imp-questions'!A:A, 0)))</f>
        <v>B</v>
      </c>
      <c r="F68" s="117"/>
      <c r="G68" s="88" t="n">
        <f aca="true">IFERROR(INDEX(INDIRECT("Ans" &amp; E68 &amp; "TBL"), MATCH(F68, INDEX(INDIRECT("Ans" &amp; E68 &amp; "TBL"), 0, 1), 0), 2), 0)</f>
        <v>0</v>
      </c>
      <c r="H68" s="128"/>
      <c r="I68" s="119"/>
      <c r="J68" s="27"/>
      <c r="K68" s="28"/>
      <c r="L68" s="29"/>
      <c r="M68" s="29"/>
      <c r="N68" s="29"/>
      <c r="O68" s="29"/>
      <c r="P68" s="29"/>
      <c r="Q68" s="28"/>
      <c r="R68" s="28"/>
      <c r="S68" s="28"/>
      <c r="T68" s="28"/>
      <c r="U68" s="28"/>
      <c r="V68" s="28"/>
      <c r="W68" s="28"/>
      <c r="X68" s="28"/>
      <c r="Y68" s="28"/>
      <c r="Z68" s="28"/>
    </row>
    <row r="69" customFormat="false" ht="42" hidden="false" customHeight="true" outlineLevel="0" collapsed="false">
      <c r="B69" s="126"/>
      <c r="C69" s="113"/>
      <c r="D69" s="114" t="str">
        <f aca="false">INDEX('imp-questions'!G:G, MATCH(A68, 'imp-questions'!A:A, 0))</f>
        <v>You perform threat modeling for high-risk applications
 You use simple threat checklists, such as STRIDE
 You persist the outcome of a threat model for later use</v>
      </c>
      <c r="E69" s="115"/>
      <c r="F69" s="120"/>
      <c r="G69" s="92"/>
      <c r="H69" s="129"/>
      <c r="I69" s="119"/>
      <c r="J69" s="27"/>
      <c r="K69" s="28"/>
      <c r="L69" s="29"/>
      <c r="M69" s="29"/>
      <c r="N69" s="29"/>
      <c r="O69" s="29"/>
      <c r="P69" s="29"/>
      <c r="Q69" s="28"/>
      <c r="R69" s="28"/>
      <c r="S69" s="28"/>
      <c r="T69" s="28"/>
      <c r="U69" s="28"/>
      <c r="V69" s="28"/>
      <c r="W69" s="28"/>
      <c r="X69" s="28"/>
      <c r="Y69" s="28"/>
      <c r="Z69" s="28"/>
    </row>
    <row r="70" customFormat="false" ht="14.15" hidden="false" customHeight="false" outlineLevel="0" collapsed="false">
      <c r="A70" s="20" t="s">
        <v>134</v>
      </c>
      <c r="B70" s="126"/>
      <c r="C70" s="110" t="n">
        <f aca="false">INDEX('imp-questions'!E:E, MATCH(A70, 'imp-questions'!A:A, 0))</f>
        <v>2</v>
      </c>
      <c r="D70" s="55" t="str">
        <f aca="false">INDEX('imp-questions'!F:F, MATCH(A70, 'imp-questions'!A:A, 0))</f>
        <v>Do you use a standard methodology, aligned with your application risk levels?</v>
      </c>
      <c r="E70" s="56" t="str">
        <f aca="false">CHAR(65+INDEX('imp-questions'!H:H, MATCH(A70, 'imp-questions'!A:A, 0)))</f>
        <v>A</v>
      </c>
      <c r="F70" s="117"/>
      <c r="G70" s="88" t="n">
        <f aca="true">IFERROR(INDEX(INDIRECT("Ans" &amp; E70 &amp; "TBL"), MATCH(F70, INDEX(INDIRECT("Ans" &amp; E70 &amp; "TBL"), 0, 1), 0), 2), 0)</f>
        <v>0</v>
      </c>
      <c r="H70" s="128"/>
      <c r="I70" s="119"/>
      <c r="J70" s="27"/>
      <c r="K70" s="28"/>
      <c r="L70" s="29"/>
      <c r="M70" s="29"/>
      <c r="N70" s="29"/>
      <c r="O70" s="29"/>
      <c r="P70" s="29"/>
      <c r="Q70" s="28"/>
      <c r="R70" s="28"/>
      <c r="S70" s="28"/>
      <c r="T70" s="28"/>
      <c r="U70" s="28"/>
      <c r="V70" s="28"/>
      <c r="W70" s="28"/>
      <c r="X70" s="28"/>
      <c r="Y70" s="28"/>
      <c r="Z70" s="28"/>
    </row>
    <row r="71" customFormat="false" ht="69.75" hidden="false" customHeight="true" outlineLevel="0" collapsed="false">
      <c r="B71" s="126"/>
      <c r="C71" s="113"/>
      <c r="D71" s="114" t="str">
        <f aca="false">INDEX('imp-questions'!G:G, MATCH(A70, 'imp-questions'!A:A, 0))</f>
        <v>You train your architects, security champions, and other stakeholders on how to do practical threat modeling
 Your threat modeling methodology includes at least diagramming, threat identification, design flaw mitigations, and how to validate your threat model artifacts
 Changes in the application or business context trigger a review of the relevant threat models
 You capture the threat modeling artifacts with tools used by your application teams</v>
      </c>
      <c r="E71" s="115"/>
      <c r="F71" s="120"/>
      <c r="G71" s="92"/>
      <c r="H71" s="129"/>
      <c r="I71" s="119"/>
      <c r="J71" s="27"/>
      <c r="K71" s="28"/>
      <c r="L71" s="29"/>
      <c r="M71" s="29"/>
      <c r="N71" s="29"/>
      <c r="O71" s="29"/>
      <c r="P71" s="29"/>
      <c r="Q71" s="28"/>
      <c r="R71" s="28"/>
      <c r="S71" s="28"/>
      <c r="T71" s="28"/>
      <c r="U71" s="28"/>
      <c r="V71" s="28"/>
      <c r="W71" s="28"/>
      <c r="X71" s="28"/>
      <c r="Y71" s="28"/>
      <c r="Z71" s="28"/>
    </row>
    <row r="72" customFormat="false" ht="14.15" hidden="false" customHeight="false" outlineLevel="0" collapsed="false">
      <c r="A72" s="20" t="s">
        <v>135</v>
      </c>
      <c r="B72" s="126"/>
      <c r="C72" s="110" t="n">
        <f aca="false">INDEX('imp-questions'!E:E, MATCH(A72, 'imp-questions'!A:A, 0))</f>
        <v>3</v>
      </c>
      <c r="D72" s="55" t="str">
        <f aca="false">INDEX('imp-questions'!F:F, MATCH(A72, 'imp-questions'!A:A, 0))</f>
        <v>Do you regularly review and update the threat modeling methodology for your applications?</v>
      </c>
      <c r="E72" s="56" t="str">
        <f aca="false">CHAR(65+INDEX('imp-questions'!H:H, MATCH(A72, 'imp-questions'!A:A, 0)))</f>
        <v>P</v>
      </c>
      <c r="F72" s="87"/>
      <c r="G72" s="88" t="n">
        <f aca="true">IFERROR(INDEX(INDIRECT("Ans" &amp; E72 &amp; "TBL"), MATCH(F72, INDEX(INDIRECT("Ans" &amp; E72 &amp; "TBL"), 0, 1), 0), 2), 0)</f>
        <v>0</v>
      </c>
      <c r="H72" s="128"/>
      <c r="I72" s="119"/>
      <c r="J72" s="27"/>
      <c r="K72" s="28"/>
      <c r="L72" s="29"/>
      <c r="M72" s="29"/>
      <c r="N72" s="29"/>
      <c r="O72" s="29"/>
      <c r="P72" s="29"/>
      <c r="Q72" s="28"/>
      <c r="R72" s="28"/>
      <c r="S72" s="28"/>
      <c r="T72" s="28"/>
      <c r="U72" s="28"/>
      <c r="V72" s="28"/>
      <c r="W72" s="28"/>
      <c r="X72" s="28"/>
      <c r="Y72" s="28"/>
      <c r="Z72" s="28"/>
    </row>
    <row r="73" customFormat="false" ht="42" hidden="false" customHeight="true" outlineLevel="0" collapsed="false">
      <c r="B73" s="126"/>
      <c r="C73" s="113"/>
      <c r="D73" s="130" t="str">
        <f aca="false">INDEX('imp-questions'!G:G, MATCH(A72, 'imp-questions'!A:A, 0))</f>
        <v>The threat model methodology considers historical feedback for improvement
 You regularly (e.g., yearly) review the existing threat models to verify that no new threats are relevant for your applications
 You automate parts of your threat modeling process with threat modeling tools</v>
      </c>
      <c r="E73" s="115"/>
      <c r="F73" s="120"/>
      <c r="G73" s="92"/>
      <c r="H73" s="131"/>
      <c r="I73" s="119"/>
      <c r="J73" s="27"/>
      <c r="K73" s="28"/>
      <c r="L73" s="29"/>
      <c r="M73" s="29"/>
      <c r="N73" s="29"/>
      <c r="O73" s="29"/>
      <c r="P73" s="29"/>
      <c r="Q73" s="28"/>
      <c r="R73" s="28"/>
      <c r="S73" s="28"/>
      <c r="T73" s="28"/>
      <c r="U73" s="28"/>
      <c r="V73" s="28"/>
      <c r="W73" s="28"/>
      <c r="X73" s="28"/>
      <c r="Y73" s="28"/>
      <c r="Z73" s="28"/>
    </row>
    <row r="74" customFormat="false" ht="14.15" hidden="false" customHeight="true" outlineLevel="0" collapsed="false">
      <c r="B74" s="132" t="s">
        <v>223</v>
      </c>
      <c r="C74" s="132"/>
      <c r="D74" s="132"/>
      <c r="E74" s="133"/>
      <c r="F74" s="105" t="s">
        <v>216</v>
      </c>
      <c r="G74" s="134"/>
      <c r="H74" s="135"/>
      <c r="I74" s="136" t="s">
        <v>217</v>
      </c>
      <c r="J74" s="137" t="s">
        <v>218</v>
      </c>
      <c r="K74" s="28"/>
      <c r="L74" s="29"/>
      <c r="M74" s="29"/>
      <c r="N74" s="29"/>
      <c r="O74" s="29"/>
      <c r="P74" s="29"/>
      <c r="Q74" s="28"/>
      <c r="R74" s="28"/>
      <c r="S74" s="28"/>
      <c r="T74" s="28"/>
      <c r="U74" s="28"/>
      <c r="V74" s="28"/>
      <c r="W74" s="28"/>
      <c r="X74" s="28"/>
      <c r="Y74" s="28"/>
      <c r="Z74" s="28"/>
    </row>
    <row r="75" customFormat="false" ht="13.5" hidden="false" customHeight="true" outlineLevel="0" collapsed="false">
      <c r="A75" s="20" t="s">
        <v>136</v>
      </c>
      <c r="B75" s="138" t="str">
        <f aca="false">INDEX('imp-questions'!D:D, MATCH(A75, 'imp-questions'!A:A, 0))</f>
        <v>Software Requirements</v>
      </c>
      <c r="C75" s="127" t="n">
        <f aca="false">INDEX('imp-questions'!E:E, MATCH(A75, 'imp-questions'!A:A, 0))</f>
        <v>1</v>
      </c>
      <c r="D75" s="83" t="str">
        <f aca="false">INDEX('imp-questions'!F:F, MATCH(A75, 'imp-questions'!A:A, 0))</f>
        <v>Do project teams specify security requirements during development?</v>
      </c>
      <c r="E75" s="56" t="str">
        <f aca="false">CHAR(65+INDEX('imp-questions'!H:H, MATCH(A75, 'imp-questions'!A:A, 0)))</f>
        <v>A</v>
      </c>
      <c r="F75" s="117"/>
      <c r="G75" s="88" t="n">
        <f aca="true">IFERROR(INDEX(INDIRECT("Ans" &amp; E75 &amp; "TBL"), MATCH(F75, INDEX(INDIRECT("Ans" &amp; E75 &amp; "TBL"), 0, 1), 0), 2), 0)</f>
        <v>0</v>
      </c>
      <c r="H75" s="118" t="n">
        <f aca="false">IFERROR(AVERAGE(G75,G82),0)</f>
        <v>0</v>
      </c>
      <c r="I75" s="119"/>
      <c r="J75" s="139" t="n">
        <f aca="false">SUM(H75,H77,H79)</f>
        <v>0</v>
      </c>
      <c r="K75" s="28"/>
      <c r="L75" s="29"/>
      <c r="M75" s="29"/>
      <c r="N75" s="29"/>
      <c r="O75" s="29"/>
      <c r="P75" s="29"/>
      <c r="Q75" s="28"/>
      <c r="R75" s="28"/>
      <c r="S75" s="28"/>
      <c r="T75" s="28"/>
      <c r="U75" s="28"/>
      <c r="V75" s="28"/>
      <c r="W75" s="28"/>
      <c r="X75" s="28"/>
      <c r="Y75" s="28"/>
      <c r="Z75" s="28"/>
    </row>
    <row r="76" customFormat="false" ht="42" hidden="false" customHeight="true" outlineLevel="0" collapsed="false">
      <c r="B76" s="138"/>
      <c r="C76" s="113"/>
      <c r="D76" s="114" t="str">
        <f aca="false">INDEX('imp-questions'!G:G, MATCH(A75, 'imp-questions'!A:A, 0))</f>
        <v>Teams derive security requirements from functional requirements and customer or organization concerns
 Security requirements are specific, measurable, and reasonable
 Security requirements are in line with the organizational baseline</v>
      </c>
      <c r="E76" s="115"/>
      <c r="F76" s="120"/>
      <c r="G76" s="92"/>
      <c r="H76" s="140"/>
      <c r="I76" s="119"/>
      <c r="J76" s="139"/>
      <c r="K76" s="28"/>
      <c r="L76" s="29"/>
      <c r="M76" s="29"/>
      <c r="N76" s="29"/>
      <c r="O76" s="29"/>
      <c r="P76" s="29"/>
      <c r="Q76" s="28"/>
      <c r="R76" s="28"/>
      <c r="S76" s="28"/>
      <c r="T76" s="28"/>
      <c r="U76" s="28"/>
      <c r="V76" s="28"/>
      <c r="W76" s="28"/>
      <c r="X76" s="28"/>
      <c r="Y76" s="28"/>
      <c r="Z76" s="28"/>
    </row>
    <row r="77" customFormat="false" ht="14.15" hidden="false" customHeight="false" outlineLevel="0" collapsed="false">
      <c r="A77" s="20" t="s">
        <v>137</v>
      </c>
      <c r="B77" s="138"/>
      <c r="C77" s="110" t="n">
        <f aca="false">INDEX('imp-questions'!E:E, MATCH(A77, 'imp-questions'!A:A, 0))</f>
        <v>2</v>
      </c>
      <c r="D77" s="55" t="str">
        <f aca="false">INDEX('imp-questions'!F:F, MATCH(A77, 'imp-questions'!A:A, 0))</f>
        <v>Do you define, structure, and include prioritization in the artifacts of the security requirements gathering process?</v>
      </c>
      <c r="E77" s="56" t="str">
        <f aca="false">CHAR(65+INDEX('imp-questions'!H:H, MATCH(A77, 'imp-questions'!A:A, 0)))</f>
        <v>E</v>
      </c>
      <c r="F77" s="141"/>
      <c r="G77" s="88" t="n">
        <f aca="true">IFERROR(INDEX(INDIRECT("Ans" &amp; E77 &amp; "TBL"), MATCH(F77, INDEX(INDIRECT("Ans" &amp; E77 &amp; "TBL"), 0, 1), 0), 2), 0)</f>
        <v>0</v>
      </c>
      <c r="H77" s="118" t="n">
        <f aca="false">IFERROR(AVERAGE(G77,G84),0)</f>
        <v>0</v>
      </c>
      <c r="I77" s="119"/>
      <c r="J77" s="27"/>
      <c r="K77" s="28"/>
      <c r="L77" s="29"/>
      <c r="M77" s="29"/>
      <c r="N77" s="29"/>
      <c r="O77" s="29"/>
      <c r="P77" s="29"/>
      <c r="Q77" s="28"/>
      <c r="R77" s="28"/>
      <c r="S77" s="28"/>
      <c r="T77" s="28"/>
      <c r="U77" s="28"/>
      <c r="V77" s="28"/>
      <c r="W77" s="28"/>
      <c r="X77" s="28"/>
      <c r="Y77" s="28"/>
      <c r="Z77" s="28"/>
    </row>
    <row r="78" customFormat="false" ht="55.5" hidden="false" customHeight="true" outlineLevel="0" collapsed="false">
      <c r="B78" s="138"/>
      <c r="C78" s="113"/>
      <c r="D78" s="114" t="str">
        <f aca="false">INDEX('imp-questions'!G:G, MATCH(A77, 'imp-questions'!A:A, 0))</f>
        <v>Security requirements take into consideration domain specific knowledge when applying policies and guidance to product development
 Domain experts are involved in the requirements definition process
 You have an agreed upon structured notation for security requirements
 Development teams have a security champion dedicated to reviewing security requirements and outcomes</v>
      </c>
      <c r="E78" s="115"/>
      <c r="F78" s="120"/>
      <c r="G78" s="92"/>
      <c r="H78" s="121"/>
      <c r="I78" s="119"/>
      <c r="J78" s="27"/>
      <c r="K78" s="28"/>
      <c r="L78" s="29"/>
      <c r="M78" s="29"/>
      <c r="N78" s="29"/>
      <c r="O78" s="29"/>
      <c r="P78" s="29"/>
      <c r="Q78" s="28"/>
      <c r="R78" s="28"/>
      <c r="S78" s="28"/>
      <c r="T78" s="28"/>
      <c r="U78" s="28"/>
      <c r="V78" s="28"/>
      <c r="W78" s="28"/>
      <c r="X78" s="28"/>
      <c r="Y78" s="28"/>
      <c r="Z78" s="28"/>
    </row>
    <row r="79" customFormat="false" ht="14.15" hidden="false" customHeight="false" outlineLevel="0" collapsed="false">
      <c r="A79" s="20" t="s">
        <v>138</v>
      </c>
      <c r="B79" s="138"/>
      <c r="C79" s="110" t="n">
        <f aca="false">INDEX('imp-questions'!E:E, MATCH(A79, 'imp-questions'!A:A, 0))</f>
        <v>3</v>
      </c>
      <c r="D79" s="55" t="str">
        <f aca="false">INDEX('imp-questions'!F:F, MATCH(A79, 'imp-questions'!A:A, 0))</f>
        <v>Do you use a standard requirements framework to streamline the elicitation of security requirements?</v>
      </c>
      <c r="E79" s="56" t="str">
        <f aca="false">CHAR(65+INDEX('imp-questions'!H:H, MATCH(A79, 'imp-questions'!A:A, 0)))</f>
        <v>A</v>
      </c>
      <c r="F79" s="117"/>
      <c r="G79" s="88" t="n">
        <f aca="true">IFERROR(INDEX(INDIRECT("Ans" &amp; E79 &amp; "TBL"), MATCH(F79, INDEX(INDIRECT("Ans" &amp; E79 &amp; "TBL"), 0, 1), 0), 2), 0)</f>
        <v>0</v>
      </c>
      <c r="H79" s="118" t="n">
        <f aca="false">IFERROR(AVERAGE(G79,G86),0)</f>
        <v>0</v>
      </c>
      <c r="I79" s="119"/>
      <c r="J79" s="27"/>
      <c r="K79" s="28"/>
      <c r="L79" s="29"/>
      <c r="M79" s="29"/>
      <c r="N79" s="29"/>
      <c r="O79" s="29"/>
      <c r="P79" s="29"/>
      <c r="Q79" s="28"/>
      <c r="R79" s="28"/>
      <c r="S79" s="28"/>
      <c r="T79" s="28"/>
      <c r="U79" s="28"/>
      <c r="V79" s="28"/>
      <c r="W79" s="28"/>
      <c r="X79" s="28"/>
      <c r="Y79" s="28"/>
      <c r="Z79" s="28"/>
    </row>
    <row r="80" customFormat="false" ht="55.5" hidden="false" customHeight="true" outlineLevel="0" collapsed="false">
      <c r="B80" s="138"/>
      <c r="C80" s="113"/>
      <c r="D80" s="114" t="str">
        <f aca="false">INDEX('imp-questions'!G:G, MATCH(A79, 'imp-questions'!A:A, 0))</f>
        <v>A security requirements framework is available for project teams
 The framework is categorized by common requirements and standards-based requirements
 The framework gives clear guidance on the quality of requirements and how to describe them
 The framework is adaptable to specific business requirements</v>
      </c>
      <c r="E80" s="115"/>
      <c r="F80" s="120"/>
      <c r="G80" s="92"/>
      <c r="H80" s="121"/>
      <c r="I80" s="119"/>
      <c r="J80" s="27"/>
      <c r="K80" s="28"/>
      <c r="L80" s="29"/>
      <c r="M80" s="29"/>
      <c r="N80" s="29"/>
      <c r="O80" s="29"/>
      <c r="P80" s="29"/>
      <c r="Q80" s="28"/>
      <c r="R80" s="28"/>
      <c r="S80" s="28"/>
      <c r="T80" s="28"/>
      <c r="U80" s="28"/>
      <c r="V80" s="28"/>
      <c r="W80" s="28"/>
      <c r="X80" s="28"/>
      <c r="Y80" s="28"/>
      <c r="Z80" s="28"/>
    </row>
    <row r="81" customFormat="false" ht="12.75" hidden="false" customHeight="false" outlineLevel="0" collapsed="false">
      <c r="B81" s="142"/>
      <c r="C81" s="75"/>
      <c r="D81" s="76"/>
      <c r="E81" s="76"/>
      <c r="F81" s="76"/>
      <c r="G81" s="124"/>
      <c r="H81" s="124"/>
      <c r="I81" s="77"/>
      <c r="J81" s="71"/>
      <c r="K81" s="28"/>
      <c r="L81" s="29"/>
      <c r="M81" s="29"/>
      <c r="N81" s="29"/>
      <c r="O81" s="29"/>
      <c r="P81" s="29"/>
      <c r="Q81" s="28"/>
      <c r="R81" s="28"/>
      <c r="S81" s="28"/>
      <c r="T81" s="28"/>
      <c r="U81" s="28"/>
      <c r="V81" s="28"/>
      <c r="W81" s="28"/>
      <c r="X81" s="28"/>
      <c r="Y81" s="28"/>
      <c r="Z81" s="28"/>
    </row>
    <row r="82" customFormat="false" ht="15" hidden="false" customHeight="true" outlineLevel="0" collapsed="false">
      <c r="A82" s="20" t="s">
        <v>139</v>
      </c>
      <c r="B82" s="126" t="str">
        <f aca="false">INDEX('imp-questions'!D:D, MATCH(A82, 'imp-questions'!A:A, 0))</f>
        <v>Supplier Security</v>
      </c>
      <c r="C82" s="127" t="n">
        <f aca="false">INDEX('imp-questions'!E:E, MATCH(A82, 'imp-questions'!A:A, 0))</f>
        <v>1</v>
      </c>
      <c r="D82" s="55" t="str">
        <f aca="false">INDEX('imp-questions'!F:F, MATCH(A82, 'imp-questions'!A:A, 0))</f>
        <v>Do stakeholders review vendor collaborations for security requirements and methodology?</v>
      </c>
      <c r="E82" s="56" t="str">
        <f aca="false">CHAR(65+INDEX('imp-questions'!H:H, MATCH(A82, 'imp-questions'!A:A, 0)))</f>
        <v>E</v>
      </c>
      <c r="F82" s="141"/>
      <c r="G82" s="88" t="n">
        <f aca="true">IFERROR(INDEX(INDIRECT("Ans" &amp; E82 &amp; "TBL"), MATCH(F82, INDEX(INDIRECT("Ans" &amp; E82 &amp; "TBL"), 0, 1), 0), 2), 0)</f>
        <v>0</v>
      </c>
      <c r="H82" s="89"/>
      <c r="I82" s="94"/>
      <c r="J82" s="71"/>
      <c r="K82" s="28"/>
      <c r="L82" s="29"/>
      <c r="M82" s="29"/>
      <c r="N82" s="29"/>
      <c r="O82" s="29"/>
      <c r="P82" s="29"/>
      <c r="Q82" s="28"/>
      <c r="R82" s="28"/>
      <c r="S82" s="28"/>
      <c r="T82" s="28"/>
      <c r="U82" s="28"/>
      <c r="V82" s="28"/>
      <c r="W82" s="28"/>
      <c r="X82" s="28"/>
      <c r="Y82" s="28"/>
      <c r="Z82" s="28"/>
    </row>
    <row r="83" customFormat="false" ht="31.5" hidden="false" customHeight="true" outlineLevel="0" collapsed="false">
      <c r="B83" s="126"/>
      <c r="C83" s="113"/>
      <c r="D83" s="114" t="str">
        <f aca="false">INDEX('imp-questions'!G:G, MATCH(A82, 'imp-questions'!A:A, 0))</f>
        <v>You consider including specific security requirements, activities, and processes when creating third-party agreements
 A vendor questionnaire is available and used to assess the strengths and weaknesses of your suppliers</v>
      </c>
      <c r="E83" s="115"/>
      <c r="F83" s="120"/>
      <c r="G83" s="92"/>
      <c r="H83" s="143"/>
      <c r="I83" s="94"/>
      <c r="J83" s="71"/>
      <c r="K83" s="28"/>
      <c r="L83" s="29"/>
      <c r="M83" s="29"/>
      <c r="N83" s="29"/>
      <c r="O83" s="29"/>
      <c r="P83" s="29"/>
      <c r="Q83" s="28"/>
      <c r="R83" s="28"/>
      <c r="S83" s="28"/>
      <c r="T83" s="28"/>
      <c r="U83" s="28"/>
      <c r="V83" s="28"/>
      <c r="W83" s="28"/>
      <c r="X83" s="28"/>
      <c r="Y83" s="28"/>
      <c r="Z83" s="28"/>
    </row>
    <row r="84" customFormat="false" ht="15" hidden="false" customHeight="true" outlineLevel="0" collapsed="false">
      <c r="A84" s="20" t="s">
        <v>140</v>
      </c>
      <c r="B84" s="126"/>
      <c r="C84" s="110" t="n">
        <f aca="false">INDEX('imp-questions'!E:E, MATCH(A84, 'imp-questions'!A:A, 0))</f>
        <v>2</v>
      </c>
      <c r="D84" s="55" t="str">
        <f aca="false">INDEX('imp-questions'!F:F, MATCH(A84, 'imp-questions'!A:A, 0))</f>
        <v>Do vendors meet the security responsibilities and quality measures of service level agreements defined by the organization?</v>
      </c>
      <c r="E84" s="56" t="str">
        <f aca="false">CHAR(65+INDEX('imp-questions'!H:H, MATCH(A84, 'imp-questions'!A:A, 0)))</f>
        <v>E</v>
      </c>
      <c r="F84" s="141"/>
      <c r="G84" s="88" t="n">
        <f aca="true">IFERROR(INDEX(INDIRECT("Ans" &amp; E84 &amp; "TBL"), MATCH(F84, INDEX(INDIRECT("Ans" &amp; E84 &amp; "TBL"), 0, 1), 0), 2), 0)</f>
        <v>0</v>
      </c>
      <c r="H84" s="89"/>
      <c r="I84" s="94"/>
      <c r="J84" s="71"/>
      <c r="K84" s="28"/>
      <c r="L84" s="29"/>
      <c r="M84" s="29"/>
      <c r="N84" s="29"/>
      <c r="O84" s="29"/>
      <c r="P84" s="29"/>
      <c r="Q84" s="28"/>
      <c r="R84" s="28"/>
      <c r="S84" s="28"/>
      <c r="T84" s="28"/>
      <c r="U84" s="28"/>
      <c r="V84" s="28"/>
      <c r="W84" s="28"/>
      <c r="X84" s="28"/>
      <c r="Y84" s="28"/>
      <c r="Z84" s="28"/>
    </row>
    <row r="85" customFormat="false" ht="73.5" hidden="false" customHeight="true" outlineLevel="0" collapsed="false">
      <c r="B85" s="126"/>
      <c r="C85" s="113"/>
      <c r="D85" s="114" t="str">
        <f aca="false">INDEX('imp-questions'!G:G, MATCH(A84, 'imp-questions'!A:A, 0))</f>
        <v>You discuss security requirements with the vendor when creating vendor agreements
 Vendor agreements provide specific guidance on security defect remediation within an agreed upon timeframe
 The organization has a templated agreement of responsibilities and service levels for key vendor security processes
 You measure key performance indicators</v>
      </c>
      <c r="E85" s="115"/>
      <c r="F85" s="120"/>
      <c r="G85" s="92"/>
      <c r="H85" s="143"/>
      <c r="I85" s="94"/>
      <c r="J85" s="71"/>
      <c r="K85" s="28"/>
      <c r="L85" s="29"/>
      <c r="M85" s="29"/>
      <c r="N85" s="29"/>
      <c r="O85" s="29"/>
      <c r="P85" s="29"/>
      <c r="Q85" s="28"/>
      <c r="R85" s="28"/>
      <c r="S85" s="28"/>
      <c r="T85" s="28"/>
      <c r="U85" s="28"/>
      <c r="V85" s="28"/>
      <c r="W85" s="28"/>
      <c r="X85" s="28"/>
      <c r="Y85" s="28"/>
      <c r="Z85" s="28"/>
    </row>
    <row r="86" customFormat="false" ht="27.75" hidden="false" customHeight="true" outlineLevel="0" collapsed="false">
      <c r="A86" s="20" t="s">
        <v>141</v>
      </c>
      <c r="B86" s="126"/>
      <c r="C86" s="110" t="n">
        <f aca="false">INDEX('imp-questions'!E:E, MATCH(A86, 'imp-questions'!A:A, 0))</f>
        <v>3</v>
      </c>
      <c r="D86" s="55" t="str">
        <f aca="false">INDEX('imp-questions'!F:F, MATCH(A86, 'imp-questions'!A:A, 0))</f>
        <v>Are vendors aligned with standard security controls and software development tools and processes that the organization utilizes?</v>
      </c>
      <c r="E86" s="56" t="str">
        <f aca="false">CHAR(65+INDEX('imp-questions'!H:H, MATCH(A86, 'imp-questions'!A:A, 0)))</f>
        <v>E</v>
      </c>
      <c r="F86" s="141"/>
      <c r="G86" s="88" t="n">
        <f aca="true">IFERROR(INDEX(INDIRECT("Ans" &amp; E86 &amp; "TBL"), MATCH(F86, INDEX(INDIRECT("Ans" &amp; E86 &amp; "TBL"), 0, 1), 0), 2), 0)</f>
        <v>0</v>
      </c>
      <c r="H86" s="89"/>
      <c r="I86" s="94"/>
      <c r="J86" s="71"/>
      <c r="K86" s="28"/>
      <c r="L86" s="29"/>
      <c r="M86" s="29"/>
      <c r="N86" s="29"/>
      <c r="O86" s="29"/>
      <c r="P86" s="29"/>
      <c r="Q86" s="28"/>
      <c r="R86" s="28"/>
      <c r="S86" s="28"/>
      <c r="T86" s="28"/>
      <c r="U86" s="28"/>
      <c r="V86" s="28"/>
      <c r="W86" s="28"/>
      <c r="X86" s="28"/>
      <c r="Y86" s="28"/>
      <c r="Z86" s="28"/>
    </row>
    <row r="87" customFormat="false" ht="72" hidden="false" customHeight="true" outlineLevel="0" collapsed="false">
      <c r="B87" s="126"/>
      <c r="C87" s="113"/>
      <c r="D87" s="130" t="str">
        <f aca="false">INDEX('imp-questions'!G:G, MATCH(A86, 'imp-questions'!A:A, 0))</f>
        <v>The vendor has a secure SDLC that includes secure build, secure deployment, defect management, and incident management, meets the security expectations of your organization, and is able to demonstrate operating effectiveness of practices.
 You verify the solution meets quality and security objectives before every major release
 When standard verification processes are not available, you use compensating controls such as software composition analysis and independent penetration testing</v>
      </c>
      <c r="E87" s="115"/>
      <c r="F87" s="120"/>
      <c r="G87" s="92"/>
      <c r="H87" s="93"/>
      <c r="I87" s="94"/>
      <c r="J87" s="71"/>
      <c r="K87" s="28"/>
      <c r="L87" s="29"/>
      <c r="M87" s="29"/>
      <c r="N87" s="29"/>
      <c r="O87" s="29"/>
      <c r="P87" s="29"/>
      <c r="Q87" s="28"/>
      <c r="R87" s="28"/>
      <c r="S87" s="28"/>
      <c r="T87" s="28"/>
      <c r="U87" s="28"/>
      <c r="V87" s="28"/>
      <c r="W87" s="28"/>
      <c r="X87" s="28"/>
      <c r="Y87" s="28"/>
      <c r="Z87" s="28"/>
    </row>
    <row r="88" customFormat="false" ht="14.15" hidden="false" customHeight="true" outlineLevel="0" collapsed="false">
      <c r="B88" s="132" t="s">
        <v>224</v>
      </c>
      <c r="C88" s="132"/>
      <c r="D88" s="132"/>
      <c r="E88" s="133"/>
      <c r="F88" s="105" t="s">
        <v>216</v>
      </c>
      <c r="G88" s="134"/>
      <c r="H88" s="135"/>
      <c r="I88" s="144" t="s">
        <v>217</v>
      </c>
      <c r="J88" s="137" t="s">
        <v>218</v>
      </c>
      <c r="K88" s="28"/>
      <c r="L88" s="29"/>
      <c r="M88" s="29"/>
      <c r="N88" s="29"/>
      <c r="O88" s="29"/>
      <c r="P88" s="29"/>
      <c r="Q88" s="28"/>
      <c r="R88" s="28"/>
      <c r="S88" s="28"/>
      <c r="T88" s="28"/>
      <c r="U88" s="28"/>
      <c r="V88" s="28"/>
      <c r="W88" s="28"/>
      <c r="X88" s="28"/>
      <c r="Y88" s="28"/>
      <c r="Z88" s="28"/>
    </row>
    <row r="89" customFormat="false" ht="13.5" hidden="false" customHeight="true" outlineLevel="0" collapsed="false">
      <c r="A89" s="20" t="s">
        <v>142</v>
      </c>
      <c r="B89" s="138" t="str">
        <f aca="false">INDEX('imp-questions'!D:D, MATCH(A89, 'imp-questions'!A:A, 0))</f>
        <v>Architecture Design</v>
      </c>
      <c r="C89" s="127" t="n">
        <f aca="false">INDEX('imp-questions'!E:E, MATCH(A89, 'imp-questions'!A:A, 0))</f>
        <v>1</v>
      </c>
      <c r="D89" s="83" t="str">
        <f aca="false">INDEX('imp-questions'!F:F, MATCH(A89, 'imp-questions'!A:A, 0))</f>
        <v>Do teams use security principles during design?</v>
      </c>
      <c r="E89" s="56" t="str">
        <f aca="false">CHAR(65+INDEX('imp-questions'!H:H, MATCH(A89, 'imp-questions'!A:A, 0)))</f>
        <v>A</v>
      </c>
      <c r="F89" s="117"/>
      <c r="G89" s="88" t="n">
        <f aca="true">IFERROR(INDEX(INDIRECT("Ans" &amp; E89 &amp; "TBL"), MATCH(F89, INDEX(INDIRECT("Ans" &amp; E89 &amp; "TBL"), 0, 1), 0), 2), 0)</f>
        <v>0</v>
      </c>
      <c r="H89" s="118" t="n">
        <f aca="false">IFERROR(AVERAGE(G89,G96),0)</f>
        <v>0</v>
      </c>
      <c r="I89" s="119"/>
      <c r="J89" s="139" t="n">
        <f aca="false">SUM(H89,H91,H93)</f>
        <v>0</v>
      </c>
      <c r="K89" s="28"/>
      <c r="L89" s="29"/>
      <c r="M89" s="29"/>
      <c r="N89" s="29"/>
      <c r="O89" s="29"/>
      <c r="P89" s="29"/>
      <c r="Q89" s="28"/>
      <c r="R89" s="28"/>
      <c r="S89" s="28"/>
      <c r="T89" s="28"/>
      <c r="U89" s="28"/>
      <c r="V89" s="28"/>
      <c r="W89" s="28"/>
      <c r="X89" s="28"/>
      <c r="Y89" s="28"/>
      <c r="Z89" s="28"/>
    </row>
    <row r="90" customFormat="false" ht="42" hidden="false" customHeight="true" outlineLevel="0" collapsed="false">
      <c r="B90" s="138"/>
      <c r="C90" s="113"/>
      <c r="D90" s="114" t="str">
        <f aca="false">INDEX('imp-questions'!G:G, MATCH(A89, 'imp-questions'!A:A, 0))</f>
        <v>You have an agreed upon checklist of security principles
 You store your checklist in an accessible location
 Relevant stakeholders understand security principles</v>
      </c>
      <c r="E90" s="115"/>
      <c r="F90" s="120"/>
      <c r="G90" s="92"/>
      <c r="H90" s="140"/>
      <c r="I90" s="119"/>
      <c r="J90" s="139"/>
      <c r="K90" s="28"/>
      <c r="L90" s="29"/>
      <c r="M90" s="29"/>
      <c r="N90" s="29"/>
      <c r="O90" s="29"/>
      <c r="P90" s="29"/>
      <c r="Q90" s="28"/>
      <c r="R90" s="28"/>
      <c r="S90" s="28"/>
      <c r="T90" s="28"/>
      <c r="U90" s="28"/>
      <c r="V90" s="28"/>
      <c r="W90" s="28"/>
      <c r="X90" s="28"/>
      <c r="Y90" s="28"/>
      <c r="Z90" s="28"/>
    </row>
    <row r="91" customFormat="false" ht="14.15" hidden="false" customHeight="false" outlineLevel="0" collapsed="false">
      <c r="A91" s="20" t="s">
        <v>143</v>
      </c>
      <c r="B91" s="138"/>
      <c r="C91" s="110" t="n">
        <f aca="false">INDEX('imp-questions'!E:E, MATCH(A91, 'imp-questions'!A:A, 0))</f>
        <v>2</v>
      </c>
      <c r="D91" s="55" t="str">
        <f aca="false">INDEX('imp-questions'!F:F, MATCH(A91, 'imp-questions'!A:A, 0))</f>
        <v>Do you use shared security services during design?</v>
      </c>
      <c r="E91" s="56" t="str">
        <f aca="false">CHAR(65+INDEX('imp-questions'!H:H, MATCH(A91, 'imp-questions'!A:A, 0)))</f>
        <v>A</v>
      </c>
      <c r="F91" s="117"/>
      <c r="G91" s="88" t="n">
        <f aca="true">IFERROR(INDEX(INDIRECT("Ans" &amp; E91 &amp; "TBL"), MATCH(F91, INDEX(INDIRECT("Ans" &amp; E91 &amp; "TBL"), 0, 1), 0), 2), 0)</f>
        <v>0</v>
      </c>
      <c r="H91" s="118" t="n">
        <f aca="false">IFERROR(AVERAGE(G91,G98),0)</f>
        <v>0</v>
      </c>
      <c r="I91" s="119"/>
      <c r="J91" s="27"/>
      <c r="K91" s="28"/>
      <c r="L91" s="29"/>
      <c r="M91" s="29"/>
      <c r="N91" s="29"/>
      <c r="O91" s="29"/>
      <c r="P91" s="29"/>
      <c r="Q91" s="28"/>
      <c r="R91" s="28"/>
      <c r="S91" s="28"/>
      <c r="T91" s="28"/>
      <c r="U91" s="28"/>
      <c r="V91" s="28"/>
      <c r="W91" s="28"/>
      <c r="X91" s="28"/>
      <c r="Y91" s="28"/>
      <c r="Z91" s="28"/>
    </row>
    <row r="92" customFormat="false" ht="42" hidden="false" customHeight="true" outlineLevel="0" collapsed="false">
      <c r="B92" s="138"/>
      <c r="C92" s="113"/>
      <c r="D92" s="114" t="str">
        <f aca="false">INDEX('imp-questions'!G:G, MATCH(A91, 'imp-questions'!A:A, 0))</f>
        <v>You have a documented list of reusable security services, available to relevant stakeholders
 You have reviewed the baseline security posture for each selected service
 Your designers are trained to integrate each selected service following available guidance</v>
      </c>
      <c r="E92" s="115"/>
      <c r="F92" s="120"/>
      <c r="G92" s="92"/>
      <c r="H92" s="121"/>
      <c r="I92" s="119"/>
      <c r="J92" s="27"/>
      <c r="K92" s="28"/>
      <c r="L92" s="29"/>
      <c r="M92" s="29"/>
      <c r="N92" s="29"/>
      <c r="O92" s="29"/>
      <c r="P92" s="29"/>
      <c r="Q92" s="28"/>
      <c r="R92" s="28"/>
      <c r="S92" s="28"/>
      <c r="T92" s="28"/>
      <c r="U92" s="28"/>
      <c r="V92" s="28"/>
      <c r="W92" s="28"/>
      <c r="X92" s="28"/>
      <c r="Y92" s="28"/>
      <c r="Z92" s="28"/>
    </row>
    <row r="93" customFormat="false" ht="14.15" hidden="false" customHeight="false" outlineLevel="0" collapsed="false">
      <c r="A93" s="20" t="s">
        <v>144</v>
      </c>
      <c r="B93" s="138"/>
      <c r="C93" s="110" t="n">
        <f aca="false">INDEX('imp-questions'!E:E, MATCH(A93, 'imp-questions'!A:A, 0))</f>
        <v>3</v>
      </c>
      <c r="D93" s="55" t="str">
        <f aca="false">INDEX('imp-questions'!F:F, MATCH(A93, 'imp-questions'!A:A, 0))</f>
        <v>Do you base your design on available reference architectures?</v>
      </c>
      <c r="E93" s="56" t="str">
        <f aca="false">CHAR(65+INDEX('imp-questions'!H:H, MATCH(A93, 'imp-questions'!A:A, 0)))</f>
        <v>A</v>
      </c>
      <c r="F93" s="117"/>
      <c r="G93" s="88" t="n">
        <f aca="true">IFERROR(INDEX(INDIRECT("Ans" &amp; E93 &amp; "TBL"), MATCH(F93, INDEX(INDIRECT("Ans" &amp; E93 &amp; "TBL"), 0, 1), 0), 2), 0)</f>
        <v>0</v>
      </c>
      <c r="H93" s="118" t="n">
        <f aca="false">IFERROR(AVERAGE(G93,G100),0)</f>
        <v>0</v>
      </c>
      <c r="I93" s="119"/>
      <c r="J93" s="27"/>
      <c r="K93" s="28"/>
      <c r="L93" s="29"/>
      <c r="M93" s="29"/>
      <c r="N93" s="29"/>
      <c r="O93" s="29"/>
      <c r="P93" s="29"/>
      <c r="Q93" s="28"/>
      <c r="R93" s="28"/>
      <c r="S93" s="28"/>
      <c r="T93" s="28"/>
      <c r="U93" s="28"/>
      <c r="V93" s="28"/>
      <c r="W93" s="28"/>
      <c r="X93" s="28"/>
      <c r="Y93" s="28"/>
      <c r="Z93" s="28"/>
    </row>
    <row r="94" customFormat="false" ht="42" hidden="false" customHeight="true" outlineLevel="0" collapsed="false">
      <c r="B94" s="138"/>
      <c r="C94" s="113"/>
      <c r="D94" s="114" t="str">
        <f aca="false">INDEX('imp-questions'!G:G, MATCH(A93, 'imp-questions'!A:A, 0))</f>
        <v>You have one or more approved reference architectures documented and available to stakeholders
 You improve the reference architectures continuously based on insights and best practices
 You provide a set of components, libraries, and tools to implement each reference architecture</v>
      </c>
      <c r="E94" s="115"/>
      <c r="F94" s="120"/>
      <c r="G94" s="92"/>
      <c r="H94" s="121"/>
      <c r="I94" s="119"/>
      <c r="J94" s="27"/>
      <c r="K94" s="28"/>
      <c r="L94" s="29"/>
      <c r="M94" s="29"/>
      <c r="N94" s="29"/>
      <c r="O94" s="29"/>
      <c r="P94" s="29"/>
      <c r="Q94" s="28"/>
      <c r="R94" s="28"/>
      <c r="S94" s="28"/>
      <c r="T94" s="28"/>
      <c r="U94" s="28"/>
      <c r="V94" s="28"/>
      <c r="W94" s="28"/>
      <c r="X94" s="28"/>
      <c r="Y94" s="28"/>
      <c r="Z94" s="28"/>
    </row>
    <row r="95" customFormat="false" ht="12.75" hidden="false" customHeight="false" outlineLevel="0" collapsed="false">
      <c r="B95" s="142"/>
      <c r="C95" s="75"/>
      <c r="D95" s="76"/>
      <c r="E95" s="76"/>
      <c r="F95" s="76"/>
      <c r="G95" s="124"/>
      <c r="H95" s="124"/>
      <c r="I95" s="125"/>
      <c r="J95" s="71"/>
      <c r="K95" s="28"/>
      <c r="L95" s="29"/>
      <c r="M95" s="29"/>
      <c r="N95" s="29"/>
      <c r="O95" s="29"/>
      <c r="P95" s="29"/>
      <c r="Q95" s="28"/>
      <c r="R95" s="28"/>
      <c r="S95" s="28"/>
      <c r="T95" s="28"/>
      <c r="U95" s="28"/>
      <c r="V95" s="28"/>
      <c r="W95" s="28"/>
      <c r="X95" s="28"/>
      <c r="Y95" s="28"/>
      <c r="Z95" s="28"/>
    </row>
    <row r="96" customFormat="false" ht="15" hidden="false" customHeight="true" outlineLevel="0" collapsed="false">
      <c r="A96" s="20" t="s">
        <v>145</v>
      </c>
      <c r="B96" s="126" t="str">
        <f aca="false">INDEX('imp-questions'!D:D, MATCH(A96, 'imp-questions'!A:A, 0))</f>
        <v>Technology Management</v>
      </c>
      <c r="C96" s="127" t="n">
        <f aca="false">INDEX('imp-questions'!E:E, MATCH(A96, 'imp-questions'!A:A, 0))</f>
        <v>1</v>
      </c>
      <c r="D96" s="55" t="str">
        <f aca="false">INDEX('imp-questions'!F:F, MATCH(A96, 'imp-questions'!A:A, 0))</f>
        <v>Do you evaluate the security quality of important technologies used for development?</v>
      </c>
      <c r="E96" s="56" t="str">
        <f aca="false">CHAR(65+INDEX('imp-questions'!H:H, MATCH(A96, 'imp-questions'!A:A, 0)))</f>
        <v>A</v>
      </c>
      <c r="F96" s="117"/>
      <c r="G96" s="88" t="n">
        <f aca="true">IFERROR(INDEX(INDIRECT("Ans" &amp; E96 &amp; "TBL"), MATCH(F96, INDEX(INDIRECT("Ans" &amp; E96 &amp; "TBL"), 0, 1), 0), 2), 0)</f>
        <v>0</v>
      </c>
      <c r="H96" s="128"/>
      <c r="I96" s="119"/>
      <c r="J96" s="27"/>
      <c r="K96" s="28"/>
      <c r="L96" s="29"/>
      <c r="M96" s="29"/>
      <c r="N96" s="29"/>
      <c r="O96" s="29"/>
      <c r="P96" s="29"/>
      <c r="Q96" s="28"/>
      <c r="R96" s="28"/>
      <c r="S96" s="28"/>
      <c r="T96" s="28"/>
      <c r="U96" s="28"/>
      <c r="V96" s="28"/>
      <c r="W96" s="28"/>
      <c r="X96" s="28"/>
      <c r="Y96" s="28"/>
      <c r="Z96" s="28"/>
    </row>
    <row r="97" customFormat="false" ht="42" hidden="false" customHeight="true" outlineLevel="0" collapsed="false">
      <c r="B97" s="126"/>
      <c r="C97" s="113"/>
      <c r="D97" s="114" t="str">
        <f aca="false">INDEX('imp-questions'!G:G, MATCH(A96, 'imp-questions'!A:A, 0))</f>
        <v>You have a list of the most important technologies used in, or in support of, each application
 You identify and track technological risks
 You ensure the risks to these technologies are in line with the organizational baseline</v>
      </c>
      <c r="E97" s="115"/>
      <c r="F97" s="120"/>
      <c r="G97" s="92"/>
      <c r="H97" s="129"/>
      <c r="I97" s="119"/>
      <c r="J97" s="27"/>
      <c r="K97" s="28"/>
      <c r="L97" s="29"/>
      <c r="M97" s="29"/>
      <c r="N97" s="29"/>
      <c r="O97" s="29"/>
      <c r="P97" s="29"/>
      <c r="Q97" s="28"/>
      <c r="R97" s="28"/>
      <c r="S97" s="28"/>
      <c r="T97" s="28"/>
      <c r="U97" s="28"/>
      <c r="V97" s="28"/>
      <c r="W97" s="28"/>
      <c r="X97" s="28"/>
      <c r="Y97" s="28"/>
      <c r="Z97" s="28"/>
    </row>
    <row r="98" customFormat="false" ht="14.15" hidden="false" customHeight="false" outlineLevel="0" collapsed="false">
      <c r="A98" s="20" t="s">
        <v>146</v>
      </c>
      <c r="B98" s="126"/>
      <c r="C98" s="110" t="n">
        <f aca="false">INDEX('imp-questions'!E:E, MATCH(A98, 'imp-questions'!A:A, 0))</f>
        <v>2</v>
      </c>
      <c r="D98" s="55" t="str">
        <f aca="false">INDEX('imp-questions'!F:F, MATCH(A98, 'imp-questions'!A:A, 0))</f>
        <v>Do you have a list of recommended technologies for the organization?</v>
      </c>
      <c r="E98" s="56" t="str">
        <f aca="false">CHAR(65+INDEX('imp-questions'!H:H, MATCH(A98, 'imp-questions'!A:A, 0)))</f>
        <v>M</v>
      </c>
      <c r="F98" s="141"/>
      <c r="G98" s="88" t="n">
        <f aca="true">IFERROR(INDEX(INDIRECT("Ans" &amp; E98 &amp; "TBL"), MATCH(F98, INDEX(INDIRECT("Ans" &amp; E98 &amp; "TBL"), 0, 1), 0), 2), 0)</f>
        <v>0</v>
      </c>
      <c r="H98" s="128"/>
      <c r="I98" s="119"/>
      <c r="J98" s="27"/>
      <c r="K98" s="28"/>
      <c r="L98" s="29"/>
      <c r="M98" s="29"/>
      <c r="N98" s="29"/>
      <c r="O98" s="29"/>
      <c r="P98" s="29"/>
      <c r="Q98" s="28"/>
      <c r="R98" s="28"/>
      <c r="S98" s="28"/>
      <c r="T98" s="28"/>
      <c r="U98" s="28"/>
      <c r="V98" s="28"/>
      <c r="W98" s="28"/>
      <c r="X98" s="28"/>
      <c r="Y98" s="28"/>
      <c r="Z98" s="28"/>
    </row>
    <row r="99" customFormat="false" ht="55.5" hidden="false" customHeight="true" outlineLevel="0" collapsed="false">
      <c r="B99" s="126"/>
      <c r="C99" s="113"/>
      <c r="D99" s="114" t="str">
        <f aca="false">INDEX('imp-questions'!G:G, MATCH(A98, 'imp-questions'!A:A, 0))</f>
        <v>The list is based on technologies used in the software portfolio
 Lead architects and developers review and approve the list
 You share the list across the organization
 You review and update the list at least yearly</v>
      </c>
      <c r="E99" s="115"/>
      <c r="F99" s="120"/>
      <c r="G99" s="92"/>
      <c r="H99" s="129"/>
      <c r="I99" s="119"/>
      <c r="J99" s="27"/>
      <c r="K99" s="28"/>
      <c r="L99" s="29"/>
      <c r="M99" s="29"/>
      <c r="N99" s="29"/>
      <c r="O99" s="29"/>
      <c r="P99" s="29"/>
      <c r="Q99" s="28"/>
      <c r="R99" s="28"/>
      <c r="S99" s="28"/>
      <c r="T99" s="28"/>
      <c r="U99" s="28"/>
      <c r="V99" s="28"/>
      <c r="W99" s="28"/>
      <c r="X99" s="28"/>
      <c r="Y99" s="28"/>
      <c r="Z99" s="28"/>
    </row>
    <row r="100" customFormat="false" ht="14.15" hidden="false" customHeight="false" outlineLevel="0" collapsed="false">
      <c r="A100" s="20" t="s">
        <v>147</v>
      </c>
      <c r="B100" s="126"/>
      <c r="C100" s="110" t="n">
        <f aca="false">INDEX('imp-questions'!E:E, MATCH(A100, 'imp-questions'!A:A, 0))</f>
        <v>3</v>
      </c>
      <c r="D100" s="55" t="str">
        <f aca="false">INDEX('imp-questions'!F:F, MATCH(A100, 'imp-questions'!A:A, 0))</f>
        <v>Do you enforce the use of recommended technologies within the organization?</v>
      </c>
      <c r="E100" s="56" t="str">
        <f aca="false">CHAR(65+INDEX('imp-questions'!H:H, MATCH(A100, 'imp-questions'!A:A, 0)))</f>
        <v>A</v>
      </c>
      <c r="F100" s="117"/>
      <c r="G100" s="88" t="n">
        <f aca="true">IFERROR(INDEX(INDIRECT("Ans" &amp; E100 &amp; "TBL"), MATCH(F100, INDEX(INDIRECT("Ans" &amp; E100 &amp; "TBL"), 0, 1), 0), 2), 0)</f>
        <v>0</v>
      </c>
      <c r="H100" s="128"/>
      <c r="I100" s="119"/>
      <c r="J100" s="27"/>
      <c r="K100" s="28"/>
      <c r="L100" s="29"/>
      <c r="M100" s="29"/>
      <c r="N100" s="29"/>
      <c r="O100" s="29"/>
      <c r="P100" s="29"/>
      <c r="Q100" s="28"/>
      <c r="R100" s="28"/>
      <c r="S100" s="28"/>
      <c r="T100" s="28"/>
      <c r="U100" s="28"/>
      <c r="V100" s="28"/>
      <c r="W100" s="28"/>
      <c r="X100" s="28"/>
      <c r="Y100" s="28"/>
      <c r="Z100" s="28"/>
    </row>
    <row r="101" customFormat="false" ht="42" hidden="false" customHeight="true" outlineLevel="0" collapsed="false">
      <c r="B101" s="126"/>
      <c r="C101" s="113"/>
      <c r="D101" s="130" t="str">
        <f aca="false">INDEX('imp-questions'!G:G, MATCH(A100, 'imp-questions'!A:A, 0))</f>
        <v>You monitor applications regularly for the correct use of the recommended technologies
 You solve violations against the list accoranding to organizational policies
 You take action if the number of violations falls outside the yearly objectives</v>
      </c>
      <c r="E101" s="145"/>
      <c r="F101" s="146"/>
      <c r="G101" s="147"/>
      <c r="H101" s="129"/>
      <c r="I101" s="119"/>
      <c r="J101" s="27"/>
      <c r="K101" s="28"/>
      <c r="L101" s="29"/>
      <c r="M101" s="29"/>
      <c r="N101" s="29"/>
      <c r="O101" s="29"/>
      <c r="P101" s="29"/>
      <c r="Q101" s="28"/>
      <c r="R101" s="28"/>
      <c r="S101" s="28"/>
      <c r="T101" s="28"/>
      <c r="U101" s="28"/>
      <c r="V101" s="28"/>
      <c r="W101" s="28"/>
      <c r="X101" s="28"/>
      <c r="Y101" s="28"/>
      <c r="Z101" s="28"/>
    </row>
    <row r="102" customFormat="false" ht="21.75" hidden="false" customHeight="true" outlineLevel="0" collapsed="false">
      <c r="B102" s="148" t="s">
        <v>225</v>
      </c>
      <c r="C102" s="148"/>
      <c r="D102" s="148"/>
      <c r="E102" s="148"/>
      <c r="F102" s="148"/>
      <c r="G102" s="148"/>
      <c r="H102" s="148"/>
      <c r="I102" s="148"/>
      <c r="J102" s="148"/>
      <c r="K102" s="28"/>
      <c r="L102" s="29"/>
      <c r="M102" s="29"/>
      <c r="N102" s="29"/>
      <c r="O102" s="29"/>
      <c r="P102" s="29"/>
      <c r="Q102" s="28"/>
      <c r="R102" s="28"/>
      <c r="S102" s="28"/>
      <c r="T102" s="28"/>
      <c r="U102" s="28"/>
      <c r="V102" s="28"/>
      <c r="W102" s="28"/>
      <c r="X102" s="28"/>
      <c r="Y102" s="28"/>
      <c r="Z102" s="28"/>
    </row>
    <row r="103" customFormat="false" ht="14.15" hidden="false" customHeight="true" outlineLevel="0" collapsed="false">
      <c r="B103" s="149" t="s">
        <v>226</v>
      </c>
      <c r="C103" s="149"/>
      <c r="D103" s="149"/>
      <c r="E103" s="150"/>
      <c r="F103" s="149" t="s">
        <v>216</v>
      </c>
      <c r="G103" s="151"/>
      <c r="H103" s="152"/>
      <c r="I103" s="153" t="s">
        <v>217</v>
      </c>
      <c r="J103" s="154" t="s">
        <v>218</v>
      </c>
      <c r="K103" s="28"/>
      <c r="L103" s="29"/>
      <c r="M103" s="29"/>
      <c r="N103" s="29"/>
      <c r="O103" s="29"/>
      <c r="P103" s="29"/>
      <c r="Q103" s="28"/>
      <c r="R103" s="28"/>
      <c r="S103" s="28"/>
      <c r="T103" s="28"/>
      <c r="U103" s="28"/>
      <c r="V103" s="28"/>
      <c r="W103" s="28"/>
      <c r="X103" s="28"/>
      <c r="Y103" s="28"/>
      <c r="Z103" s="28"/>
    </row>
    <row r="104" customFormat="false" ht="14.15" hidden="false" customHeight="false" outlineLevel="0" collapsed="false">
      <c r="A104" s="20" t="s">
        <v>148</v>
      </c>
      <c r="B104" s="155" t="str">
        <f aca="false">INDEX('imp-questions'!D:D, MATCH(A104, 'imp-questions'!A:A, 0))</f>
        <v>Build Process</v>
      </c>
      <c r="C104" s="156" t="n">
        <f aca="false">INDEX('imp-questions'!E:E, MATCH(A104, 'imp-questions'!A:A, 0))</f>
        <v>1</v>
      </c>
      <c r="D104" s="55" t="str">
        <f aca="false">INDEX('imp-questions'!F:F, MATCH(A104, 'imp-questions'!A:A, 0))</f>
        <v>Is your full build process formally described?</v>
      </c>
      <c r="E104" s="56" t="str">
        <f aca="false">CHAR(65+INDEX('imp-questions'!H:H, MATCH(A104, 'imp-questions'!A:A, 0)))</f>
        <v>A</v>
      </c>
      <c r="F104" s="117"/>
      <c r="G104" s="88" t="n">
        <f aca="true">IFERROR(INDEX(INDIRECT("Ans" &amp; E104 &amp; "TBL"), MATCH(F104, INDEX(INDIRECT("Ans" &amp; E104 &amp; "TBL"), 0, 1), 0), 2), 0)</f>
        <v>0</v>
      </c>
      <c r="H104" s="118" t="n">
        <f aca="false">IFERROR(AVERAGE(G104,G111),0)</f>
        <v>0</v>
      </c>
      <c r="I104" s="119"/>
      <c r="J104" s="157" t="n">
        <f aca="false">SUM(H104,H106,H108)</f>
        <v>0</v>
      </c>
      <c r="K104" s="28"/>
      <c r="L104" s="29"/>
      <c r="M104" s="29"/>
      <c r="N104" s="29"/>
      <c r="O104" s="29"/>
      <c r="P104" s="29"/>
      <c r="Q104" s="28"/>
      <c r="R104" s="28"/>
      <c r="S104" s="28"/>
      <c r="T104" s="28"/>
      <c r="U104" s="28"/>
      <c r="V104" s="28"/>
      <c r="W104" s="28"/>
      <c r="X104" s="28"/>
      <c r="Y104" s="28"/>
      <c r="Z104" s="28"/>
    </row>
    <row r="105" customFormat="false" ht="69.75" hidden="false" customHeight="true" outlineLevel="0" collapsed="false">
      <c r="B105" s="155"/>
      <c r="C105" s="158"/>
      <c r="D105" s="159" t="str">
        <f aca="false">INDEX('imp-questions'!G:G, MATCH(A104, 'imp-questions'!A:A, 0))</f>
        <v>You have enough information to recreate the build processes
 Your build documentation up to date
 Your build documentation is stored in an accessible location
 Produced artifact checksums are created during build to support later verification
 You harden the tools that are used within the build process</v>
      </c>
      <c r="E105" s="160"/>
      <c r="F105" s="161"/>
      <c r="G105" s="92"/>
      <c r="H105" s="140"/>
      <c r="I105" s="119"/>
      <c r="J105" s="157"/>
      <c r="K105" s="28"/>
      <c r="L105" s="29"/>
      <c r="M105" s="29"/>
      <c r="N105" s="29"/>
      <c r="O105" s="29"/>
      <c r="P105" s="29"/>
      <c r="Q105" s="28"/>
      <c r="R105" s="28"/>
      <c r="S105" s="28"/>
      <c r="T105" s="28"/>
      <c r="U105" s="28"/>
      <c r="V105" s="28"/>
      <c r="W105" s="28"/>
      <c r="X105" s="28"/>
      <c r="Y105" s="28"/>
      <c r="Z105" s="28"/>
    </row>
    <row r="106" customFormat="false" ht="14.15" hidden="false" customHeight="false" outlineLevel="0" collapsed="false">
      <c r="A106" s="20" t="s">
        <v>149</v>
      </c>
      <c r="B106" s="155"/>
      <c r="C106" s="156" t="n">
        <f aca="false">INDEX('imp-questions'!E:E, MATCH(A106, 'imp-questions'!A:A, 0))</f>
        <v>2</v>
      </c>
      <c r="D106" s="55" t="str">
        <f aca="false">INDEX('imp-questions'!F:F, MATCH(A106, 'imp-questions'!A:A, 0))</f>
        <v>Is the build process fully automated?</v>
      </c>
      <c r="E106" s="56" t="str">
        <f aca="false">CHAR(65+INDEX('imp-questions'!H:H, MATCH(A106, 'imp-questions'!A:A, 0)))</f>
        <v>A</v>
      </c>
      <c r="F106" s="117"/>
      <c r="G106" s="88" t="n">
        <f aca="true">IFERROR(INDEX(INDIRECT("Ans" &amp; E106 &amp; "TBL"), MATCH(F106, INDEX(INDIRECT("Ans" &amp; E106 &amp; "TBL"), 0, 1), 0), 2), 0)</f>
        <v>0</v>
      </c>
      <c r="H106" s="118" t="n">
        <f aca="false">IFERROR(AVERAGE(G106,G113),0)</f>
        <v>0</v>
      </c>
      <c r="I106" s="119"/>
      <c r="J106" s="27"/>
      <c r="K106" s="28"/>
      <c r="L106" s="29"/>
      <c r="M106" s="29"/>
      <c r="N106" s="29"/>
      <c r="O106" s="29"/>
      <c r="P106" s="29"/>
      <c r="Q106" s="28"/>
      <c r="R106" s="28"/>
      <c r="S106" s="28"/>
      <c r="T106" s="28"/>
      <c r="U106" s="28"/>
      <c r="V106" s="28"/>
      <c r="W106" s="28"/>
      <c r="X106" s="28"/>
      <c r="Y106" s="28"/>
      <c r="Z106" s="28"/>
    </row>
    <row r="107" customFormat="false" ht="42" hidden="false" customHeight="true" outlineLevel="0" collapsed="false">
      <c r="B107" s="155"/>
      <c r="C107" s="158"/>
      <c r="D107" s="159" t="str">
        <f aca="false">INDEX('imp-questions'!G:G, MATCH(A106, 'imp-questions'!A:A, 0))</f>
        <v>The build process itself doesn't require any human interaction
 Your build tools are hardened as per best practice and vendor guidance
 You encrypt the secrets required by the build tools and control access based on the principle of least privilege</v>
      </c>
      <c r="E107" s="160"/>
      <c r="F107" s="161"/>
      <c r="G107" s="92"/>
      <c r="H107" s="121"/>
      <c r="I107" s="119"/>
      <c r="J107" s="27"/>
      <c r="K107" s="28"/>
      <c r="L107" s="29"/>
      <c r="M107" s="29"/>
      <c r="N107" s="29"/>
      <c r="O107" s="29"/>
      <c r="P107" s="29"/>
      <c r="Q107" s="28"/>
      <c r="R107" s="28"/>
      <c r="S107" s="28"/>
      <c r="T107" s="28"/>
      <c r="U107" s="28"/>
      <c r="V107" s="28"/>
      <c r="W107" s="28"/>
      <c r="X107" s="28"/>
      <c r="Y107" s="28"/>
      <c r="Z107" s="28"/>
    </row>
    <row r="108" customFormat="false" ht="14.15" hidden="false" customHeight="false" outlineLevel="0" collapsed="false">
      <c r="A108" s="20" t="s">
        <v>150</v>
      </c>
      <c r="B108" s="155"/>
      <c r="C108" s="156" t="n">
        <f aca="false">INDEX('imp-questions'!E:E, MATCH(A108, 'imp-questions'!A:A, 0))</f>
        <v>3</v>
      </c>
      <c r="D108" s="55" t="str">
        <f aca="false">INDEX('imp-questions'!F:F, MATCH(A108, 'imp-questions'!A:A, 0))</f>
        <v>Do you enforce automated security checks in your build processes?</v>
      </c>
      <c r="E108" s="56" t="str">
        <f aca="false">CHAR(65+INDEX('imp-questions'!H:H, MATCH(A108, 'imp-questions'!A:A, 0)))</f>
        <v>A</v>
      </c>
      <c r="F108" s="117"/>
      <c r="G108" s="88" t="n">
        <f aca="true">IFERROR(INDEX(INDIRECT("Ans" &amp; E108 &amp; "TBL"), MATCH(F108, INDEX(INDIRECT("Ans" &amp; E108 &amp; "TBL"), 0, 1), 0), 2), 0)</f>
        <v>0</v>
      </c>
      <c r="H108" s="118" t="n">
        <f aca="false">IFERROR(AVERAGE(G108,G115),0)</f>
        <v>0</v>
      </c>
      <c r="I108" s="119"/>
      <c r="J108" s="27"/>
      <c r="K108" s="28"/>
      <c r="L108" s="29"/>
      <c r="M108" s="29"/>
      <c r="N108" s="29"/>
      <c r="O108" s="29"/>
      <c r="P108" s="29"/>
      <c r="Q108" s="28"/>
      <c r="R108" s="28"/>
      <c r="S108" s="28"/>
      <c r="T108" s="28"/>
      <c r="U108" s="28"/>
      <c r="V108" s="28"/>
      <c r="W108" s="28"/>
      <c r="X108" s="28"/>
      <c r="Y108" s="28"/>
      <c r="Z108" s="28"/>
    </row>
    <row r="109" customFormat="false" ht="55.5" hidden="false" customHeight="true" outlineLevel="0" collapsed="false">
      <c r="B109" s="155"/>
      <c r="C109" s="158"/>
      <c r="D109" s="159" t="str">
        <f aca="false">INDEX('imp-questions'!G:G, MATCH(A108, 'imp-questions'!A:A, 0))</f>
        <v>Builds fail if the application doesn't meet a predefined security baseline
 You have a maximum accepted severity for vulnerabilities
 You log warnings and failures in a centralized system
 You select and configure tools to evaluate each application against its security requirements at least once a year</v>
      </c>
      <c r="E109" s="160"/>
      <c r="F109" s="161"/>
      <c r="G109" s="92"/>
      <c r="H109" s="121"/>
      <c r="I109" s="119"/>
      <c r="J109" s="27"/>
      <c r="K109" s="28"/>
      <c r="L109" s="29"/>
      <c r="M109" s="29"/>
      <c r="N109" s="29"/>
      <c r="O109" s="29"/>
      <c r="P109" s="29"/>
      <c r="Q109" s="28"/>
      <c r="R109" s="28"/>
      <c r="S109" s="28"/>
      <c r="T109" s="28"/>
      <c r="U109" s="28"/>
      <c r="V109" s="28"/>
      <c r="W109" s="28"/>
      <c r="X109" s="28"/>
      <c r="Y109" s="28"/>
      <c r="Z109" s="28"/>
    </row>
    <row r="110" customFormat="false" ht="12.75" hidden="false" customHeight="false" outlineLevel="0" collapsed="false">
      <c r="B110" s="74"/>
      <c r="C110" s="75"/>
      <c r="D110" s="76"/>
      <c r="E110" s="76"/>
      <c r="F110" s="76"/>
      <c r="G110" s="124"/>
      <c r="H110" s="124"/>
      <c r="I110" s="125"/>
      <c r="J110" s="71"/>
      <c r="K110" s="28"/>
      <c r="L110" s="29"/>
      <c r="M110" s="29"/>
      <c r="N110" s="29"/>
      <c r="O110" s="29"/>
      <c r="P110" s="29"/>
      <c r="Q110" s="28"/>
      <c r="R110" s="28"/>
      <c r="S110" s="28"/>
      <c r="T110" s="28"/>
      <c r="U110" s="28"/>
      <c r="V110" s="28"/>
      <c r="W110" s="28"/>
      <c r="X110" s="28"/>
      <c r="Y110" s="28"/>
      <c r="Z110" s="28"/>
    </row>
    <row r="111" customFormat="false" ht="15" hidden="false" customHeight="true" outlineLevel="0" collapsed="false">
      <c r="A111" s="20" t="s">
        <v>151</v>
      </c>
      <c r="B111" s="155" t="str">
        <f aca="false">INDEX('imp-questions'!D:D, MATCH(A111, 'imp-questions'!A:A, 0))</f>
        <v>Software Dependencies</v>
      </c>
      <c r="C111" s="162" t="n">
        <f aca="false">INDEX('imp-questions'!E:E, MATCH(A111, 'imp-questions'!A:A, 0))</f>
        <v>1</v>
      </c>
      <c r="D111" s="55" t="str">
        <f aca="false">INDEX('imp-questions'!F:F, MATCH(A111, 'imp-questions'!A:A, 0))</f>
        <v>Do you have solid knowledge about dependencies you're relying on?</v>
      </c>
      <c r="E111" s="56" t="str">
        <f aca="false">CHAR(65+INDEX('imp-questions'!H:H, MATCH(A111, 'imp-questions'!A:A, 0)))</f>
        <v>A</v>
      </c>
      <c r="F111" s="117"/>
      <c r="G111" s="88" t="n">
        <f aca="true">IFERROR(INDEX(INDIRECT("Ans" &amp; E111 &amp; "TBL"), MATCH(F111, INDEX(INDIRECT("Ans" &amp; E111 &amp; "TBL"), 0, 1), 0), 2), 0)</f>
        <v>0</v>
      </c>
      <c r="H111" s="118"/>
      <c r="I111" s="119"/>
      <c r="J111" s="27"/>
      <c r="K111" s="28"/>
      <c r="L111" s="29"/>
      <c r="M111" s="29"/>
      <c r="N111" s="29"/>
      <c r="O111" s="29"/>
      <c r="P111" s="29"/>
      <c r="Q111" s="28"/>
      <c r="R111" s="28"/>
      <c r="S111" s="28"/>
      <c r="T111" s="28"/>
      <c r="U111" s="28"/>
      <c r="V111" s="28"/>
      <c r="W111" s="28"/>
      <c r="X111" s="28"/>
      <c r="Y111" s="28"/>
      <c r="Z111" s="28"/>
    </row>
    <row r="112" customFormat="false" ht="42" hidden="false" customHeight="true" outlineLevel="0" collapsed="false">
      <c r="B112" s="155"/>
      <c r="C112" s="158"/>
      <c r="D112" s="159" t="str">
        <f aca="false">INDEX('imp-questions'!G:G, MATCH(A111, 'imp-questions'!A:A, 0))</f>
        <v>You have a current bill of materials (BOM) for every application
 You can quickly find out which applications are affected by a particular CVE
 You have analyzed, addressed, and documented findings from dependencies at least once in the last three months</v>
      </c>
      <c r="E112" s="160"/>
      <c r="F112" s="161"/>
      <c r="G112" s="163"/>
      <c r="H112" s="164"/>
      <c r="I112" s="119"/>
      <c r="J112" s="27"/>
      <c r="K112" s="28"/>
      <c r="L112" s="29"/>
      <c r="M112" s="29"/>
      <c r="N112" s="29"/>
      <c r="O112" s="29"/>
      <c r="P112" s="29"/>
      <c r="Q112" s="28"/>
      <c r="R112" s="28"/>
      <c r="S112" s="28"/>
      <c r="T112" s="28"/>
      <c r="U112" s="28"/>
      <c r="V112" s="28"/>
      <c r="W112" s="28"/>
      <c r="X112" s="28"/>
      <c r="Y112" s="28"/>
      <c r="Z112" s="28"/>
    </row>
    <row r="113" customFormat="false" ht="14.15" hidden="false" customHeight="false" outlineLevel="0" collapsed="false">
      <c r="A113" s="20" t="s">
        <v>152</v>
      </c>
      <c r="B113" s="155"/>
      <c r="C113" s="156" t="n">
        <f aca="false">INDEX('imp-questions'!E:E, MATCH(A113, 'imp-questions'!A:A, 0))</f>
        <v>2</v>
      </c>
      <c r="D113" s="55" t="str">
        <f aca="false">INDEX('imp-questions'!F:F, MATCH(A113, 'imp-questions'!A:A, 0))</f>
        <v>Do you handle 3rd party dependency risk by a formal process?</v>
      </c>
      <c r="E113" s="56" t="str">
        <f aca="false">CHAR(65+INDEX('imp-questions'!H:H, MATCH(A113, 'imp-questions'!A:A, 0)))</f>
        <v>A</v>
      </c>
      <c r="F113" s="117"/>
      <c r="G113" s="88" t="n">
        <f aca="true">IFERROR(INDEX(INDIRECT("Ans" &amp; E113 &amp; "TBL"), MATCH(F113, INDEX(INDIRECT("Ans" &amp; E113 &amp; "TBL"), 0, 1), 0), 2), 0)</f>
        <v>0</v>
      </c>
      <c r="H113" s="128"/>
      <c r="I113" s="119"/>
      <c r="J113" s="27"/>
      <c r="K113" s="28"/>
      <c r="L113" s="29"/>
      <c r="M113" s="29"/>
      <c r="N113" s="29"/>
      <c r="O113" s="29"/>
      <c r="P113" s="29"/>
      <c r="Q113" s="28"/>
      <c r="R113" s="28"/>
      <c r="S113" s="28"/>
      <c r="T113" s="28"/>
      <c r="U113" s="28"/>
      <c r="V113" s="28"/>
      <c r="W113" s="28"/>
      <c r="X113" s="28"/>
      <c r="Y113" s="28"/>
      <c r="Z113" s="28"/>
    </row>
    <row r="114" customFormat="false" ht="69.75" hidden="false" customHeight="true" outlineLevel="0" collapsed="false">
      <c r="B114" s="155"/>
      <c r="C114" s="158"/>
      <c r="D114" s="159" t="str">
        <f aca="false">INDEX('imp-questions'!G:G, MATCH(A113, 'imp-questions'!A:A, 0))</f>
        <v>You keep a list of approved dependencies that meet predefined criteria
 You automatically evaluate dependencies for new CVEs and alert responsible staff
 You automatically detect and alert to license changes with possible impact on legal application usage
 You track and alert to usage of unmaintained dependencies
 You reliably detect and remove unnecessary dependencies from the software</v>
      </c>
      <c r="E114" s="160"/>
      <c r="F114" s="161"/>
      <c r="G114" s="92"/>
      <c r="H114" s="131"/>
      <c r="I114" s="119"/>
      <c r="J114" s="27"/>
      <c r="K114" s="28"/>
      <c r="L114" s="29"/>
      <c r="M114" s="29"/>
      <c r="N114" s="29"/>
      <c r="O114" s="29"/>
      <c r="P114" s="29"/>
      <c r="Q114" s="28"/>
      <c r="R114" s="28"/>
      <c r="S114" s="28"/>
      <c r="T114" s="28"/>
      <c r="U114" s="28"/>
      <c r="V114" s="28"/>
      <c r="W114" s="28"/>
      <c r="X114" s="28"/>
      <c r="Y114" s="28"/>
      <c r="Z114" s="28"/>
    </row>
    <row r="115" customFormat="false" ht="14.15" hidden="false" customHeight="false" outlineLevel="0" collapsed="false">
      <c r="A115" s="20" t="s">
        <v>153</v>
      </c>
      <c r="B115" s="155"/>
      <c r="C115" s="156" t="n">
        <f aca="false">INDEX('imp-questions'!E:E, MATCH(A115, 'imp-questions'!A:A, 0))</f>
        <v>3</v>
      </c>
      <c r="D115" s="55" t="str">
        <f aca="false">INDEX('imp-questions'!F:F, MATCH(A115, 'imp-questions'!A:A, 0))</f>
        <v>Do you prevent build of software if it's affected by vulnerabilities in dependencies?</v>
      </c>
      <c r="E115" s="56" t="str">
        <f aca="false">CHAR(65+INDEX('imp-questions'!H:H, MATCH(A115, 'imp-questions'!A:A, 0)))</f>
        <v>A</v>
      </c>
      <c r="F115" s="117"/>
      <c r="G115" s="88" t="n">
        <f aca="true">IFERROR(INDEX(INDIRECT("Ans" &amp; E115 &amp; "TBL"), MATCH(F115, INDEX(INDIRECT("Ans" &amp; E115 &amp; "TBL"), 0, 1), 0), 2), 0)</f>
        <v>0</v>
      </c>
      <c r="H115" s="118"/>
      <c r="I115" s="119"/>
      <c r="J115" s="27"/>
      <c r="K115" s="28"/>
      <c r="L115" s="29"/>
      <c r="M115" s="29"/>
      <c r="N115" s="29"/>
      <c r="O115" s="29"/>
      <c r="P115" s="29"/>
      <c r="Q115" s="28"/>
      <c r="R115" s="28"/>
      <c r="S115" s="28"/>
      <c r="T115" s="28"/>
      <c r="U115" s="28"/>
      <c r="V115" s="28"/>
      <c r="W115" s="28"/>
      <c r="X115" s="28"/>
      <c r="Y115" s="28"/>
      <c r="Z115" s="28"/>
    </row>
    <row r="116" customFormat="false" ht="69.75" hidden="false" customHeight="true" outlineLevel="0" collapsed="false">
      <c r="B116" s="155"/>
      <c r="C116" s="158"/>
      <c r="D116" s="165" t="str">
        <f aca="false">INDEX('imp-questions'!G:G, MATCH(A115, 'imp-questions'!A:A, 0))</f>
        <v>Your build system is connected to a system for tracking 3rd party dependency risk, causing build to fail unless the vulnerability is evaluated to be a false positive or the risk is explicitly accepted
 You scan your dependencies using a static analysis tool
 You report findings back to dependency authors using an established responsible disclosure process
 Using a new dependency not evaluated for security risks causes the build to fail</v>
      </c>
      <c r="E116" s="160"/>
      <c r="F116" s="161"/>
      <c r="G116" s="163"/>
      <c r="H116" s="164"/>
      <c r="I116" s="119"/>
      <c r="J116" s="27"/>
      <c r="K116" s="28"/>
      <c r="L116" s="29"/>
      <c r="M116" s="29"/>
      <c r="N116" s="29"/>
      <c r="O116" s="29"/>
      <c r="P116" s="29"/>
      <c r="Q116" s="28"/>
      <c r="R116" s="28"/>
      <c r="S116" s="28"/>
      <c r="T116" s="28"/>
      <c r="U116" s="28"/>
      <c r="V116" s="28"/>
      <c r="W116" s="28"/>
      <c r="X116" s="28"/>
      <c r="Y116" s="28"/>
      <c r="Z116" s="28"/>
    </row>
    <row r="117" customFormat="false" ht="12.75" hidden="false" customHeight="true" outlineLevel="0" collapsed="false">
      <c r="B117" s="166" t="s">
        <v>227</v>
      </c>
      <c r="C117" s="166"/>
      <c r="D117" s="166"/>
      <c r="E117" s="150"/>
      <c r="F117" s="149" t="s">
        <v>216</v>
      </c>
      <c r="G117" s="151"/>
      <c r="H117" s="152"/>
      <c r="I117" s="153" t="s">
        <v>217</v>
      </c>
      <c r="J117" s="167" t="s">
        <v>218</v>
      </c>
      <c r="K117" s="28"/>
      <c r="L117" s="29"/>
      <c r="M117" s="29"/>
      <c r="N117" s="29"/>
      <c r="O117" s="29"/>
      <c r="P117" s="29"/>
      <c r="Q117" s="28"/>
      <c r="R117" s="28"/>
      <c r="S117" s="28"/>
      <c r="T117" s="28"/>
      <c r="U117" s="28"/>
      <c r="V117" s="28"/>
      <c r="W117" s="28"/>
      <c r="X117" s="28"/>
      <c r="Y117" s="28"/>
      <c r="Z117" s="28"/>
    </row>
    <row r="118" customFormat="false" ht="13.5" hidden="false" customHeight="true" outlineLevel="0" collapsed="false">
      <c r="A118" s="20" t="s">
        <v>154</v>
      </c>
      <c r="B118" s="168" t="str">
        <f aca="false">INDEX('imp-questions'!D:D, MATCH(A118, 'imp-questions'!A:A, 0))</f>
        <v>Deployment Process</v>
      </c>
      <c r="C118" s="162" t="n">
        <f aca="false">INDEX('imp-questions'!E:E, MATCH(A118, 'imp-questions'!A:A, 0))</f>
        <v>1</v>
      </c>
      <c r="D118" s="83" t="str">
        <f aca="false">INDEX('imp-questions'!F:F, MATCH(A118, 'imp-questions'!A:A, 0))</f>
        <v>Do you use repeatable deployment processes?</v>
      </c>
      <c r="E118" s="56" t="str">
        <f aca="false">CHAR(65+INDEX('imp-questions'!H:H, MATCH(A118, 'imp-questions'!A:A, 0)))</f>
        <v>A</v>
      </c>
      <c r="F118" s="117"/>
      <c r="G118" s="88" t="n">
        <f aca="true">IFERROR(INDEX(INDIRECT("Ans" &amp; E118 &amp; "TBL"), MATCH(F118, INDEX(INDIRECT("Ans" &amp; E118 &amp; "TBL"), 0, 1), 0), 2), 0)</f>
        <v>0</v>
      </c>
      <c r="H118" s="118" t="n">
        <f aca="false">IFERROR(AVERAGE(G118,G125),0)</f>
        <v>0</v>
      </c>
      <c r="I118" s="119"/>
      <c r="J118" s="157" t="n">
        <f aca="false">SUM(H118,H120,H122)</f>
        <v>0</v>
      </c>
      <c r="K118" s="28"/>
      <c r="L118" s="29"/>
      <c r="M118" s="29"/>
      <c r="N118" s="29"/>
      <c r="O118" s="29"/>
      <c r="P118" s="29"/>
      <c r="Q118" s="28"/>
      <c r="R118" s="28"/>
      <c r="S118" s="28"/>
      <c r="T118" s="28"/>
      <c r="U118" s="28"/>
      <c r="V118" s="28"/>
      <c r="W118" s="28"/>
      <c r="X118" s="28"/>
      <c r="Y118" s="28"/>
      <c r="Z118" s="28"/>
    </row>
    <row r="119" customFormat="false" ht="69.75" hidden="false" customHeight="true" outlineLevel="0" collapsed="false">
      <c r="B119" s="168"/>
      <c r="C119" s="158"/>
      <c r="D119" s="159" t="str">
        <f aca="false">INDEX('imp-questions'!G:G, MATCH(A118, 'imp-questions'!A:A, 0))</f>
        <v>You have enough information to run the deployment processes
 Your deployment documentation up to date
 Your deployment documentation is accessible to relevant stakeholders
 You ensure that only defined qualified personnel can trigger a deployment
 You harden the tools that are used within the deployment process</v>
      </c>
      <c r="E119" s="160"/>
      <c r="F119" s="161"/>
      <c r="G119" s="92"/>
      <c r="H119" s="140"/>
      <c r="I119" s="119"/>
      <c r="J119" s="157"/>
      <c r="K119" s="28"/>
      <c r="L119" s="29"/>
      <c r="M119" s="29"/>
      <c r="N119" s="29"/>
      <c r="O119" s="29"/>
      <c r="P119" s="29"/>
      <c r="Q119" s="28"/>
      <c r="R119" s="28"/>
      <c r="S119" s="28"/>
      <c r="T119" s="28"/>
      <c r="U119" s="28"/>
      <c r="V119" s="28"/>
      <c r="W119" s="28"/>
      <c r="X119" s="28"/>
      <c r="Y119" s="28"/>
      <c r="Z119" s="28"/>
    </row>
    <row r="120" customFormat="false" ht="14.15" hidden="false" customHeight="false" outlineLevel="0" collapsed="false">
      <c r="A120" s="20" t="s">
        <v>155</v>
      </c>
      <c r="B120" s="168"/>
      <c r="C120" s="156" t="n">
        <f aca="false">INDEX('imp-questions'!E:E, MATCH(A120, 'imp-questions'!A:A, 0))</f>
        <v>2</v>
      </c>
      <c r="D120" s="55" t="str">
        <f aca="false">INDEX('imp-questions'!F:F, MATCH(A120, 'imp-questions'!A:A, 0))</f>
        <v>Are deployment processes automated and employing security checks?</v>
      </c>
      <c r="E120" s="56" t="str">
        <f aca="false">CHAR(65+INDEX('imp-questions'!H:H, MATCH(A120, 'imp-questions'!A:A, 0)))</f>
        <v>A</v>
      </c>
      <c r="F120" s="111"/>
      <c r="G120" s="88" t="n">
        <f aca="true">IFERROR(INDEX(INDIRECT("Ans" &amp; E120 &amp; "TBL"), MATCH(F120, INDEX(INDIRECT("Ans" &amp; E120 &amp; "TBL"), 0, 1), 0), 2), 0)</f>
        <v>0</v>
      </c>
      <c r="H120" s="169" t="n">
        <f aca="false">IFERROR(AVERAGE(G120,G127),0)</f>
        <v>0</v>
      </c>
      <c r="I120" s="119"/>
      <c r="J120" s="27"/>
      <c r="K120" s="28"/>
      <c r="L120" s="29"/>
      <c r="M120" s="29"/>
      <c r="N120" s="29"/>
      <c r="O120" s="29"/>
      <c r="P120" s="29"/>
      <c r="Q120" s="28"/>
      <c r="R120" s="28"/>
      <c r="S120" s="28"/>
      <c r="T120" s="28"/>
      <c r="U120" s="28"/>
      <c r="V120" s="28"/>
      <c r="W120" s="28"/>
      <c r="X120" s="28"/>
      <c r="Y120" s="28"/>
      <c r="Z120" s="28"/>
    </row>
    <row r="121" customFormat="false" ht="55.5" hidden="false" customHeight="true" outlineLevel="0" collapsed="false">
      <c r="B121" s="168"/>
      <c r="C121" s="158"/>
      <c r="D121" s="159" t="str">
        <f aca="false">INDEX('imp-questions'!G:G, MATCH(A120, 'imp-questions'!A:A, 0))</f>
        <v>Deployment processes are automated on all stages
 Deployment includes automated security testing procedures
 You alert responsible staff to identified vulnerabilities
 You have logs available for your past deployments for a defined period of time</v>
      </c>
      <c r="E121" s="160"/>
      <c r="F121" s="161"/>
      <c r="G121" s="92"/>
      <c r="H121" s="121"/>
      <c r="I121" s="119"/>
      <c r="J121" s="27"/>
      <c r="K121" s="28"/>
      <c r="L121" s="29"/>
      <c r="M121" s="29"/>
      <c r="N121" s="29"/>
      <c r="O121" s="29"/>
      <c r="P121" s="29"/>
      <c r="Q121" s="28"/>
      <c r="R121" s="28"/>
      <c r="S121" s="28"/>
      <c r="T121" s="28"/>
      <c r="U121" s="28"/>
      <c r="V121" s="28"/>
      <c r="W121" s="28"/>
      <c r="X121" s="28"/>
      <c r="Y121" s="28"/>
      <c r="Z121" s="28"/>
    </row>
    <row r="122" customFormat="false" ht="14.15" hidden="false" customHeight="false" outlineLevel="0" collapsed="false">
      <c r="A122" s="20" t="s">
        <v>156</v>
      </c>
      <c r="B122" s="168"/>
      <c r="C122" s="156" t="n">
        <f aca="false">INDEX('imp-questions'!E:E, MATCH(A122, 'imp-questions'!A:A, 0))</f>
        <v>3</v>
      </c>
      <c r="D122" s="55" t="str">
        <f aca="false">INDEX('imp-questions'!F:F, MATCH(A122, 'imp-questions'!A:A, 0))</f>
        <v>Do you consistently validate the integrity of deployed artifacts?</v>
      </c>
      <c r="E122" s="56" t="str">
        <f aca="false">CHAR(65+INDEX('imp-questions'!H:H, MATCH(A122, 'imp-questions'!A:A, 0)))</f>
        <v>A</v>
      </c>
      <c r="F122" s="117"/>
      <c r="G122" s="88" t="n">
        <f aca="true">IFERROR(INDEX(INDIRECT("Ans" &amp; E122 &amp; "TBL"), MATCH(F122, INDEX(INDIRECT("Ans" &amp; E122 &amp; "TBL"), 0, 1), 0), 2), 0)</f>
        <v>0</v>
      </c>
      <c r="H122" s="118" t="n">
        <f aca="false">IFERROR(AVERAGE(G122,G129),0)</f>
        <v>0</v>
      </c>
      <c r="I122" s="119"/>
      <c r="J122" s="27"/>
      <c r="K122" s="28"/>
      <c r="L122" s="29"/>
      <c r="M122" s="29"/>
      <c r="N122" s="29"/>
      <c r="O122" s="29"/>
      <c r="P122" s="29"/>
      <c r="Q122" s="28"/>
      <c r="R122" s="28"/>
      <c r="S122" s="28"/>
      <c r="T122" s="28"/>
      <c r="U122" s="28"/>
      <c r="V122" s="28"/>
      <c r="W122" s="28"/>
      <c r="X122" s="28"/>
      <c r="Y122" s="28"/>
      <c r="Z122" s="28"/>
    </row>
    <row r="123" customFormat="false" ht="42" hidden="false" customHeight="true" outlineLevel="0" collapsed="false">
      <c r="B123" s="168"/>
      <c r="C123" s="158"/>
      <c r="D123" s="159" t="str">
        <f aca="false">INDEX('imp-questions'!G:G, MATCH(A122, 'imp-questions'!A:A, 0))</f>
        <v>You prevent or roll back deployment if you detect an integrity breach
 The verification is done against signatures created during the build time
 If checking of signatures is not possible (e.g. externally build software), you introduce compensating measures</v>
      </c>
      <c r="E123" s="160"/>
      <c r="F123" s="161"/>
      <c r="G123" s="92"/>
      <c r="H123" s="121"/>
      <c r="I123" s="119"/>
      <c r="J123" s="27"/>
      <c r="K123" s="28"/>
      <c r="L123" s="29"/>
      <c r="M123" s="29"/>
      <c r="N123" s="29"/>
      <c r="O123" s="29"/>
      <c r="P123" s="29"/>
      <c r="Q123" s="28"/>
      <c r="R123" s="28"/>
      <c r="S123" s="28"/>
      <c r="T123" s="28"/>
      <c r="U123" s="28"/>
      <c r="V123" s="28"/>
      <c r="W123" s="28"/>
      <c r="X123" s="28"/>
      <c r="Y123" s="28"/>
      <c r="Z123" s="28"/>
    </row>
    <row r="124" customFormat="false" ht="12.75" hidden="false" customHeight="false" outlineLevel="0" collapsed="false">
      <c r="B124" s="74"/>
      <c r="C124" s="75"/>
      <c r="D124" s="76"/>
      <c r="E124" s="76"/>
      <c r="F124" s="76"/>
      <c r="G124" s="76"/>
      <c r="H124" s="124"/>
      <c r="I124" s="125"/>
      <c r="J124" s="71"/>
      <c r="K124" s="28"/>
      <c r="L124" s="29"/>
      <c r="M124" s="29"/>
      <c r="N124" s="29"/>
      <c r="O124" s="29"/>
      <c r="P124" s="29"/>
      <c r="Q124" s="28"/>
      <c r="R124" s="28"/>
      <c r="S124" s="28"/>
      <c r="T124" s="28"/>
      <c r="U124" s="28"/>
      <c r="V124" s="28"/>
      <c r="W124" s="28"/>
      <c r="X124" s="28"/>
      <c r="Y124" s="28"/>
      <c r="Z124" s="28"/>
    </row>
    <row r="125" customFormat="false" ht="15" hidden="false" customHeight="true" outlineLevel="0" collapsed="false">
      <c r="A125" s="20" t="s">
        <v>157</v>
      </c>
      <c r="B125" s="155" t="str">
        <f aca="false">INDEX('imp-questions'!D:D, MATCH(A125, 'imp-questions'!A:A, 0))</f>
        <v>Secret Management</v>
      </c>
      <c r="C125" s="162" t="n">
        <f aca="false">INDEX('imp-questions'!E:E, MATCH(A125, 'imp-questions'!A:A, 0))</f>
        <v>1</v>
      </c>
      <c r="D125" s="55" t="str">
        <f aca="false">INDEX('imp-questions'!F:F, MATCH(A125, 'imp-questions'!A:A, 0))</f>
        <v>Do you limit access to application secrets according to the least privilege principle?</v>
      </c>
      <c r="E125" s="56" t="str">
        <f aca="false">CHAR(65+INDEX('imp-questions'!H:H, MATCH(A125, 'imp-questions'!A:A, 0)))</f>
        <v>A</v>
      </c>
      <c r="F125" s="111"/>
      <c r="G125" s="88" t="n">
        <f aca="true">IFERROR(INDEX(INDIRECT("Ans" &amp; E125 &amp; "TBL"), MATCH(F125, INDEX(INDIRECT("Ans" &amp; E125 &amp; "TBL"), 0, 1), 0), 2), 0)</f>
        <v>0</v>
      </c>
      <c r="H125" s="128"/>
      <c r="I125" s="119"/>
      <c r="J125" s="27"/>
      <c r="K125" s="28"/>
      <c r="L125" s="29"/>
      <c r="M125" s="29"/>
      <c r="N125" s="29"/>
      <c r="O125" s="29"/>
      <c r="P125" s="29"/>
      <c r="Q125" s="28"/>
      <c r="R125" s="28"/>
      <c r="S125" s="28"/>
      <c r="T125" s="28"/>
      <c r="U125" s="28"/>
      <c r="V125" s="28"/>
      <c r="W125" s="28"/>
      <c r="X125" s="28"/>
      <c r="Y125" s="28"/>
      <c r="Z125" s="28"/>
    </row>
    <row r="126" customFormat="false" ht="42" hidden="false" customHeight="true" outlineLevel="0" collapsed="false">
      <c r="B126" s="155"/>
      <c r="C126" s="158"/>
      <c r="D126" s="159" t="str">
        <f aca="false">INDEX('imp-questions'!G:G, MATCH(A125, 'imp-questions'!A:A, 0))</f>
        <v>You store production secrets protected in a secured location
 Developers do not have access to production secrets
 Production secrets are not available in non-production environments</v>
      </c>
      <c r="E126" s="160"/>
      <c r="F126" s="161"/>
      <c r="G126" s="92"/>
      <c r="H126" s="131"/>
      <c r="I126" s="119"/>
      <c r="J126" s="27"/>
      <c r="K126" s="28"/>
      <c r="L126" s="29"/>
      <c r="M126" s="29"/>
      <c r="N126" s="29"/>
      <c r="O126" s="29"/>
      <c r="P126" s="29"/>
      <c r="Q126" s="28"/>
      <c r="R126" s="28"/>
      <c r="S126" s="28"/>
      <c r="T126" s="28"/>
      <c r="U126" s="28"/>
      <c r="V126" s="28"/>
      <c r="W126" s="28"/>
      <c r="X126" s="28"/>
      <c r="Y126" s="28"/>
      <c r="Z126" s="28"/>
    </row>
    <row r="127" customFormat="false" ht="14.15" hidden="false" customHeight="false" outlineLevel="0" collapsed="false">
      <c r="A127" s="20" t="s">
        <v>158</v>
      </c>
      <c r="B127" s="155"/>
      <c r="C127" s="156" t="n">
        <f aca="false">INDEX('imp-questions'!E:E, MATCH(A127, 'imp-questions'!A:A, 0))</f>
        <v>2</v>
      </c>
      <c r="D127" s="55" t="str">
        <f aca="false">INDEX('imp-questions'!F:F, MATCH(A127, 'imp-questions'!A:A, 0))</f>
        <v>Do you inject production secrets into configuration files during deployment?</v>
      </c>
      <c r="E127" s="56" t="str">
        <f aca="false">CHAR(65+INDEX('imp-questions'!H:H, MATCH(A127, 'imp-questions'!A:A, 0)))</f>
        <v>A</v>
      </c>
      <c r="F127" s="111"/>
      <c r="G127" s="88" t="n">
        <f aca="true">IFERROR(INDEX(INDIRECT("Ans" &amp; E127 &amp; "TBL"), MATCH(F127, INDEX(INDIRECT("Ans" &amp; E127 &amp; "TBL"), 0, 1), 0), 2), 0)</f>
        <v>0</v>
      </c>
      <c r="H127" s="128"/>
      <c r="I127" s="119"/>
      <c r="J127" s="27"/>
      <c r="K127" s="28"/>
      <c r="L127" s="29"/>
      <c r="M127" s="29"/>
      <c r="N127" s="29"/>
      <c r="O127" s="29"/>
      <c r="P127" s="29"/>
      <c r="Q127" s="28"/>
      <c r="R127" s="28"/>
      <c r="S127" s="28"/>
      <c r="T127" s="28"/>
      <c r="U127" s="28"/>
      <c r="V127" s="28"/>
      <c r="W127" s="28"/>
      <c r="X127" s="28"/>
      <c r="Y127" s="28"/>
      <c r="Z127" s="28"/>
    </row>
    <row r="128" customFormat="false" ht="42" hidden="false" customHeight="true" outlineLevel="0" collapsed="false">
      <c r="B128" s="155"/>
      <c r="C128" s="158"/>
      <c r="D128" s="159" t="str">
        <f aca="false">INDEX('imp-questions'!G:G, MATCH(A127, 'imp-questions'!A:A, 0))</f>
        <v>Source code files no longer contain active application secrets
 Under normal circumstances, no humans access secrets during deployment procedures
 You log and alert when abnormal secrets access is attempted</v>
      </c>
      <c r="E128" s="160"/>
      <c r="F128" s="161"/>
      <c r="G128" s="92"/>
      <c r="H128" s="131"/>
      <c r="I128" s="119"/>
      <c r="J128" s="27"/>
      <c r="K128" s="28"/>
      <c r="L128" s="29"/>
      <c r="M128" s="29"/>
      <c r="N128" s="29"/>
      <c r="O128" s="29"/>
      <c r="P128" s="29"/>
      <c r="Q128" s="28"/>
      <c r="R128" s="28"/>
      <c r="S128" s="28"/>
      <c r="T128" s="28"/>
      <c r="U128" s="28"/>
      <c r="V128" s="28"/>
      <c r="W128" s="28"/>
      <c r="X128" s="28"/>
      <c r="Y128" s="28"/>
      <c r="Z128" s="28"/>
    </row>
    <row r="129" customFormat="false" ht="14.15" hidden="false" customHeight="false" outlineLevel="0" collapsed="false">
      <c r="A129" s="20" t="s">
        <v>159</v>
      </c>
      <c r="B129" s="155"/>
      <c r="C129" s="156" t="n">
        <f aca="false">INDEX('imp-questions'!E:E, MATCH(A129, 'imp-questions'!A:A, 0))</f>
        <v>3</v>
      </c>
      <c r="D129" s="55" t="str">
        <f aca="false">INDEX('imp-questions'!F:F, MATCH(A129, 'imp-questions'!A:A, 0))</f>
        <v>Do you practice proper lifecycle management for application secrets?</v>
      </c>
      <c r="E129" s="56" t="str">
        <f aca="false">CHAR(65+INDEX('imp-questions'!H:H, MATCH(A129, 'imp-questions'!A:A, 0)))</f>
        <v>A</v>
      </c>
      <c r="F129" s="111"/>
      <c r="G129" s="88" t="n">
        <f aca="true">IFERROR(INDEX(INDIRECT("Ans" &amp; E129 &amp; "TBL"), MATCH(F129, INDEX(INDIRECT("Ans" &amp; E129 &amp; "TBL"), 0, 1), 0), 2), 0)</f>
        <v>0</v>
      </c>
      <c r="H129" s="128"/>
      <c r="I129" s="119"/>
      <c r="J129" s="27"/>
      <c r="K129" s="28"/>
      <c r="L129" s="29"/>
      <c r="M129" s="29"/>
      <c r="N129" s="29"/>
      <c r="O129" s="29"/>
      <c r="P129" s="29"/>
      <c r="Q129" s="28"/>
      <c r="R129" s="28"/>
      <c r="S129" s="28"/>
      <c r="T129" s="28"/>
      <c r="U129" s="28"/>
      <c r="V129" s="28"/>
      <c r="W129" s="28"/>
      <c r="X129" s="28"/>
      <c r="Y129" s="28"/>
      <c r="Z129" s="28"/>
    </row>
    <row r="130" customFormat="false" ht="42" hidden="false" customHeight="true" outlineLevel="0" collapsed="false">
      <c r="B130" s="155"/>
      <c r="C130" s="158"/>
      <c r="D130" s="165" t="str">
        <f aca="false">INDEX('imp-questions'!G:G, MATCH(A129, 'imp-questions'!A:A, 0))</f>
        <v>You generate and synchronize secrets using a vetted solution
 Secrets are different between different application instances
 Secrets are regularly updated</v>
      </c>
      <c r="E130" s="160"/>
      <c r="F130" s="161"/>
      <c r="G130" s="92"/>
      <c r="H130" s="131"/>
      <c r="I130" s="119"/>
      <c r="J130" s="27"/>
      <c r="K130" s="28"/>
      <c r="L130" s="29"/>
      <c r="M130" s="29"/>
      <c r="N130" s="29"/>
      <c r="O130" s="29"/>
      <c r="P130" s="29"/>
      <c r="Q130" s="28"/>
      <c r="R130" s="28"/>
      <c r="S130" s="28"/>
      <c r="T130" s="28"/>
      <c r="U130" s="28"/>
      <c r="V130" s="28"/>
      <c r="W130" s="28"/>
      <c r="X130" s="28"/>
      <c r="Y130" s="28"/>
      <c r="Z130" s="28"/>
    </row>
    <row r="131" customFormat="false" ht="14.15" hidden="false" customHeight="true" outlineLevel="0" collapsed="false">
      <c r="B131" s="166" t="s">
        <v>228</v>
      </c>
      <c r="C131" s="166"/>
      <c r="D131" s="166"/>
      <c r="E131" s="170"/>
      <c r="F131" s="149" t="s">
        <v>216</v>
      </c>
      <c r="G131" s="149"/>
      <c r="H131" s="152"/>
      <c r="I131" s="154" t="s">
        <v>217</v>
      </c>
      <c r="J131" s="167" t="s">
        <v>218</v>
      </c>
      <c r="K131" s="28"/>
      <c r="L131" s="29"/>
      <c r="M131" s="29"/>
      <c r="N131" s="29"/>
      <c r="O131" s="29"/>
      <c r="P131" s="29"/>
      <c r="Q131" s="28"/>
      <c r="R131" s="28"/>
      <c r="S131" s="28"/>
      <c r="T131" s="28"/>
      <c r="U131" s="28"/>
      <c r="V131" s="28"/>
      <c r="W131" s="28"/>
      <c r="X131" s="28"/>
      <c r="Y131" s="28"/>
      <c r="Z131" s="28"/>
    </row>
    <row r="132" customFormat="false" ht="13.5" hidden="false" customHeight="true" outlineLevel="0" collapsed="false">
      <c r="A132" s="20" t="s">
        <v>160</v>
      </c>
      <c r="B132" s="168" t="str">
        <f aca="false">INDEX('imp-questions'!D:D, MATCH(A132, 'imp-questions'!A:A, 0))</f>
        <v>Defect Tracking</v>
      </c>
      <c r="C132" s="162" t="n">
        <f aca="false">INDEX('imp-questions'!E:E, MATCH(A132, 'imp-questions'!A:A, 0))</f>
        <v>1</v>
      </c>
      <c r="D132" s="83" t="str">
        <f aca="false">INDEX('imp-questions'!F:F, MATCH(A132, 'imp-questions'!A:A, 0))</f>
        <v>Do you track all known security defects in accessible locations?</v>
      </c>
      <c r="E132" s="56" t="str">
        <f aca="false">CHAR(65+INDEX('imp-questions'!H:H, MATCH(A132, 'imp-questions'!A:A, 0)))</f>
        <v>A</v>
      </c>
      <c r="F132" s="111"/>
      <c r="G132" s="88" t="n">
        <f aca="true">IFERROR(INDEX(INDIRECT("Ans" &amp; E132 &amp; "TBL"), MATCH(F132, INDEX(INDIRECT("Ans" &amp; E132 &amp; "TBL"), 0, 1), 0), 2), 0)</f>
        <v>0</v>
      </c>
      <c r="H132" s="58" t="n">
        <f aca="false">IFERROR(AVERAGE(G132,G139),0)</f>
        <v>0</v>
      </c>
      <c r="I132" s="95"/>
      <c r="J132" s="171" t="n">
        <f aca="false">SUM(H132,H134,H136)</f>
        <v>0</v>
      </c>
      <c r="K132" s="28"/>
      <c r="L132" s="29"/>
      <c r="M132" s="29"/>
      <c r="N132" s="29"/>
      <c r="O132" s="29"/>
      <c r="P132" s="29"/>
      <c r="Q132" s="28"/>
      <c r="R132" s="28"/>
      <c r="S132" s="28"/>
      <c r="T132" s="28"/>
      <c r="U132" s="28"/>
      <c r="V132" s="28"/>
      <c r="W132" s="28"/>
      <c r="X132" s="28"/>
      <c r="Y132" s="28"/>
      <c r="Z132" s="28"/>
    </row>
    <row r="133" customFormat="false" ht="55.5" hidden="false" customHeight="true" outlineLevel="0" collapsed="false">
      <c r="B133" s="168"/>
      <c r="C133" s="158"/>
      <c r="D133" s="159" t="str">
        <f aca="false">INDEX('imp-questions'!G:G, MATCH(A132, 'imp-questions'!A:A, 0))</f>
        <v>You can easily get an overview of all security defects impacting one application
 You have at least a rudimentary classification scheme in place
 The process includes a strategy for handling false positives and duplicate entries
 The defect management system covers defects from various sources and activities</v>
      </c>
      <c r="E133" s="160"/>
      <c r="F133" s="161"/>
      <c r="G133" s="92"/>
      <c r="H133" s="96"/>
      <c r="I133" s="95"/>
      <c r="J133" s="171"/>
      <c r="K133" s="28"/>
      <c r="L133" s="29"/>
      <c r="M133" s="29"/>
      <c r="N133" s="29"/>
      <c r="O133" s="29"/>
      <c r="P133" s="29"/>
      <c r="Q133" s="28"/>
      <c r="R133" s="28"/>
      <c r="S133" s="28"/>
      <c r="T133" s="28"/>
      <c r="U133" s="28"/>
      <c r="V133" s="28"/>
      <c r="W133" s="28"/>
      <c r="X133" s="28"/>
      <c r="Y133" s="28"/>
      <c r="Z133" s="28"/>
    </row>
    <row r="134" customFormat="false" ht="14.15" hidden="false" customHeight="false" outlineLevel="0" collapsed="false">
      <c r="A134" s="20" t="s">
        <v>161</v>
      </c>
      <c r="B134" s="168"/>
      <c r="C134" s="156" t="n">
        <f aca="false">INDEX('imp-questions'!E:E, MATCH(A134, 'imp-questions'!A:A, 0))</f>
        <v>2</v>
      </c>
      <c r="D134" s="55" t="str">
        <f aca="false">INDEX('imp-questions'!F:F, MATCH(A134, 'imp-questions'!A:A, 0))</f>
        <v>Do you keep an overview of the state of security defects across the organization?</v>
      </c>
      <c r="E134" s="56" t="str">
        <f aca="false">CHAR(65+INDEX('imp-questions'!H:H, MATCH(A134, 'imp-questions'!A:A, 0)))</f>
        <v>A</v>
      </c>
      <c r="F134" s="111"/>
      <c r="G134" s="88" t="n">
        <f aca="true">IFERROR(INDEX(INDIRECT("Ans" &amp; E134 &amp; "TBL"), MATCH(F134, INDEX(INDIRECT("Ans" &amp; E134 &amp; "TBL"), 0, 1), 0), 2), 0)</f>
        <v>0</v>
      </c>
      <c r="H134" s="58" t="n">
        <f aca="false">IFERROR(AVERAGE(G134,G141),0)</f>
        <v>0</v>
      </c>
      <c r="I134" s="97"/>
      <c r="J134" s="27"/>
      <c r="K134" s="28"/>
      <c r="L134" s="29"/>
      <c r="M134" s="29"/>
      <c r="N134" s="29"/>
      <c r="O134" s="29"/>
      <c r="P134" s="29"/>
      <c r="Q134" s="28"/>
      <c r="R134" s="28"/>
      <c r="S134" s="28"/>
      <c r="T134" s="28"/>
      <c r="U134" s="28"/>
      <c r="V134" s="28"/>
      <c r="W134" s="28"/>
      <c r="X134" s="28"/>
      <c r="Y134" s="28"/>
      <c r="Z134" s="28"/>
    </row>
    <row r="135" customFormat="false" ht="42" hidden="false" customHeight="true" outlineLevel="0" collapsed="false">
      <c r="B135" s="168"/>
      <c r="C135" s="158"/>
      <c r="D135" s="159" t="str">
        <f aca="false">INDEX('imp-questions'!G:G, MATCH(A134, 'imp-questions'!A:A, 0))</f>
        <v>A single severity scheme is applied to all defects across the organization
 The scheme includes SLAs for fixing particular severity classes
 You regularly report compliance to SLAs</v>
      </c>
      <c r="E135" s="160"/>
      <c r="F135" s="161"/>
      <c r="G135" s="92"/>
      <c r="H135" s="98"/>
      <c r="I135" s="97"/>
      <c r="J135" s="27"/>
      <c r="K135" s="28"/>
      <c r="L135" s="29"/>
      <c r="M135" s="29"/>
      <c r="N135" s="29"/>
      <c r="O135" s="29"/>
      <c r="P135" s="29"/>
      <c r="Q135" s="28"/>
      <c r="R135" s="28"/>
      <c r="S135" s="28"/>
      <c r="T135" s="28"/>
      <c r="U135" s="28"/>
      <c r="V135" s="28"/>
      <c r="W135" s="28"/>
      <c r="X135" s="28"/>
      <c r="Y135" s="28"/>
      <c r="Z135" s="28"/>
    </row>
    <row r="136" customFormat="false" ht="14.15" hidden="false" customHeight="false" outlineLevel="0" collapsed="false">
      <c r="A136" s="20" t="s">
        <v>162</v>
      </c>
      <c r="B136" s="168"/>
      <c r="C136" s="156" t="n">
        <f aca="false">INDEX('imp-questions'!E:E, MATCH(A136, 'imp-questions'!A:A, 0))</f>
        <v>3</v>
      </c>
      <c r="D136" s="55" t="str">
        <f aca="false">INDEX('imp-questions'!F:F, MATCH(A136, 'imp-questions'!A:A, 0))</f>
        <v>Do you enforce SLAs for fixing security defects?</v>
      </c>
      <c r="E136" s="56" t="str">
        <f aca="false">CHAR(65+INDEX('imp-questions'!H:H, MATCH(A136, 'imp-questions'!A:A, 0)))</f>
        <v>A</v>
      </c>
      <c r="F136" s="111"/>
      <c r="G136" s="88" t="n">
        <f aca="true">IFERROR(INDEX(INDIRECT("Ans" &amp; E136 &amp; "TBL"), MATCH(F136, INDEX(INDIRECT("Ans" &amp; E136 &amp; "TBL"), 0, 1), 0), 2), 0)</f>
        <v>0</v>
      </c>
      <c r="H136" s="58" t="n">
        <f aca="false">IFERROR(AVERAGE(G136,G143),0)</f>
        <v>0</v>
      </c>
      <c r="I136" s="99"/>
      <c r="J136" s="27"/>
      <c r="K136" s="28"/>
      <c r="L136" s="29"/>
      <c r="M136" s="29"/>
      <c r="N136" s="29"/>
      <c r="O136" s="29"/>
      <c r="P136" s="29"/>
      <c r="Q136" s="28"/>
      <c r="R136" s="28"/>
      <c r="S136" s="28"/>
      <c r="T136" s="28"/>
      <c r="U136" s="28"/>
      <c r="V136" s="28"/>
      <c r="W136" s="28"/>
      <c r="X136" s="28"/>
      <c r="Y136" s="28"/>
      <c r="Z136" s="28"/>
    </row>
    <row r="137" customFormat="false" ht="27.75" hidden="false" customHeight="true" outlineLevel="0" collapsed="false">
      <c r="B137" s="168"/>
      <c r="C137" s="158"/>
      <c r="D137" s="159" t="str">
        <f aca="false">INDEX('imp-questions'!G:G, MATCH(A136, 'imp-questions'!A:A, 0))</f>
        <v>You automatically alert of SLA breaches and transfer respective defects to the risk management process
 You integrate relevant tooling (e.g. monitoring, build, deployment) with the defect management system</v>
      </c>
      <c r="E137" s="160"/>
      <c r="F137" s="161"/>
      <c r="G137" s="92"/>
      <c r="H137" s="98"/>
      <c r="I137" s="99"/>
      <c r="J137" s="27"/>
      <c r="K137" s="28"/>
      <c r="L137" s="29"/>
      <c r="M137" s="29"/>
      <c r="N137" s="29"/>
      <c r="O137" s="29"/>
      <c r="P137" s="29"/>
      <c r="Q137" s="28"/>
      <c r="R137" s="28"/>
      <c r="S137" s="28"/>
      <c r="T137" s="28"/>
      <c r="U137" s="28"/>
      <c r="V137" s="28"/>
      <c r="W137" s="28"/>
      <c r="X137" s="28"/>
      <c r="Y137" s="28"/>
      <c r="Z137" s="28"/>
    </row>
    <row r="138" customFormat="false" ht="12.75" hidden="false" customHeight="false" outlineLevel="0" collapsed="false">
      <c r="B138" s="74"/>
      <c r="C138" s="75"/>
      <c r="D138" s="76"/>
      <c r="E138" s="76"/>
      <c r="F138" s="76"/>
      <c r="G138" s="76"/>
      <c r="H138" s="124"/>
      <c r="I138" s="77"/>
      <c r="J138" s="71"/>
      <c r="K138" s="28"/>
      <c r="L138" s="29"/>
      <c r="M138" s="29"/>
      <c r="N138" s="29"/>
      <c r="O138" s="29"/>
      <c r="P138" s="29"/>
      <c r="Q138" s="28"/>
      <c r="R138" s="28"/>
      <c r="S138" s="28"/>
      <c r="T138" s="28"/>
      <c r="U138" s="28"/>
      <c r="V138" s="28"/>
      <c r="W138" s="28"/>
      <c r="X138" s="28"/>
      <c r="Y138" s="28"/>
      <c r="Z138" s="28"/>
    </row>
    <row r="139" customFormat="false" ht="15" hidden="false" customHeight="true" outlineLevel="0" collapsed="false">
      <c r="A139" s="20" t="s">
        <v>163</v>
      </c>
      <c r="B139" s="155" t="str">
        <f aca="false">INDEX('imp-questions'!D:D, MATCH(A139, 'imp-questions'!A:A, 0))</f>
        <v>Metrics and Feedback</v>
      </c>
      <c r="C139" s="162" t="n">
        <f aca="false">INDEX('imp-questions'!E:E, MATCH(A139, 'imp-questions'!A:A, 0))</f>
        <v>1</v>
      </c>
      <c r="D139" s="55" t="str">
        <f aca="false">INDEX('imp-questions'!F:F, MATCH(A139, 'imp-questions'!A:A, 0))</f>
        <v>Do you use basic metrics about recorded security defects to carry out quick win improvement activities?</v>
      </c>
      <c r="E139" s="56" t="str">
        <f aca="false">CHAR(65+INDEX('imp-questions'!H:H, MATCH(A139, 'imp-questions'!A:A, 0)))</f>
        <v>A</v>
      </c>
      <c r="F139" s="111"/>
      <c r="G139" s="88" t="n">
        <f aca="true">IFERROR(INDEX(INDIRECT("Ans" &amp; E139 &amp; "TBL"), MATCH(F139, INDEX(INDIRECT("Ans" &amp; E139 &amp; "TBL"), 0, 1), 0), 2), 0)</f>
        <v>0</v>
      </c>
      <c r="H139" s="89"/>
      <c r="I139" s="95"/>
      <c r="J139" s="71"/>
      <c r="K139" s="28"/>
      <c r="L139" s="29"/>
      <c r="M139" s="29"/>
      <c r="N139" s="29"/>
      <c r="O139" s="29"/>
      <c r="P139" s="29"/>
      <c r="Q139" s="28"/>
      <c r="R139" s="28"/>
      <c r="S139" s="28"/>
      <c r="T139" s="28"/>
      <c r="U139" s="28"/>
      <c r="V139" s="28"/>
      <c r="W139" s="28"/>
      <c r="X139" s="28"/>
      <c r="Y139" s="28"/>
      <c r="Z139" s="28"/>
    </row>
    <row r="140" customFormat="false" ht="42" hidden="false" customHeight="true" outlineLevel="0" collapsed="false">
      <c r="B140" s="155"/>
      <c r="C140" s="158"/>
      <c r="D140" s="159" t="str">
        <f aca="false">INDEX('imp-questions'!G:G, MATCH(A139, 'imp-questions'!A:A, 0))</f>
        <v>You analyzed your recorded metrics at least once in the last year
 At least basic information about this initiative is recorded and available
 You have identified and carried out at least one quick win activity based on the data</v>
      </c>
      <c r="E140" s="160"/>
      <c r="F140" s="161"/>
      <c r="G140" s="92"/>
      <c r="H140" s="143"/>
      <c r="I140" s="95"/>
      <c r="J140" s="71"/>
      <c r="K140" s="28"/>
      <c r="L140" s="29"/>
      <c r="M140" s="29"/>
      <c r="N140" s="29"/>
      <c r="O140" s="29"/>
      <c r="P140" s="29"/>
      <c r="Q140" s="28"/>
      <c r="R140" s="28"/>
      <c r="S140" s="28"/>
      <c r="T140" s="28"/>
      <c r="U140" s="28"/>
      <c r="V140" s="28"/>
      <c r="W140" s="28"/>
      <c r="X140" s="28"/>
      <c r="Y140" s="28"/>
      <c r="Z140" s="28"/>
    </row>
    <row r="141" customFormat="false" ht="14.15" hidden="false" customHeight="false" outlineLevel="0" collapsed="false">
      <c r="A141" s="20" t="s">
        <v>164</v>
      </c>
      <c r="B141" s="155"/>
      <c r="C141" s="156" t="n">
        <f aca="false">INDEX('imp-questions'!E:E, MATCH(A141, 'imp-questions'!A:A, 0))</f>
        <v>2</v>
      </c>
      <c r="D141" s="55" t="str">
        <f aca="false">INDEX('imp-questions'!F:F, MATCH(A141, 'imp-questions'!A:A, 0))</f>
        <v>Do you improve your security assurance program upon standardized metrics?</v>
      </c>
      <c r="E141" s="56" t="str">
        <f aca="false">CHAR(65+INDEX('imp-questions'!H:H, MATCH(A141, 'imp-questions'!A:A, 0)))</f>
        <v>A</v>
      </c>
      <c r="F141" s="111"/>
      <c r="G141" s="88" t="n">
        <f aca="true">IFERROR(INDEX(INDIRECT("Ans" &amp; E141 &amp; "TBL"), MATCH(F141, INDEX(INDIRECT("Ans" &amp; E141 &amp; "TBL"), 0, 1), 0), 2), 0)</f>
        <v>0</v>
      </c>
      <c r="H141" s="89"/>
      <c r="I141" s="95"/>
      <c r="J141" s="71"/>
      <c r="K141" s="28"/>
      <c r="L141" s="29"/>
      <c r="M141" s="29"/>
      <c r="N141" s="29"/>
      <c r="O141" s="29"/>
      <c r="P141" s="29"/>
      <c r="Q141" s="28"/>
      <c r="R141" s="28"/>
      <c r="S141" s="28"/>
      <c r="T141" s="28"/>
      <c r="U141" s="28"/>
      <c r="V141" s="28"/>
      <c r="W141" s="28"/>
      <c r="X141" s="28"/>
      <c r="Y141" s="28"/>
      <c r="Z141" s="28"/>
    </row>
    <row r="142" customFormat="false" ht="42" hidden="false" customHeight="true" outlineLevel="0" collapsed="false">
      <c r="B142" s="155"/>
      <c r="C142" s="158"/>
      <c r="D142" s="159" t="str">
        <f aca="false">INDEX('imp-questions'!G:G, MATCH(A141, 'imp-questions'!A:A, 0))</f>
        <v>You document metrics for defect classification and categorization and keep them up to date
 Executive management regularly receives information about defects and has acted upon it in the last year
 You regularly share technical details about security defects among teams</v>
      </c>
      <c r="E142" s="160"/>
      <c r="F142" s="161"/>
      <c r="G142" s="92"/>
      <c r="H142" s="143"/>
      <c r="I142" s="95"/>
      <c r="J142" s="71"/>
      <c r="K142" s="28"/>
      <c r="L142" s="29"/>
      <c r="M142" s="29"/>
      <c r="N142" s="29"/>
      <c r="O142" s="29"/>
      <c r="P142" s="29"/>
      <c r="Q142" s="28"/>
      <c r="R142" s="28"/>
      <c r="S142" s="28"/>
      <c r="T142" s="28"/>
      <c r="U142" s="28"/>
      <c r="V142" s="28"/>
      <c r="W142" s="28"/>
      <c r="X142" s="28"/>
      <c r="Y142" s="28"/>
      <c r="Z142" s="28"/>
    </row>
    <row r="143" customFormat="false" ht="15" hidden="false" customHeight="true" outlineLevel="0" collapsed="false">
      <c r="A143" s="20" t="s">
        <v>165</v>
      </c>
      <c r="B143" s="155"/>
      <c r="C143" s="156" t="n">
        <f aca="false">INDEX('imp-questions'!E:E, MATCH(A143, 'imp-questions'!A:A, 0))</f>
        <v>3</v>
      </c>
      <c r="D143" s="55" t="str">
        <f aca="false">INDEX('imp-questions'!F:F, MATCH(A143, 'imp-questions'!A:A, 0))</f>
        <v>Do you regularly evaluate the effectiveness of your security metrics so that its input helps drive your security strategy?</v>
      </c>
      <c r="E143" s="56" t="str">
        <f aca="false">CHAR(65+INDEX('imp-questions'!H:H, MATCH(A143, 'imp-questions'!A:A, 0)))</f>
        <v>A</v>
      </c>
      <c r="F143" s="111"/>
      <c r="G143" s="88" t="n">
        <f aca="true">IFERROR(INDEX(INDIRECT("Ans" &amp; E143 &amp; "TBL"), MATCH(F143, INDEX(INDIRECT("Ans" &amp; E143 &amp; "TBL"), 0, 1), 0), 2), 0)</f>
        <v>0</v>
      </c>
      <c r="H143" s="89"/>
      <c r="I143" s="95"/>
      <c r="J143" s="71"/>
      <c r="K143" s="28"/>
      <c r="L143" s="29"/>
      <c r="M143" s="29"/>
      <c r="N143" s="29"/>
      <c r="O143" s="29"/>
      <c r="P143" s="29"/>
      <c r="Q143" s="28"/>
      <c r="R143" s="28"/>
      <c r="S143" s="28"/>
      <c r="T143" s="28"/>
      <c r="U143" s="28"/>
      <c r="V143" s="28"/>
      <c r="W143" s="28"/>
      <c r="X143" s="28"/>
      <c r="Y143" s="28"/>
      <c r="Z143" s="28"/>
    </row>
    <row r="144" customFormat="false" ht="55.5" hidden="false" customHeight="true" outlineLevel="0" collapsed="false">
      <c r="B144" s="155"/>
      <c r="C144" s="158"/>
      <c r="D144" s="165" t="str">
        <f aca="false">INDEX('imp-questions'!G:G, MATCH(A143, 'imp-questions'!A:A, 0))</f>
        <v>You have analyzed the effectiveness of the security metrics at least once in the last year
 Where possible, you verify the correctness of the data automatically
 The metrics is aggregated with other sources like threat intelligence or incident management
 You derived at least one strategic activity from the metrics in the last year</v>
      </c>
      <c r="E144" s="172"/>
      <c r="F144" s="173"/>
      <c r="G144" s="147"/>
      <c r="H144" s="143"/>
      <c r="I144" s="95"/>
      <c r="J144" s="71"/>
      <c r="K144" s="28"/>
      <c r="L144" s="29"/>
      <c r="M144" s="29"/>
      <c r="N144" s="29"/>
      <c r="O144" s="29"/>
      <c r="P144" s="29"/>
      <c r="Q144" s="28"/>
      <c r="R144" s="28"/>
      <c r="S144" s="28"/>
      <c r="T144" s="28"/>
      <c r="U144" s="28"/>
      <c r="V144" s="28"/>
      <c r="W144" s="28"/>
      <c r="X144" s="28"/>
      <c r="Y144" s="28"/>
      <c r="Z144" s="28"/>
    </row>
    <row r="145" customFormat="false" ht="21.75" hidden="false" customHeight="true" outlineLevel="0" collapsed="false">
      <c r="B145" s="174" t="s">
        <v>229</v>
      </c>
      <c r="C145" s="174"/>
      <c r="D145" s="174"/>
      <c r="E145" s="174"/>
      <c r="F145" s="174"/>
      <c r="G145" s="174"/>
      <c r="H145" s="174"/>
      <c r="I145" s="174"/>
      <c r="J145" s="174"/>
      <c r="K145" s="28"/>
      <c r="L145" s="29"/>
      <c r="M145" s="29"/>
      <c r="N145" s="29"/>
      <c r="O145" s="29"/>
      <c r="P145" s="29"/>
      <c r="Q145" s="28"/>
      <c r="R145" s="28"/>
      <c r="S145" s="28"/>
      <c r="T145" s="28"/>
      <c r="U145" s="28"/>
      <c r="V145" s="28"/>
      <c r="W145" s="28"/>
      <c r="X145" s="28"/>
      <c r="Y145" s="28"/>
      <c r="Z145" s="28"/>
    </row>
    <row r="146" customFormat="false" ht="14.15" hidden="false" customHeight="true" outlineLevel="0" collapsed="false">
      <c r="B146" s="175" t="s">
        <v>230</v>
      </c>
      <c r="C146" s="175"/>
      <c r="D146" s="175"/>
      <c r="E146" s="176"/>
      <c r="F146" s="175" t="s">
        <v>216</v>
      </c>
      <c r="G146" s="175"/>
      <c r="H146" s="177"/>
      <c r="I146" s="178" t="s">
        <v>217</v>
      </c>
      <c r="J146" s="178" t="s">
        <v>218</v>
      </c>
      <c r="K146" s="28"/>
      <c r="L146" s="29"/>
      <c r="M146" s="29"/>
      <c r="N146" s="29"/>
      <c r="O146" s="29"/>
      <c r="P146" s="29"/>
      <c r="Q146" s="28"/>
      <c r="R146" s="28"/>
      <c r="S146" s="28"/>
      <c r="T146" s="28"/>
      <c r="U146" s="28"/>
      <c r="V146" s="28"/>
      <c r="W146" s="28"/>
      <c r="X146" s="28"/>
      <c r="Y146" s="28"/>
      <c r="Z146" s="28"/>
    </row>
    <row r="147" customFormat="false" ht="12.75" hidden="false" customHeight="true" outlineLevel="0" collapsed="false">
      <c r="A147" s="20" t="s">
        <v>166</v>
      </c>
      <c r="B147" s="179" t="str">
        <f aca="false">INDEX('imp-questions'!D:D, MATCH(A147, 'imp-questions'!A:A, 0))</f>
        <v>Architecture Validation</v>
      </c>
      <c r="C147" s="180" t="n">
        <f aca="false">INDEX('imp-questions'!E:E, MATCH(A147, 'imp-questions'!A:A, 0))</f>
        <v>1</v>
      </c>
      <c r="D147" s="55" t="str">
        <f aca="false">INDEX('imp-questions'!F:F, MATCH(A147, 'imp-questions'!A:A, 0))</f>
        <v>Do you review the application architecture for key security objectives on an ad-hoc basis?</v>
      </c>
      <c r="E147" s="56" t="str">
        <f aca="false">CHAR(65+INDEX('imp-questions'!H:H, MATCH(A147, 'imp-questions'!A:A, 0)))</f>
        <v>A</v>
      </c>
      <c r="F147" s="111"/>
      <c r="G147" s="88" t="n">
        <f aca="true">IFERROR(INDEX(INDIRECT("Ans" &amp; E147 &amp; "TBL"), MATCH(F147, INDEX(INDIRECT("Ans" &amp; E147 &amp; "TBL"), 0, 1), 0), 2), 0)</f>
        <v>0</v>
      </c>
      <c r="H147" s="58" t="n">
        <f aca="false">IFERROR(AVERAGE(G147,G154),0)</f>
        <v>0</v>
      </c>
      <c r="I147" s="95"/>
      <c r="J147" s="181" t="n">
        <f aca="false">SUM(H147,H149,H151)</f>
        <v>0</v>
      </c>
      <c r="K147" s="28"/>
      <c r="L147" s="29"/>
      <c r="M147" s="29"/>
      <c r="N147" s="29"/>
      <c r="O147" s="29"/>
      <c r="P147" s="29"/>
      <c r="Q147" s="28"/>
      <c r="R147" s="28"/>
      <c r="S147" s="28"/>
      <c r="T147" s="28"/>
      <c r="U147" s="28"/>
      <c r="V147" s="28"/>
      <c r="W147" s="28"/>
      <c r="X147" s="28"/>
      <c r="Y147" s="28"/>
      <c r="Z147" s="28"/>
    </row>
    <row r="148" customFormat="false" ht="55.5" hidden="false" customHeight="true" outlineLevel="0" collapsed="false">
      <c r="B148" s="179"/>
      <c r="C148" s="182"/>
      <c r="D148" s="183" t="str">
        <f aca="false">INDEX('imp-questions'!G:G, MATCH(A147, 'imp-questions'!A:A, 0))</f>
        <v>You have an agreed upon model of the overall software architecture
 You include components, interfaces, and integrations in the architecture model
 You verify the correct provision of general security mechanisms
 You log missing security controls as defects</v>
      </c>
      <c r="E148" s="184"/>
      <c r="F148" s="185"/>
      <c r="G148" s="92"/>
      <c r="H148" s="96"/>
      <c r="I148" s="95"/>
      <c r="J148" s="181"/>
      <c r="K148" s="28"/>
      <c r="L148" s="29"/>
      <c r="M148" s="29"/>
      <c r="N148" s="29"/>
      <c r="O148" s="29"/>
      <c r="P148" s="29"/>
      <c r="Q148" s="28"/>
      <c r="R148" s="28"/>
      <c r="S148" s="28"/>
      <c r="T148" s="28"/>
      <c r="U148" s="28"/>
      <c r="V148" s="28"/>
      <c r="W148" s="28"/>
      <c r="X148" s="28"/>
      <c r="Y148" s="28"/>
      <c r="Z148" s="28"/>
    </row>
    <row r="149" customFormat="false" ht="14.15" hidden="false" customHeight="false" outlineLevel="0" collapsed="false">
      <c r="A149" s="20" t="s">
        <v>167</v>
      </c>
      <c r="B149" s="179"/>
      <c r="C149" s="180" t="n">
        <f aca="false">INDEX('imp-questions'!E:E, MATCH(A149, 'imp-questions'!A:A, 0))</f>
        <v>2</v>
      </c>
      <c r="D149" s="55" t="str">
        <f aca="false">INDEX('imp-questions'!F:F, MATCH(A149, 'imp-questions'!A:A, 0))</f>
        <v>Do you regularly review the security mechanisms of your architecture?</v>
      </c>
      <c r="E149" s="56" t="str">
        <f aca="false">CHAR(65+INDEX('imp-questions'!H:H, MATCH(A149, 'imp-questions'!A:A, 0)))</f>
        <v>A</v>
      </c>
      <c r="F149" s="111"/>
      <c r="G149" s="88" t="n">
        <f aca="true">IFERROR(INDEX(INDIRECT("Ans" &amp; E149 &amp; "TBL"), MATCH(F149, INDEX(INDIRECT("Ans" &amp; E149 &amp; "TBL"), 0, 1), 0), 2), 0)</f>
        <v>0</v>
      </c>
      <c r="H149" s="58" t="n">
        <f aca="false">IFERROR(AVERAGE(G149,G156),0)</f>
        <v>0</v>
      </c>
      <c r="I149" s="97"/>
      <c r="J149" s="27"/>
      <c r="K149" s="28"/>
      <c r="L149" s="29"/>
      <c r="M149" s="29"/>
      <c r="N149" s="29"/>
      <c r="O149" s="29"/>
      <c r="P149" s="29"/>
      <c r="Q149" s="28"/>
      <c r="R149" s="28"/>
      <c r="S149" s="28"/>
      <c r="T149" s="28"/>
      <c r="U149" s="28"/>
      <c r="V149" s="28"/>
      <c r="W149" s="28"/>
      <c r="X149" s="28"/>
      <c r="Y149" s="28"/>
      <c r="Z149" s="28"/>
    </row>
    <row r="150" customFormat="false" ht="55.5" hidden="false" customHeight="true" outlineLevel="0" collapsed="false">
      <c r="B150" s="179"/>
      <c r="C150" s="182"/>
      <c r="D150" s="183" t="str">
        <f aca="false">INDEX('imp-questions'!G:G, MATCH(A149, 'imp-questions'!A:A, 0))</f>
        <v>You review compliance with internal and external requirements
 You systematically review each interface in the system
 You use a formalized review method and structured validation
 You log missing security mechanisms as defects</v>
      </c>
      <c r="E150" s="184"/>
      <c r="F150" s="185"/>
      <c r="G150" s="92"/>
      <c r="H150" s="98"/>
      <c r="I150" s="97"/>
      <c r="J150" s="27"/>
      <c r="K150" s="28"/>
      <c r="L150" s="29"/>
      <c r="M150" s="29"/>
      <c r="N150" s="29"/>
      <c r="O150" s="29"/>
      <c r="P150" s="29"/>
      <c r="Q150" s="28"/>
      <c r="R150" s="28"/>
      <c r="S150" s="28"/>
      <c r="T150" s="28"/>
      <c r="U150" s="28"/>
      <c r="V150" s="28"/>
      <c r="W150" s="28"/>
      <c r="X150" s="28"/>
      <c r="Y150" s="28"/>
      <c r="Z150" s="28"/>
    </row>
    <row r="151" customFormat="false" ht="14.15" hidden="false" customHeight="false" outlineLevel="0" collapsed="false">
      <c r="A151" s="20" t="s">
        <v>168</v>
      </c>
      <c r="B151" s="179"/>
      <c r="C151" s="180" t="n">
        <f aca="false">INDEX('imp-questions'!E:E, MATCH(A151, 'imp-questions'!A:A, 0))</f>
        <v>3</v>
      </c>
      <c r="D151" s="55" t="str">
        <f aca="false">INDEX('imp-questions'!F:F, MATCH(A151, 'imp-questions'!A:A, 0))</f>
        <v>Do you regularly review the effectiveness of the security controls?</v>
      </c>
      <c r="E151" s="56" t="str">
        <f aca="false">CHAR(65+INDEX('imp-questions'!H:H, MATCH(A151, 'imp-questions'!A:A, 0)))</f>
        <v>A</v>
      </c>
      <c r="F151" s="111"/>
      <c r="G151" s="88" t="n">
        <f aca="true">IFERROR(INDEX(INDIRECT("Ans" &amp; E151 &amp; "TBL"), MATCH(F151, INDEX(INDIRECT("Ans" &amp; E151 &amp; "TBL"), 0, 1), 0), 2), 0)</f>
        <v>0</v>
      </c>
      <c r="H151" s="58" t="n">
        <f aca="false">IFERROR(AVERAGE(G151,G158),0)</f>
        <v>0</v>
      </c>
      <c r="I151" s="99"/>
      <c r="J151" s="27"/>
      <c r="K151" s="28"/>
      <c r="L151" s="29"/>
      <c r="M151" s="29"/>
      <c r="N151" s="29"/>
      <c r="O151" s="29"/>
      <c r="P151" s="29"/>
      <c r="Q151" s="28"/>
      <c r="R151" s="28"/>
      <c r="S151" s="28"/>
      <c r="T151" s="28"/>
      <c r="U151" s="28"/>
      <c r="V151" s="28"/>
      <c r="W151" s="28"/>
      <c r="X151" s="28"/>
      <c r="Y151" s="28"/>
      <c r="Z151" s="28"/>
    </row>
    <row r="152" customFormat="false" ht="55.5" hidden="false" customHeight="true" outlineLevel="0" collapsed="false">
      <c r="B152" s="179"/>
      <c r="C152" s="182"/>
      <c r="D152" s="183" t="str">
        <f aca="false">INDEX('imp-questions'!G:G, MATCH(A151, 'imp-questions'!A:A, 0))</f>
        <v>You evaluate the preventive, detective, and response capabilities of security controls
 You evaluate the strategy alignment, appropriate support, and scalability of security controls
 You evaluate the effectiveness at least yearly
 You log identified shortcomings as defects</v>
      </c>
      <c r="E152" s="184"/>
      <c r="F152" s="185"/>
      <c r="G152" s="92"/>
      <c r="H152" s="98"/>
      <c r="I152" s="99"/>
      <c r="J152" s="27"/>
      <c r="K152" s="28"/>
      <c r="L152" s="29"/>
      <c r="M152" s="29"/>
      <c r="N152" s="29"/>
      <c r="O152" s="29"/>
      <c r="P152" s="29"/>
      <c r="Q152" s="28"/>
      <c r="R152" s="28"/>
      <c r="S152" s="28"/>
      <c r="T152" s="28"/>
      <c r="U152" s="28"/>
      <c r="V152" s="28"/>
      <c r="W152" s="28"/>
      <c r="X152" s="28"/>
      <c r="Y152" s="28"/>
      <c r="Z152" s="28"/>
    </row>
    <row r="153" customFormat="false" ht="12.75" hidden="false" customHeight="false" outlineLevel="0" collapsed="false">
      <c r="B153" s="74"/>
      <c r="C153" s="75"/>
      <c r="D153" s="76"/>
      <c r="E153" s="76"/>
      <c r="F153" s="76"/>
      <c r="G153" s="76"/>
      <c r="H153" s="124"/>
      <c r="I153" s="77"/>
      <c r="J153" s="71"/>
      <c r="K153" s="28"/>
      <c r="L153" s="29"/>
      <c r="M153" s="29"/>
      <c r="N153" s="29"/>
      <c r="O153" s="29"/>
      <c r="P153" s="29"/>
      <c r="Q153" s="28"/>
      <c r="R153" s="28"/>
      <c r="S153" s="28"/>
      <c r="T153" s="28"/>
      <c r="U153" s="28"/>
      <c r="V153" s="28"/>
      <c r="W153" s="28"/>
      <c r="X153" s="28"/>
      <c r="Y153" s="28"/>
      <c r="Z153" s="28"/>
    </row>
    <row r="154" customFormat="false" ht="15" hidden="false" customHeight="true" outlineLevel="0" collapsed="false">
      <c r="A154" s="20" t="s">
        <v>169</v>
      </c>
      <c r="B154" s="179" t="str">
        <f aca="false">INDEX('imp-questions'!D:D, MATCH(A154, 'imp-questions'!A:A, 0))</f>
        <v>Architecture Mitigation</v>
      </c>
      <c r="C154" s="186" t="n">
        <f aca="false">INDEX('imp-questions'!E:E, MATCH(A154, 'imp-questions'!A:A, 0))</f>
        <v>1</v>
      </c>
      <c r="D154" s="55" t="str">
        <f aca="false">INDEX('imp-questions'!F:F, MATCH(A154, 'imp-questions'!A:A, 0))</f>
        <v>Do you review the application architecture for mitigations of typical threats on an ad-hoc basis?</v>
      </c>
      <c r="E154" s="56" t="str">
        <f aca="false">CHAR(65+INDEX('imp-questions'!H:H, MATCH(A154, 'imp-questions'!A:A, 0)))</f>
        <v>A</v>
      </c>
      <c r="F154" s="111"/>
      <c r="G154" s="88" t="n">
        <f aca="true">IFERROR(INDEX(INDIRECT("Ans" &amp; E154 &amp; "TBL"), MATCH(F154, INDEX(INDIRECT("Ans" &amp; E154 &amp; "TBL"), 0, 1), 0), 2), 0)</f>
        <v>0</v>
      </c>
      <c r="H154" s="89"/>
      <c r="I154" s="95"/>
      <c r="J154" s="71"/>
      <c r="K154" s="28"/>
      <c r="L154" s="29"/>
      <c r="M154" s="29"/>
      <c r="N154" s="29"/>
      <c r="O154" s="29"/>
      <c r="P154" s="29"/>
      <c r="Q154" s="28"/>
      <c r="R154" s="28"/>
      <c r="S154" s="28"/>
      <c r="T154" s="28"/>
      <c r="U154" s="28"/>
      <c r="V154" s="28"/>
      <c r="W154" s="28"/>
      <c r="X154" s="28"/>
      <c r="Y154" s="28"/>
      <c r="Z154" s="28"/>
    </row>
    <row r="155" customFormat="false" ht="42" hidden="false" customHeight="true" outlineLevel="0" collapsed="false">
      <c r="B155" s="179"/>
      <c r="C155" s="182"/>
      <c r="D155" s="183" t="str">
        <f aca="false">INDEX('imp-questions'!G:G, MATCH(A154, 'imp-questions'!A:A, 0))</f>
        <v>You have an agreed upon model of the overall software architecture
 Security savvy staff conduct the review
 You consider different types of threats, including insider and data-related ones</v>
      </c>
      <c r="E155" s="184"/>
      <c r="F155" s="185"/>
      <c r="G155" s="92"/>
      <c r="H155" s="143"/>
      <c r="I155" s="95"/>
      <c r="J155" s="71"/>
      <c r="K155" s="28"/>
      <c r="L155" s="29"/>
      <c r="M155" s="29"/>
      <c r="N155" s="29"/>
      <c r="O155" s="29"/>
      <c r="P155" s="29"/>
      <c r="Q155" s="28"/>
      <c r="R155" s="28"/>
      <c r="S155" s="28"/>
      <c r="T155" s="28"/>
      <c r="U155" s="28"/>
      <c r="V155" s="28"/>
      <c r="W155" s="28"/>
      <c r="X155" s="28"/>
      <c r="Y155" s="28"/>
      <c r="Z155" s="28"/>
    </row>
    <row r="156" customFormat="false" ht="14.15" hidden="false" customHeight="false" outlineLevel="0" collapsed="false">
      <c r="A156" s="20" t="s">
        <v>170</v>
      </c>
      <c r="B156" s="179"/>
      <c r="C156" s="180" t="n">
        <f aca="false">INDEX('imp-questions'!E:E, MATCH(A156, 'imp-questions'!A:A, 0))</f>
        <v>2</v>
      </c>
      <c r="D156" s="55" t="str">
        <f aca="false">INDEX('imp-questions'!F:F, MATCH(A156, 'imp-questions'!A:A, 0))</f>
        <v>Do you regularly evaluate the threats to your architecture?</v>
      </c>
      <c r="E156" s="56" t="str">
        <f aca="false">CHAR(65+INDEX('imp-questions'!H:H, MATCH(A156, 'imp-questions'!A:A, 0)))</f>
        <v>A</v>
      </c>
      <c r="F156" s="111"/>
      <c r="G156" s="88" t="n">
        <f aca="true">IFERROR(INDEX(INDIRECT("Ans" &amp; E156 &amp; "TBL"), MATCH(F156, INDEX(INDIRECT("Ans" &amp; E156 &amp; "TBL"), 0, 1), 0), 2), 0)</f>
        <v>0</v>
      </c>
      <c r="H156" s="89"/>
      <c r="I156" s="95"/>
      <c r="J156" s="71"/>
      <c r="K156" s="28"/>
      <c r="L156" s="29"/>
      <c r="M156" s="29"/>
      <c r="N156" s="29"/>
      <c r="O156" s="29"/>
      <c r="P156" s="29"/>
      <c r="Q156" s="28"/>
      <c r="R156" s="28"/>
      <c r="S156" s="28"/>
      <c r="T156" s="28"/>
      <c r="U156" s="28"/>
      <c r="V156" s="28"/>
      <c r="W156" s="28"/>
      <c r="X156" s="28"/>
      <c r="Y156" s="28"/>
      <c r="Z156" s="28"/>
    </row>
    <row r="157" customFormat="false" ht="55.5" hidden="false" customHeight="true" outlineLevel="0" collapsed="false">
      <c r="B157" s="179"/>
      <c r="C157" s="182"/>
      <c r="D157" s="183" t="str">
        <f aca="false">INDEX('imp-questions'!G:G, MATCH(A156, 'imp-questions'!A:A, 0))</f>
        <v>You systematically review each threat identified in the Threat Assessment
 Trained or experienced people lead review exercise
 You identify mitigating design-level features for each identified threat
 You log unhandled threats as defects</v>
      </c>
      <c r="E157" s="184"/>
      <c r="F157" s="185"/>
      <c r="G157" s="92"/>
      <c r="H157" s="143"/>
      <c r="I157" s="95"/>
      <c r="J157" s="71"/>
      <c r="K157" s="28"/>
      <c r="L157" s="29"/>
      <c r="M157" s="29"/>
      <c r="N157" s="29"/>
      <c r="O157" s="29"/>
      <c r="P157" s="29"/>
      <c r="Q157" s="28"/>
      <c r="R157" s="28"/>
      <c r="S157" s="28"/>
      <c r="T157" s="28"/>
      <c r="U157" s="28"/>
      <c r="V157" s="28"/>
      <c r="W157" s="28"/>
      <c r="X157" s="28"/>
      <c r="Y157" s="28"/>
      <c r="Z157" s="28"/>
    </row>
    <row r="158" customFormat="false" ht="14.15" hidden="false" customHeight="false" outlineLevel="0" collapsed="false">
      <c r="A158" s="20" t="s">
        <v>171</v>
      </c>
      <c r="B158" s="179"/>
      <c r="C158" s="180" t="n">
        <f aca="false">INDEX('imp-questions'!E:E, MATCH(A158, 'imp-questions'!A:A, 0))</f>
        <v>3</v>
      </c>
      <c r="D158" s="55" t="str">
        <f aca="false">INDEX('imp-questions'!F:F, MATCH(A158, 'imp-questions'!A:A, 0))</f>
        <v>Do you regularly update your reference architectures based on architecture assessment findings?</v>
      </c>
      <c r="E158" s="56" t="str">
        <f aca="false">CHAR(65+INDEX('imp-questions'!H:H, MATCH(A158, 'imp-questions'!A:A, 0)))</f>
        <v>A</v>
      </c>
      <c r="F158" s="111"/>
      <c r="G158" s="88" t="n">
        <f aca="true">IFERROR(INDEX(INDIRECT("Ans" &amp; E158 &amp; "TBL"), MATCH(F158, INDEX(INDIRECT("Ans" &amp; E158 &amp; "TBL"), 0, 1), 0), 2), 0)</f>
        <v>0</v>
      </c>
      <c r="H158" s="89"/>
      <c r="I158" s="95"/>
      <c r="J158" s="71"/>
      <c r="K158" s="28"/>
      <c r="L158" s="29"/>
      <c r="M158" s="29"/>
      <c r="N158" s="29"/>
      <c r="O158" s="29"/>
      <c r="P158" s="29"/>
      <c r="Q158" s="28"/>
      <c r="R158" s="28"/>
      <c r="S158" s="28"/>
      <c r="T158" s="28"/>
      <c r="U158" s="28"/>
      <c r="V158" s="28"/>
      <c r="W158" s="28"/>
      <c r="X158" s="28"/>
      <c r="Y158" s="28"/>
      <c r="Z158" s="28"/>
    </row>
    <row r="159" customFormat="false" ht="55.5" hidden="false" customHeight="true" outlineLevel="0" collapsed="false">
      <c r="B159" s="179"/>
      <c r="C159" s="182"/>
      <c r="D159" s="187" t="str">
        <f aca="false">INDEX('imp-questions'!G:G, MATCH(A158, 'imp-questions'!A:A, 0))</f>
        <v>You assess your architectures in a standardized, documented manner
 You use recurring findings to trigger a review of reference architectures
 You independently review the quality of the architecture assessments on an ad-hoc basis
 You use reference architecture updates to trigger reviews of relevant shared solutions, in a risk-based manner</v>
      </c>
      <c r="E159" s="184"/>
      <c r="F159" s="185"/>
      <c r="G159" s="92"/>
      <c r="H159" s="93"/>
      <c r="I159" s="95"/>
      <c r="J159" s="71"/>
      <c r="K159" s="28"/>
      <c r="L159" s="29"/>
      <c r="M159" s="29"/>
      <c r="N159" s="29"/>
      <c r="O159" s="29"/>
      <c r="P159" s="29"/>
      <c r="Q159" s="28"/>
      <c r="R159" s="28"/>
      <c r="S159" s="28"/>
      <c r="T159" s="28"/>
      <c r="U159" s="28"/>
      <c r="V159" s="28"/>
      <c r="W159" s="28"/>
      <c r="X159" s="28"/>
      <c r="Y159" s="28"/>
      <c r="Z159" s="28"/>
    </row>
    <row r="160" customFormat="false" ht="14.15" hidden="false" customHeight="true" outlineLevel="0" collapsed="false">
      <c r="B160" s="188" t="s">
        <v>231</v>
      </c>
      <c r="C160" s="188"/>
      <c r="D160" s="188"/>
      <c r="E160" s="176"/>
      <c r="F160" s="175" t="s">
        <v>216</v>
      </c>
      <c r="G160" s="175"/>
      <c r="H160" s="177"/>
      <c r="I160" s="189" t="s">
        <v>217</v>
      </c>
      <c r="J160" s="189" t="s">
        <v>218</v>
      </c>
      <c r="K160" s="28"/>
      <c r="L160" s="29"/>
      <c r="M160" s="29"/>
      <c r="N160" s="29"/>
      <c r="O160" s="29"/>
      <c r="P160" s="29"/>
      <c r="Q160" s="28"/>
      <c r="R160" s="28"/>
      <c r="S160" s="28"/>
      <c r="T160" s="28"/>
      <c r="U160" s="28"/>
      <c r="V160" s="28"/>
      <c r="W160" s="28"/>
      <c r="X160" s="28"/>
      <c r="Y160" s="28"/>
      <c r="Z160" s="28"/>
    </row>
    <row r="161" customFormat="false" ht="13.5" hidden="false" customHeight="true" outlineLevel="0" collapsed="false">
      <c r="A161" s="20" t="s">
        <v>172</v>
      </c>
      <c r="B161" s="190" t="str">
        <f aca="false">INDEX('imp-questions'!D:D, MATCH(A161, 'imp-questions'!A:A, 0))</f>
        <v>Control Verification</v>
      </c>
      <c r="C161" s="186" t="n">
        <f aca="false">INDEX('imp-questions'!E:E, MATCH(A161, 'imp-questions'!A:A, 0))</f>
        <v>1</v>
      </c>
      <c r="D161" s="83" t="str">
        <f aca="false">INDEX('imp-questions'!F:F, MATCH(A161, 'imp-questions'!A:A, 0))</f>
        <v>Do you test applications for the correct functioning of standard security controls?</v>
      </c>
      <c r="E161" s="56" t="str">
        <f aca="false">CHAR(65+INDEX('imp-questions'!H:H, MATCH(A161, 'imp-questions'!A:A, 0)))</f>
        <v>B</v>
      </c>
      <c r="F161" s="111"/>
      <c r="G161" s="88" t="n">
        <f aca="true">IFERROR(INDEX(INDIRECT("Ans" &amp; E161 &amp; "TBL"), MATCH(F161, INDEX(INDIRECT("Ans" &amp; E161 &amp; "TBL"), 0, 1), 0), 2), 0)</f>
        <v>0</v>
      </c>
      <c r="H161" s="58" t="n">
        <f aca="false">IFERROR(AVERAGE(G161,G168),0)</f>
        <v>0</v>
      </c>
      <c r="I161" s="95"/>
      <c r="J161" s="181" t="n">
        <f aca="false">SUM(H161,H163,H165)</f>
        <v>0</v>
      </c>
      <c r="K161" s="28"/>
      <c r="L161" s="29"/>
      <c r="M161" s="29"/>
      <c r="N161" s="29"/>
      <c r="O161" s="29"/>
      <c r="P161" s="29"/>
      <c r="Q161" s="28"/>
      <c r="R161" s="28"/>
      <c r="S161" s="28"/>
      <c r="T161" s="28"/>
      <c r="U161" s="28"/>
      <c r="V161" s="28"/>
      <c r="W161" s="28"/>
      <c r="X161" s="28"/>
      <c r="Y161" s="28"/>
      <c r="Z161" s="28"/>
    </row>
    <row r="162" customFormat="false" ht="42" hidden="false" customHeight="true" outlineLevel="0" collapsed="false">
      <c r="B162" s="190"/>
      <c r="C162" s="182"/>
      <c r="D162" s="183" t="str">
        <f aca="false">INDEX('imp-questions'!G:G, MATCH(A161, 'imp-questions'!A:A, 0))</f>
        <v>Security testing at least verifies the implementation of authentication, access control, input validation, encoding and escaping data, and encryption controls
 Security testing executes whenever the application changes its use of the controls</v>
      </c>
      <c r="E162" s="184"/>
      <c r="F162" s="185"/>
      <c r="G162" s="92"/>
      <c r="H162" s="96"/>
      <c r="I162" s="95"/>
      <c r="J162" s="181"/>
      <c r="K162" s="28"/>
      <c r="L162" s="29"/>
      <c r="M162" s="29"/>
      <c r="N162" s="29"/>
      <c r="O162" s="29"/>
      <c r="P162" s="29"/>
      <c r="Q162" s="28"/>
      <c r="R162" s="28"/>
      <c r="S162" s="28"/>
      <c r="T162" s="28"/>
      <c r="U162" s="28"/>
      <c r="V162" s="28"/>
      <c r="W162" s="28"/>
      <c r="X162" s="28"/>
      <c r="Y162" s="28"/>
      <c r="Z162" s="28"/>
    </row>
    <row r="163" customFormat="false" ht="14.15" hidden="false" customHeight="false" outlineLevel="0" collapsed="false">
      <c r="A163" s="20" t="s">
        <v>173</v>
      </c>
      <c r="B163" s="190"/>
      <c r="C163" s="180" t="n">
        <f aca="false">INDEX('imp-questions'!E:E, MATCH(A163, 'imp-questions'!A:A, 0))</f>
        <v>2</v>
      </c>
      <c r="D163" s="55" t="str">
        <f aca="false">INDEX('imp-questions'!F:F, MATCH(A163, 'imp-questions'!A:A, 0))</f>
        <v>Do you consistently write and execute test scripts to verify the functionality of security requirements?</v>
      </c>
      <c r="E163" s="56" t="str">
        <f aca="false">CHAR(65+INDEX('imp-questions'!H:H, MATCH(A163, 'imp-questions'!A:A, 0)))</f>
        <v>B</v>
      </c>
      <c r="F163" s="111"/>
      <c r="G163" s="88" t="n">
        <f aca="true">IFERROR(INDEX(INDIRECT("Ans" &amp; E163 &amp; "TBL"), MATCH(F163, INDEX(INDIRECT("Ans" &amp; E163 &amp; "TBL"), 0, 1), 0), 2), 0)</f>
        <v>0</v>
      </c>
      <c r="H163" s="58" t="n">
        <f aca="false">IFERROR(AVERAGE(G163,G170),0)</f>
        <v>0</v>
      </c>
      <c r="I163" s="97"/>
      <c r="J163" s="27"/>
      <c r="K163" s="28"/>
      <c r="L163" s="29"/>
      <c r="M163" s="29"/>
      <c r="N163" s="29"/>
      <c r="O163" s="29"/>
      <c r="P163" s="29"/>
      <c r="Q163" s="28"/>
      <c r="R163" s="28"/>
      <c r="S163" s="28"/>
      <c r="T163" s="28"/>
      <c r="U163" s="28"/>
      <c r="V163" s="28"/>
      <c r="W163" s="28"/>
      <c r="X163" s="28"/>
      <c r="Y163" s="28"/>
      <c r="Z163" s="28"/>
    </row>
    <row r="164" customFormat="false" ht="42" hidden="false" customHeight="true" outlineLevel="0" collapsed="false">
      <c r="B164" s="190"/>
      <c r="C164" s="182"/>
      <c r="D164" s="183" t="str">
        <f aca="false">INDEX('imp-questions'!G:G, MATCH(A163, 'imp-questions'!A:A, 0))</f>
        <v>You tailor tests to each application and assert expected security functionality
 You capture test results as a pass or fail condition
 Tests use a standardized framework or DSL</v>
      </c>
      <c r="E164" s="184"/>
      <c r="F164" s="185"/>
      <c r="G164" s="92"/>
      <c r="H164" s="98"/>
      <c r="I164" s="97"/>
      <c r="J164" s="27"/>
      <c r="K164" s="28"/>
      <c r="L164" s="29"/>
      <c r="M164" s="29"/>
      <c r="N164" s="29"/>
      <c r="O164" s="29"/>
      <c r="P164" s="29"/>
      <c r="Q164" s="28"/>
      <c r="R164" s="28"/>
      <c r="S164" s="28"/>
      <c r="T164" s="28"/>
      <c r="U164" s="28"/>
      <c r="V164" s="28"/>
      <c r="W164" s="28"/>
      <c r="X164" s="28"/>
      <c r="Y164" s="28"/>
      <c r="Z164" s="28"/>
    </row>
    <row r="165" customFormat="false" ht="14.15" hidden="false" customHeight="false" outlineLevel="0" collapsed="false">
      <c r="A165" s="20" t="s">
        <v>174</v>
      </c>
      <c r="B165" s="190"/>
      <c r="C165" s="180" t="n">
        <f aca="false">INDEX('imp-questions'!E:E, MATCH(A165, 'imp-questions'!A:A, 0))</f>
        <v>3</v>
      </c>
      <c r="D165" s="55" t="str">
        <f aca="false">INDEX('imp-questions'!F:F, MATCH(A165, 'imp-questions'!A:A, 0))</f>
        <v>Do you automatically test applications for security regressions?</v>
      </c>
      <c r="E165" s="56" t="str">
        <f aca="false">CHAR(65+INDEX('imp-questions'!H:H, MATCH(A165, 'imp-questions'!A:A, 0)))</f>
        <v>A</v>
      </c>
      <c r="F165" s="111"/>
      <c r="G165" s="88" t="n">
        <f aca="true">IFERROR(INDEX(INDIRECT("Ans" &amp; E165 &amp; "TBL"), MATCH(F165, INDEX(INDIRECT("Ans" &amp; E165 &amp; "TBL"), 0, 1), 0), 2), 0)</f>
        <v>0</v>
      </c>
      <c r="H165" s="58" t="n">
        <f aca="false">IFERROR(AVERAGE(G165,G172),0)</f>
        <v>0</v>
      </c>
      <c r="I165" s="99"/>
      <c r="J165" s="27"/>
      <c r="K165" s="28"/>
      <c r="L165" s="29"/>
      <c r="M165" s="29"/>
      <c r="N165" s="29"/>
      <c r="O165" s="29"/>
      <c r="P165" s="29"/>
      <c r="Q165" s="28"/>
      <c r="R165" s="28"/>
      <c r="S165" s="28"/>
      <c r="T165" s="28"/>
      <c r="U165" s="28"/>
      <c r="V165" s="28"/>
      <c r="W165" s="28"/>
      <c r="X165" s="28"/>
      <c r="Y165" s="28"/>
      <c r="Z165" s="28"/>
    </row>
    <row r="166" customFormat="false" ht="27.75" hidden="false" customHeight="true" outlineLevel="0" collapsed="false">
      <c r="B166" s="190"/>
      <c r="C166" s="182"/>
      <c r="D166" s="183" t="str">
        <f aca="false">INDEX('imp-questions'!G:G, MATCH(A165, 'imp-questions'!A:A, 0))</f>
        <v>You consistently write tests for all identified bugs (possibly exceeding a pre-defined severity threshold)
 You collect security tests in a test suite that is part of the existing unit testing framework</v>
      </c>
      <c r="E166" s="184"/>
      <c r="F166" s="185"/>
      <c r="G166" s="92"/>
      <c r="H166" s="98"/>
      <c r="I166" s="99"/>
      <c r="J166" s="27"/>
      <c r="K166" s="28"/>
      <c r="L166" s="29"/>
      <c r="M166" s="29"/>
      <c r="N166" s="29"/>
      <c r="O166" s="29"/>
      <c r="P166" s="29"/>
      <c r="Q166" s="28"/>
      <c r="R166" s="28"/>
      <c r="S166" s="28"/>
      <c r="T166" s="28"/>
      <c r="U166" s="28"/>
      <c r="V166" s="28"/>
      <c r="W166" s="28"/>
      <c r="X166" s="28"/>
      <c r="Y166" s="28"/>
      <c r="Z166" s="28"/>
    </row>
    <row r="167" customFormat="false" ht="12.75" hidden="false" customHeight="false" outlineLevel="0" collapsed="false">
      <c r="B167" s="74"/>
      <c r="C167" s="75"/>
      <c r="D167" s="76"/>
      <c r="E167" s="76"/>
      <c r="F167" s="76"/>
      <c r="G167" s="76"/>
      <c r="H167" s="124"/>
      <c r="I167" s="77"/>
      <c r="J167" s="71"/>
      <c r="K167" s="28"/>
      <c r="L167" s="29"/>
      <c r="M167" s="29"/>
      <c r="N167" s="29"/>
      <c r="O167" s="29"/>
      <c r="P167" s="29"/>
      <c r="Q167" s="28"/>
      <c r="R167" s="28"/>
      <c r="S167" s="28"/>
      <c r="T167" s="28"/>
      <c r="U167" s="28"/>
      <c r="V167" s="28"/>
      <c r="W167" s="28"/>
      <c r="X167" s="28"/>
      <c r="Y167" s="28"/>
      <c r="Z167" s="28"/>
    </row>
    <row r="168" customFormat="false" ht="15" hidden="false" customHeight="true" outlineLevel="0" collapsed="false">
      <c r="A168" s="20" t="s">
        <v>175</v>
      </c>
      <c r="B168" s="179" t="str">
        <f aca="false">INDEX('imp-questions'!D:D, MATCH(A168, 'imp-questions'!A:A, 0))</f>
        <v>Misuse/Abuse Testing</v>
      </c>
      <c r="C168" s="186" t="n">
        <f aca="false">INDEX('imp-questions'!E:E, MATCH(A168, 'imp-questions'!A:A, 0))</f>
        <v>1</v>
      </c>
      <c r="D168" s="55" t="str">
        <f aca="false">INDEX('imp-questions'!F:F, MATCH(A168, 'imp-questions'!A:A, 0))</f>
        <v>Do you test applications using randomization or fuzzing techniques?</v>
      </c>
      <c r="E168" s="56" t="str">
        <f aca="false">CHAR(65+INDEX('imp-questions'!H:H, MATCH(A168, 'imp-questions'!A:A, 0)))</f>
        <v>A</v>
      </c>
      <c r="F168" s="111"/>
      <c r="G168" s="88" t="n">
        <f aca="true">IFERROR(INDEX(INDIRECT("Ans" &amp; E168 &amp; "TBL"), MATCH(F168, INDEX(INDIRECT("Ans" &amp; E168 &amp; "TBL"), 0, 1), 0), 2), 0)</f>
        <v>0</v>
      </c>
      <c r="H168" s="89"/>
      <c r="I168" s="95"/>
      <c r="J168" s="71"/>
      <c r="K168" s="28"/>
      <c r="L168" s="29"/>
      <c r="M168" s="29"/>
      <c r="N168" s="29"/>
      <c r="O168" s="29"/>
      <c r="P168" s="29"/>
      <c r="Q168" s="28"/>
      <c r="R168" s="28"/>
      <c r="S168" s="28"/>
      <c r="T168" s="28"/>
      <c r="U168" s="28"/>
      <c r="V168" s="28"/>
      <c r="W168" s="28"/>
      <c r="X168" s="28"/>
      <c r="Y168" s="28"/>
      <c r="Z168" s="28"/>
    </row>
    <row r="169" customFormat="false" ht="27.75" hidden="false" customHeight="true" outlineLevel="0" collapsed="false">
      <c r="B169" s="179"/>
      <c r="C169" s="182"/>
      <c r="D169" s="183" t="str">
        <f aca="false">INDEX('imp-questions'!G:G, MATCH(A168, 'imp-questions'!A:A, 0))</f>
        <v>Testing covers most or all of the application's main input parameters
 You record and inspect all application crashes for security impact on a best-effort basis</v>
      </c>
      <c r="E169" s="184"/>
      <c r="F169" s="185"/>
      <c r="G169" s="92"/>
      <c r="H169" s="143"/>
      <c r="I169" s="95"/>
      <c r="J169" s="71"/>
      <c r="K169" s="28"/>
      <c r="L169" s="29"/>
      <c r="M169" s="29"/>
      <c r="N169" s="29"/>
      <c r="O169" s="29"/>
      <c r="P169" s="29"/>
      <c r="Q169" s="28"/>
      <c r="R169" s="28"/>
      <c r="S169" s="28"/>
      <c r="T169" s="28"/>
      <c r="U169" s="28"/>
      <c r="V169" s="28"/>
      <c r="W169" s="28"/>
      <c r="X169" s="28"/>
      <c r="Y169" s="28"/>
      <c r="Z169" s="28"/>
    </row>
    <row r="170" customFormat="false" ht="14.15" hidden="false" customHeight="false" outlineLevel="0" collapsed="false">
      <c r="A170" s="20" t="s">
        <v>176</v>
      </c>
      <c r="B170" s="179"/>
      <c r="C170" s="180" t="n">
        <f aca="false">INDEX('imp-questions'!E:E, MATCH(A170, 'imp-questions'!A:A, 0))</f>
        <v>2</v>
      </c>
      <c r="D170" s="55" t="str">
        <f aca="false">INDEX('imp-questions'!F:F, MATCH(A170, 'imp-questions'!A:A, 0))</f>
        <v>Do you create abuse cases from functional requirements and use them to drive security tests?</v>
      </c>
      <c r="E170" s="56" t="str">
        <f aca="false">CHAR(65+INDEX('imp-questions'!H:H, MATCH(A170, 'imp-questions'!A:A, 0)))</f>
        <v>E</v>
      </c>
      <c r="F170" s="191"/>
      <c r="G170" s="88" t="n">
        <f aca="true">IFERROR(INDEX(INDIRECT("Ans" &amp; E170 &amp; "TBL"), MATCH(F170, INDEX(INDIRECT("Ans" &amp; E170 &amp; "TBL"), 0, 1), 0), 2), 0)</f>
        <v>0</v>
      </c>
      <c r="H170" s="89"/>
      <c r="I170" s="95"/>
      <c r="J170" s="71"/>
      <c r="K170" s="28"/>
      <c r="L170" s="29"/>
      <c r="M170" s="29"/>
      <c r="N170" s="29"/>
      <c r="O170" s="29"/>
      <c r="P170" s="29"/>
      <c r="Q170" s="28"/>
      <c r="R170" s="28"/>
      <c r="S170" s="28"/>
      <c r="T170" s="28"/>
      <c r="U170" s="28"/>
      <c r="V170" s="28"/>
      <c r="W170" s="28"/>
      <c r="X170" s="28"/>
      <c r="Y170" s="28"/>
      <c r="Z170" s="28"/>
    </row>
    <row r="171" customFormat="false" ht="42" hidden="false" customHeight="true" outlineLevel="0" collapsed="false">
      <c r="B171" s="179"/>
      <c r="C171" s="182"/>
      <c r="D171" s="183" t="str">
        <f aca="false">INDEX('imp-questions'!G:G, MATCH(A170, 'imp-questions'!A:A, 0))</f>
        <v>Important business functionality has corresponding abuse cases
 You build abuse stories around relevant personas with well-defined motivations and characteristics
 You capture identified weaknesses as security requirements</v>
      </c>
      <c r="E171" s="184"/>
      <c r="F171" s="185"/>
      <c r="G171" s="92"/>
      <c r="H171" s="143"/>
      <c r="I171" s="95"/>
      <c r="J171" s="71"/>
      <c r="K171" s="28"/>
      <c r="L171" s="29"/>
      <c r="M171" s="29"/>
      <c r="N171" s="29"/>
      <c r="O171" s="29"/>
      <c r="P171" s="29"/>
      <c r="Q171" s="28"/>
      <c r="R171" s="28"/>
      <c r="S171" s="28"/>
      <c r="T171" s="28"/>
      <c r="U171" s="28"/>
      <c r="V171" s="28"/>
      <c r="W171" s="28"/>
      <c r="X171" s="28"/>
      <c r="Y171" s="28"/>
      <c r="Z171" s="28"/>
    </row>
    <row r="172" customFormat="false" ht="14.15" hidden="false" customHeight="false" outlineLevel="0" collapsed="false">
      <c r="A172" s="20" t="s">
        <v>177</v>
      </c>
      <c r="B172" s="179"/>
      <c r="C172" s="180" t="n">
        <f aca="false">INDEX('imp-questions'!E:E, MATCH(A172, 'imp-questions'!A:A, 0))</f>
        <v>3</v>
      </c>
      <c r="D172" s="55" t="str">
        <f aca="false">INDEX('imp-questions'!F:F, MATCH(A172, 'imp-questions'!A:A, 0))</f>
        <v>Do you perform denial of service and security stress testing?</v>
      </c>
      <c r="E172" s="56" t="str">
        <f aca="false">CHAR(65+INDEX('imp-questions'!H:H, MATCH(A172, 'imp-questions'!A:A, 0)))</f>
        <v>E</v>
      </c>
      <c r="F172" s="191"/>
      <c r="G172" s="88" t="n">
        <f aca="true">IFERROR(INDEX(INDIRECT("Ans" &amp; E172 &amp; "TBL"), MATCH(F172, INDEX(INDIRECT("Ans" &amp; E172 &amp; "TBL"), 0, 1), 0), 2), 0)</f>
        <v>0</v>
      </c>
      <c r="H172" s="89"/>
      <c r="I172" s="95"/>
      <c r="J172" s="71"/>
      <c r="K172" s="28"/>
      <c r="L172" s="29"/>
      <c r="M172" s="29"/>
      <c r="N172" s="29"/>
      <c r="O172" s="29"/>
      <c r="P172" s="29"/>
      <c r="Q172" s="28"/>
      <c r="R172" s="28"/>
      <c r="S172" s="28"/>
      <c r="T172" s="28"/>
      <c r="U172" s="28"/>
      <c r="V172" s="28"/>
      <c r="W172" s="28"/>
      <c r="X172" s="28"/>
      <c r="Y172" s="28"/>
      <c r="Z172" s="28"/>
    </row>
    <row r="173" customFormat="false" ht="42" hidden="false" customHeight="true" outlineLevel="0" collapsed="false">
      <c r="B173" s="179"/>
      <c r="C173" s="182"/>
      <c r="D173" s="187" t="str">
        <f aca="false">INDEX('imp-questions'!G:G, MATCH(A172, 'imp-questions'!A:A, 0))</f>
        <v>Stress tests target specific application resources (e.g. memory exhaustion by saving large amounts of data to a user session)
 You design tests around relevant personas with well-defined capabilities (knowledge, resources)
 You feed the results back to the Design practices</v>
      </c>
      <c r="E173" s="184"/>
      <c r="F173" s="185"/>
      <c r="G173" s="92"/>
      <c r="H173" s="93"/>
      <c r="I173" s="95"/>
      <c r="J173" s="71"/>
      <c r="K173" s="28"/>
      <c r="L173" s="29"/>
      <c r="M173" s="29"/>
      <c r="N173" s="29"/>
      <c r="O173" s="29"/>
      <c r="P173" s="29"/>
      <c r="Q173" s="28"/>
      <c r="R173" s="28"/>
      <c r="S173" s="28"/>
      <c r="T173" s="28"/>
      <c r="U173" s="28"/>
      <c r="V173" s="28"/>
      <c r="W173" s="28"/>
      <c r="X173" s="28"/>
      <c r="Y173" s="28"/>
      <c r="Z173" s="28"/>
    </row>
    <row r="174" customFormat="false" ht="14.15" hidden="false" customHeight="true" outlineLevel="0" collapsed="false">
      <c r="B174" s="188" t="s">
        <v>232</v>
      </c>
      <c r="C174" s="188"/>
      <c r="D174" s="188"/>
      <c r="E174" s="176"/>
      <c r="F174" s="175" t="s">
        <v>216</v>
      </c>
      <c r="G174" s="175"/>
      <c r="H174" s="177"/>
      <c r="I174" s="189" t="s">
        <v>217</v>
      </c>
      <c r="J174" s="189" t="s">
        <v>218</v>
      </c>
      <c r="K174" s="28"/>
      <c r="L174" s="29"/>
      <c r="M174" s="29"/>
      <c r="N174" s="29"/>
      <c r="O174" s="29"/>
      <c r="P174" s="29"/>
      <c r="Q174" s="28"/>
      <c r="R174" s="28"/>
      <c r="S174" s="28"/>
      <c r="T174" s="28"/>
      <c r="U174" s="28"/>
      <c r="V174" s="28"/>
      <c r="W174" s="28"/>
      <c r="X174" s="28"/>
      <c r="Y174" s="28"/>
      <c r="Z174" s="28"/>
    </row>
    <row r="175" customFormat="false" ht="13.5" hidden="false" customHeight="true" outlineLevel="0" collapsed="false">
      <c r="A175" s="20" t="s">
        <v>178</v>
      </c>
      <c r="B175" s="190" t="str">
        <f aca="false">INDEX('imp-questions'!D:D, MATCH(A175, 'imp-questions'!A:A, 0))</f>
        <v>Scalable Baseline</v>
      </c>
      <c r="C175" s="186" t="n">
        <f aca="false">INDEX('imp-questions'!E:E, MATCH(A175, 'imp-questions'!A:A, 0))</f>
        <v>1</v>
      </c>
      <c r="D175" s="83" t="str">
        <f aca="false">INDEX('imp-questions'!F:F, MATCH(A175, 'imp-questions'!A:A, 0))</f>
        <v>Do you scan applications with automated security testing tools?</v>
      </c>
      <c r="E175" s="56" t="str">
        <f aca="false">CHAR(65+INDEX('imp-questions'!H:H, MATCH(A175, 'imp-questions'!A:A, 0)))</f>
        <v>B</v>
      </c>
      <c r="F175" s="111"/>
      <c r="G175" s="88" t="n">
        <f aca="true">IFERROR(INDEX(INDIRECT("Ans" &amp; E175 &amp; "TBL"), MATCH(F175, INDEX(INDIRECT("Ans" &amp; E175 &amp; "TBL"), 0, 1), 0), 2), 0)</f>
        <v>0</v>
      </c>
      <c r="H175" s="58" t="n">
        <f aca="false">IFERROR(AVERAGE(G175,G182),0)</f>
        <v>0</v>
      </c>
      <c r="I175" s="95"/>
      <c r="J175" s="181" t="n">
        <f aca="false">SUM(H175,H177,H179)</f>
        <v>0</v>
      </c>
      <c r="K175" s="28"/>
      <c r="L175" s="29"/>
      <c r="M175" s="29"/>
      <c r="N175" s="29"/>
      <c r="O175" s="29"/>
      <c r="P175" s="29"/>
      <c r="Q175" s="28"/>
      <c r="R175" s="28"/>
      <c r="S175" s="28"/>
      <c r="T175" s="28"/>
      <c r="U175" s="28"/>
      <c r="V175" s="28"/>
      <c r="W175" s="28"/>
      <c r="X175" s="28"/>
      <c r="Y175" s="28"/>
      <c r="Z175" s="28"/>
    </row>
    <row r="176" customFormat="false" ht="42" hidden="false" customHeight="true" outlineLevel="0" collapsed="false">
      <c r="B176" s="190"/>
      <c r="C176" s="182"/>
      <c r="D176" s="183" t="str">
        <f aca="false">INDEX('imp-questions'!G:G, MATCH(A175, 'imp-questions'!A:A, 0))</f>
        <v>You dynamically generate inputs for security tests using automated tools
 You choose the security testing tools to fit the organization's architecture and technology stack, and balance depth and accuracy of inspection with usability of findings to the organization</v>
      </c>
      <c r="E176" s="184"/>
      <c r="F176" s="185"/>
      <c r="G176" s="92"/>
      <c r="H176" s="96"/>
      <c r="I176" s="95"/>
      <c r="J176" s="181"/>
      <c r="K176" s="28"/>
      <c r="L176" s="29"/>
      <c r="M176" s="29"/>
      <c r="N176" s="29"/>
      <c r="O176" s="29"/>
      <c r="P176" s="29"/>
      <c r="Q176" s="28"/>
      <c r="R176" s="28"/>
      <c r="S176" s="28"/>
      <c r="T176" s="28"/>
      <c r="U176" s="28"/>
      <c r="V176" s="28"/>
      <c r="W176" s="28"/>
      <c r="X176" s="28"/>
      <c r="Y176" s="28"/>
      <c r="Z176" s="28"/>
    </row>
    <row r="177" customFormat="false" ht="14.15" hidden="false" customHeight="false" outlineLevel="0" collapsed="false">
      <c r="A177" s="20" t="s">
        <v>179</v>
      </c>
      <c r="B177" s="190"/>
      <c r="C177" s="180" t="n">
        <f aca="false">INDEX('imp-questions'!E:E, MATCH(A177, 'imp-questions'!A:A, 0))</f>
        <v>2</v>
      </c>
      <c r="D177" s="55" t="str">
        <f aca="false">INDEX('imp-questions'!F:F, MATCH(A177, 'imp-questions'!A:A, 0))</f>
        <v>Do you customize the automated security tools to your applications and technology stacks?</v>
      </c>
      <c r="E177" s="56" t="str">
        <f aca="false">CHAR(65+INDEX('imp-questions'!H:H, MATCH(A177, 'imp-questions'!A:A, 0)))</f>
        <v>B</v>
      </c>
      <c r="F177" s="191"/>
      <c r="G177" s="88" t="n">
        <f aca="true">IFERROR(INDEX(INDIRECT("Ans" &amp; E177 &amp; "TBL"), MATCH(F177, INDEX(INDIRECT("Ans" &amp; E177 &amp; "TBL"), 0, 1), 0), 2), 0)</f>
        <v>0</v>
      </c>
      <c r="H177" s="58" t="n">
        <f aca="false">IFERROR(AVERAGE(G177,G184),0)</f>
        <v>0</v>
      </c>
      <c r="I177" s="97"/>
      <c r="J177" s="27"/>
      <c r="K177" s="28"/>
      <c r="L177" s="29"/>
      <c r="M177" s="29"/>
      <c r="N177" s="29"/>
      <c r="O177" s="29"/>
      <c r="P177" s="29"/>
      <c r="Q177" s="28"/>
      <c r="R177" s="28"/>
      <c r="S177" s="28"/>
      <c r="T177" s="28"/>
      <c r="U177" s="28"/>
      <c r="V177" s="28"/>
      <c r="W177" s="28"/>
      <c r="X177" s="28"/>
      <c r="Y177" s="28"/>
      <c r="Z177" s="28"/>
    </row>
    <row r="178" customFormat="false" ht="42" hidden="false" customHeight="true" outlineLevel="0" collapsed="false">
      <c r="B178" s="190"/>
      <c r="C178" s="182"/>
      <c r="D178" s="183" t="str">
        <f aca="false">INDEX('imp-questions'!G:G, MATCH(A177, 'imp-questions'!A:A, 0))</f>
        <v>You tune and select tool features which match your application or technology stack
 You minimize false positives by silencing or automatically filter irrelevant warnings or low probability findings
 You minimize false negatives by leverage tool extensions or DSLs to customize tools for your application or organizational standards</v>
      </c>
      <c r="E178" s="184"/>
      <c r="F178" s="185"/>
      <c r="G178" s="92"/>
      <c r="H178" s="98"/>
      <c r="I178" s="97"/>
      <c r="J178" s="27"/>
      <c r="K178" s="28"/>
      <c r="L178" s="29"/>
      <c r="M178" s="29"/>
      <c r="N178" s="29"/>
      <c r="O178" s="29"/>
      <c r="P178" s="29"/>
      <c r="Q178" s="28"/>
      <c r="R178" s="28"/>
      <c r="S178" s="28"/>
      <c r="T178" s="28"/>
      <c r="U178" s="28"/>
      <c r="V178" s="28"/>
      <c r="W178" s="28"/>
      <c r="X178" s="28"/>
      <c r="Y178" s="28"/>
      <c r="Z178" s="28"/>
    </row>
    <row r="179" customFormat="false" ht="14.15" hidden="false" customHeight="false" outlineLevel="0" collapsed="false">
      <c r="A179" s="20" t="s">
        <v>180</v>
      </c>
      <c r="B179" s="190"/>
      <c r="C179" s="180" t="n">
        <f aca="false">INDEX('imp-questions'!E:E, MATCH(A179, 'imp-questions'!A:A, 0))</f>
        <v>3</v>
      </c>
      <c r="D179" s="55" t="str">
        <f aca="false">INDEX('imp-questions'!F:F, MATCH(A179, 'imp-questions'!A:A, 0))</f>
        <v>Do you integrate automated security testing into the build and deploy process?</v>
      </c>
      <c r="E179" s="56" t="str">
        <f aca="false">CHAR(65+INDEX('imp-questions'!H:H, MATCH(A179, 'imp-questions'!A:A, 0)))</f>
        <v>W</v>
      </c>
      <c r="F179" s="191"/>
      <c r="G179" s="88" t="n">
        <f aca="true">IFERROR(INDEX(INDIRECT("Ans" &amp; E179 &amp; "TBL"), MATCH(F179, INDEX(INDIRECT("Ans" &amp; E179 &amp; "TBL"), 0, 1), 0), 2), 0)</f>
        <v>0</v>
      </c>
      <c r="H179" s="58" t="n">
        <f aca="false">IFERROR(AVERAGE(G179,G186),0)</f>
        <v>0</v>
      </c>
      <c r="I179" s="99"/>
      <c r="J179" s="27"/>
      <c r="K179" s="28"/>
      <c r="L179" s="29"/>
      <c r="M179" s="29"/>
      <c r="N179" s="29"/>
      <c r="O179" s="29"/>
      <c r="P179" s="29"/>
      <c r="Q179" s="28"/>
      <c r="R179" s="28"/>
      <c r="S179" s="28"/>
      <c r="T179" s="28"/>
      <c r="U179" s="28"/>
      <c r="V179" s="28"/>
      <c r="W179" s="28"/>
      <c r="X179" s="28"/>
      <c r="Y179" s="28"/>
      <c r="Z179" s="28"/>
    </row>
    <row r="180" customFormat="false" ht="27.75" hidden="false" customHeight="true" outlineLevel="0" collapsed="false">
      <c r="B180" s="190"/>
      <c r="C180" s="182"/>
      <c r="D180" s="183" t="str">
        <f aca="false">INDEX('imp-questions'!G:G, MATCH(A179, 'imp-questions'!A:A, 0))</f>
        <v>Management and business stakeholders track and review test results throughout the development cycle
 You merge test results into a central dashboard and feed them into defect management</v>
      </c>
      <c r="E180" s="184"/>
      <c r="F180" s="185"/>
      <c r="G180" s="92"/>
      <c r="H180" s="98"/>
      <c r="I180" s="99"/>
      <c r="J180" s="27"/>
      <c r="K180" s="28"/>
      <c r="L180" s="29"/>
      <c r="M180" s="29"/>
      <c r="N180" s="29"/>
      <c r="O180" s="29"/>
      <c r="P180" s="29"/>
      <c r="Q180" s="28"/>
      <c r="R180" s="28"/>
      <c r="S180" s="28"/>
      <c r="T180" s="28"/>
      <c r="U180" s="28"/>
      <c r="V180" s="28"/>
      <c r="W180" s="28"/>
      <c r="X180" s="28"/>
      <c r="Y180" s="28"/>
      <c r="Z180" s="28"/>
    </row>
    <row r="181" customFormat="false" ht="12.75" hidden="false" customHeight="false" outlineLevel="0" collapsed="false">
      <c r="B181" s="74"/>
      <c r="C181" s="75"/>
      <c r="D181" s="76"/>
      <c r="E181" s="76"/>
      <c r="F181" s="76"/>
      <c r="G181" s="76"/>
      <c r="H181" s="124"/>
      <c r="I181" s="77"/>
      <c r="J181" s="71"/>
      <c r="K181" s="28"/>
      <c r="L181" s="29"/>
      <c r="M181" s="29"/>
      <c r="N181" s="29"/>
      <c r="O181" s="29"/>
      <c r="P181" s="29"/>
      <c r="Q181" s="28"/>
      <c r="R181" s="28"/>
      <c r="S181" s="28"/>
      <c r="T181" s="28"/>
      <c r="U181" s="28"/>
      <c r="V181" s="28"/>
      <c r="W181" s="28"/>
      <c r="X181" s="28"/>
      <c r="Y181" s="28"/>
      <c r="Z181" s="28"/>
    </row>
    <row r="182" customFormat="false" ht="15" hidden="false" customHeight="true" outlineLevel="0" collapsed="false">
      <c r="A182" s="20" t="s">
        <v>181</v>
      </c>
      <c r="B182" s="179" t="str">
        <f aca="false">INDEX('imp-questions'!D:D, MATCH(A182, 'imp-questions'!A:A, 0))</f>
        <v>Deep Understanding</v>
      </c>
      <c r="C182" s="186" t="n">
        <f aca="false">INDEX('imp-questions'!E:E, MATCH(A182, 'imp-questions'!A:A, 0))</f>
        <v>1</v>
      </c>
      <c r="D182" s="55" t="str">
        <f aca="false">INDEX('imp-questions'!F:F, MATCH(A182, 'imp-questions'!A:A, 0))</f>
        <v>Do you manually review the security quality of selected high-risk components?</v>
      </c>
      <c r="E182" s="56" t="str">
        <f aca="false">CHAR(65+INDEX('imp-questions'!H:H, MATCH(A182, 'imp-questions'!A:A, 0)))</f>
        <v>G</v>
      </c>
      <c r="F182" s="111"/>
      <c r="G182" s="88" t="n">
        <f aca="true">IFERROR(INDEX(INDIRECT("Ans" &amp; E182 &amp; "TBL"), MATCH(F182, INDEX(INDIRECT("Ans" &amp; E182 &amp; "TBL"), 0, 1), 0), 2), 0)</f>
        <v>0</v>
      </c>
      <c r="H182" s="89"/>
      <c r="I182" s="95"/>
      <c r="J182" s="71"/>
      <c r="K182" s="28"/>
      <c r="L182" s="29"/>
      <c r="M182" s="29"/>
      <c r="N182" s="29"/>
      <c r="O182" s="29"/>
      <c r="P182" s="29"/>
      <c r="Q182" s="28"/>
      <c r="R182" s="28"/>
      <c r="S182" s="28"/>
      <c r="T182" s="28"/>
      <c r="U182" s="28"/>
      <c r="V182" s="28"/>
      <c r="W182" s="28"/>
      <c r="X182" s="28"/>
      <c r="Y182" s="28"/>
      <c r="Z182" s="28"/>
    </row>
    <row r="183" customFormat="false" ht="42" hidden="false" customHeight="true" outlineLevel="0" collapsed="false">
      <c r="B183" s="179"/>
      <c r="C183" s="182"/>
      <c r="D183" s="183" t="str">
        <f aca="false">INDEX('imp-questions'!G:G, MATCH(A182, 'imp-questions'!A:A, 0))</f>
        <v>Criteria exist to help the reviewer focus on high-risk components
 Qualified personnel conduct reviews following documented guidelines
 You address findings in accordance with the organization's defect management policy</v>
      </c>
      <c r="E183" s="184"/>
      <c r="F183" s="185"/>
      <c r="G183" s="92"/>
      <c r="H183" s="93"/>
      <c r="I183" s="95"/>
      <c r="J183" s="71"/>
      <c r="K183" s="28"/>
      <c r="L183" s="29"/>
      <c r="M183" s="29"/>
      <c r="N183" s="29"/>
      <c r="O183" s="29"/>
      <c r="P183" s="29"/>
      <c r="Q183" s="28"/>
      <c r="R183" s="28"/>
      <c r="S183" s="28"/>
      <c r="T183" s="28"/>
      <c r="U183" s="28"/>
      <c r="V183" s="28"/>
      <c r="W183" s="28"/>
      <c r="X183" s="28"/>
      <c r="Y183" s="28"/>
      <c r="Z183" s="28"/>
    </row>
    <row r="184" customFormat="false" ht="14.15" hidden="false" customHeight="false" outlineLevel="0" collapsed="false">
      <c r="A184" s="20" t="s">
        <v>182</v>
      </c>
      <c r="B184" s="179"/>
      <c r="C184" s="180" t="n">
        <f aca="false">INDEX('imp-questions'!E:E, MATCH(A184, 'imp-questions'!A:A, 0))</f>
        <v>2</v>
      </c>
      <c r="D184" s="55" t="str">
        <f aca="false">INDEX('imp-questions'!F:F, MATCH(A184, 'imp-questions'!A:A, 0))</f>
        <v>Do you perform penetration testing for your applications at regular intervals?</v>
      </c>
      <c r="E184" s="56" t="str">
        <f aca="false">CHAR(65+INDEX('imp-questions'!H:H, MATCH(A184, 'imp-questions'!A:A, 0)))</f>
        <v>A</v>
      </c>
      <c r="F184" s="111"/>
      <c r="G184" s="88" t="n">
        <f aca="true">IFERROR(INDEX(INDIRECT("Ans" &amp; E184 &amp; "TBL"), MATCH(F184, INDEX(INDIRECT("Ans" &amp; E184 &amp; "TBL"), 0, 1), 0), 2), 0)</f>
        <v>0</v>
      </c>
      <c r="H184" s="89"/>
      <c r="I184" s="95"/>
      <c r="J184" s="71"/>
      <c r="K184" s="28"/>
      <c r="L184" s="29"/>
      <c r="M184" s="29"/>
      <c r="N184" s="29"/>
      <c r="O184" s="29"/>
      <c r="P184" s="29"/>
      <c r="Q184" s="28"/>
      <c r="R184" s="28"/>
      <c r="S184" s="28"/>
      <c r="T184" s="28"/>
      <c r="U184" s="28"/>
      <c r="V184" s="28"/>
      <c r="W184" s="28"/>
      <c r="X184" s="28"/>
      <c r="Y184" s="28"/>
      <c r="Z184" s="28"/>
    </row>
    <row r="185" customFormat="false" ht="55.5" hidden="false" customHeight="true" outlineLevel="0" collapsed="false">
      <c r="B185" s="179"/>
      <c r="C185" s="182"/>
      <c r="D185" s="183" t="str">
        <f aca="false">INDEX('imp-questions'!G:G, MATCH(A184, 'imp-questions'!A:A, 0))</f>
        <v>Penetration testing uses application-specific security test cases to evaluate security
 Penetration testing looks for both technical and logical issues in the application
 Stakeholders review the test results and handle them in accordance with the organization's risk management
 Qualified personnel performs penetration testing</v>
      </c>
      <c r="E185" s="184"/>
      <c r="F185" s="185"/>
      <c r="G185" s="92"/>
      <c r="H185" s="93"/>
      <c r="I185" s="95"/>
      <c r="J185" s="71"/>
      <c r="K185" s="28"/>
      <c r="L185" s="29"/>
      <c r="M185" s="29"/>
      <c r="N185" s="29"/>
      <c r="O185" s="29"/>
      <c r="P185" s="29"/>
      <c r="Q185" s="28"/>
      <c r="R185" s="28"/>
      <c r="S185" s="28"/>
      <c r="T185" s="28"/>
      <c r="U185" s="28"/>
      <c r="V185" s="28"/>
      <c r="W185" s="28"/>
      <c r="X185" s="28"/>
      <c r="Y185" s="28"/>
      <c r="Z185" s="28"/>
    </row>
    <row r="186" customFormat="false" ht="14.15" hidden="false" customHeight="false" outlineLevel="0" collapsed="false">
      <c r="A186" s="20" t="s">
        <v>183</v>
      </c>
      <c r="B186" s="179"/>
      <c r="C186" s="180" t="n">
        <f aca="false">INDEX('imp-questions'!E:E, MATCH(A186, 'imp-questions'!A:A, 0))</f>
        <v>3</v>
      </c>
      <c r="D186" s="55" t="str">
        <f aca="false">INDEX('imp-questions'!F:F, MATCH(A186, 'imp-questions'!A:A, 0))</f>
        <v>Do you use the results of security testing to improve the development lifecycle?</v>
      </c>
      <c r="E186" s="56" t="str">
        <f aca="false">CHAR(65+INDEX('imp-questions'!H:H, MATCH(A186, 'imp-questions'!A:A, 0)))</f>
        <v>X</v>
      </c>
      <c r="F186" s="191"/>
      <c r="G186" s="88" t="n">
        <f aca="true">IFERROR(INDEX(INDIRECT("Ans" &amp; E186 &amp; "TBL"), MATCH(F186, INDEX(INDIRECT("Ans" &amp; E186 &amp; "TBL"), 0, 1), 0), 2), 0)</f>
        <v>0</v>
      </c>
      <c r="H186" s="89"/>
      <c r="I186" s="95"/>
      <c r="J186" s="71"/>
      <c r="K186" s="28"/>
      <c r="L186" s="29"/>
      <c r="M186" s="29"/>
      <c r="N186" s="29"/>
      <c r="O186" s="29"/>
      <c r="P186" s="29"/>
      <c r="Q186" s="28"/>
      <c r="R186" s="28"/>
      <c r="S186" s="28"/>
      <c r="T186" s="28"/>
      <c r="U186" s="28"/>
      <c r="V186" s="28"/>
      <c r="W186" s="28"/>
      <c r="X186" s="28"/>
      <c r="Y186" s="28"/>
      <c r="Z186" s="28"/>
    </row>
    <row r="187" customFormat="false" ht="42" hidden="false" customHeight="true" outlineLevel="0" collapsed="false">
      <c r="B187" s="179"/>
      <c r="C187" s="182"/>
      <c r="D187" s="183" t="str">
        <f aca="false">INDEX('imp-questions'!G:G, MATCH(A186, 'imp-questions'!A:A, 0))</f>
        <v>You use results from other security activities to improve integrated security testing during development
 You review test results and incorporate them into security awareness training and security testing playbooks
 Stakeholders review the test results and handle them in accordance with the organization's risk management</v>
      </c>
      <c r="E187" s="184"/>
      <c r="F187" s="185"/>
      <c r="G187" s="92"/>
      <c r="H187" s="93"/>
      <c r="I187" s="95"/>
      <c r="J187" s="71"/>
      <c r="K187" s="28"/>
      <c r="L187" s="29"/>
      <c r="M187" s="29"/>
      <c r="N187" s="29"/>
      <c r="O187" s="29"/>
      <c r="P187" s="29"/>
      <c r="Q187" s="28"/>
      <c r="R187" s="28"/>
      <c r="S187" s="28"/>
      <c r="T187" s="28"/>
      <c r="U187" s="28"/>
      <c r="V187" s="28"/>
      <c r="W187" s="28"/>
      <c r="X187" s="28"/>
      <c r="Y187" s="28"/>
      <c r="Z187" s="28"/>
    </row>
    <row r="188" customFormat="false" ht="21.75" hidden="false" customHeight="true" outlineLevel="0" collapsed="false">
      <c r="B188" s="192" t="s">
        <v>233</v>
      </c>
      <c r="C188" s="192"/>
      <c r="D188" s="192"/>
      <c r="E188" s="192"/>
      <c r="F188" s="192"/>
      <c r="G188" s="192"/>
      <c r="H188" s="192"/>
      <c r="I188" s="192"/>
      <c r="J188" s="192"/>
      <c r="K188" s="28"/>
      <c r="L188" s="29"/>
      <c r="M188" s="29"/>
      <c r="N188" s="29"/>
      <c r="O188" s="29"/>
      <c r="P188" s="29"/>
      <c r="Q188" s="28"/>
      <c r="R188" s="28"/>
      <c r="S188" s="28"/>
      <c r="T188" s="28"/>
      <c r="U188" s="28"/>
      <c r="V188" s="28"/>
      <c r="W188" s="28"/>
      <c r="X188" s="28"/>
      <c r="Y188" s="28"/>
      <c r="Z188" s="28"/>
    </row>
    <row r="189" customFormat="false" ht="14.15" hidden="false" customHeight="true" outlineLevel="0" collapsed="false">
      <c r="B189" s="193" t="s">
        <v>234</v>
      </c>
      <c r="C189" s="193"/>
      <c r="D189" s="193"/>
      <c r="E189" s="194"/>
      <c r="F189" s="193" t="s">
        <v>216</v>
      </c>
      <c r="G189" s="193"/>
      <c r="H189" s="195"/>
      <c r="I189" s="196" t="s">
        <v>217</v>
      </c>
      <c r="J189" s="196" t="s">
        <v>218</v>
      </c>
      <c r="K189" s="28"/>
      <c r="L189" s="29"/>
      <c r="M189" s="29"/>
      <c r="N189" s="29"/>
      <c r="O189" s="29"/>
      <c r="P189" s="29"/>
      <c r="Q189" s="28"/>
      <c r="R189" s="28"/>
      <c r="S189" s="28"/>
      <c r="T189" s="28"/>
      <c r="U189" s="28"/>
      <c r="V189" s="28"/>
      <c r="W189" s="28"/>
      <c r="X189" s="28"/>
      <c r="Y189" s="28"/>
      <c r="Z189" s="28"/>
    </row>
    <row r="190" customFormat="false" ht="12.75" hidden="false" customHeight="true" outlineLevel="0" collapsed="false">
      <c r="A190" s="20" t="s">
        <v>184</v>
      </c>
      <c r="B190" s="197" t="str">
        <f aca="false">INDEX('imp-questions'!D:D, MATCH(A190, 'imp-questions'!A:A, 0))</f>
        <v>Incident Detection</v>
      </c>
      <c r="C190" s="198" t="n">
        <f aca="false">INDEX('imp-questions'!E:E, MATCH(A190, 'imp-questions'!A:A, 0))</f>
        <v>1</v>
      </c>
      <c r="D190" s="55" t="str">
        <f aca="false">INDEX('imp-questions'!F:F, MATCH(A190, 'imp-questions'!A:A, 0))</f>
        <v>Do you analyze log data for security incidents periodically?</v>
      </c>
      <c r="E190" s="56" t="str">
        <f aca="false">CHAR(65+INDEX('imp-questions'!H:H, MATCH(A190, 'imp-questions'!A:A, 0)))</f>
        <v>A</v>
      </c>
      <c r="F190" s="111"/>
      <c r="G190" s="88" t="n">
        <f aca="true">IFERROR(INDEX(INDIRECT("Ans" &amp; E190 &amp; "TBL"), MATCH(F190, INDEX(INDIRECT("Ans" &amp; E190 &amp; "TBL"), 0, 1), 0), 2), 0)</f>
        <v>0</v>
      </c>
      <c r="H190" s="58" t="n">
        <f aca="false">IFERROR(AVERAGE(G190,G197),0)</f>
        <v>0</v>
      </c>
      <c r="I190" s="95"/>
      <c r="J190" s="199" t="n">
        <f aca="false">SUM(H190,H192,H194)</f>
        <v>0</v>
      </c>
      <c r="K190" s="28"/>
      <c r="L190" s="29"/>
      <c r="M190" s="29"/>
      <c r="N190" s="29"/>
      <c r="O190" s="29"/>
      <c r="P190" s="29"/>
      <c r="Q190" s="28"/>
      <c r="R190" s="28"/>
      <c r="S190" s="28"/>
      <c r="T190" s="28"/>
      <c r="U190" s="28"/>
      <c r="V190" s="28"/>
      <c r="W190" s="28"/>
      <c r="X190" s="28"/>
      <c r="Y190" s="28"/>
      <c r="Z190" s="28"/>
    </row>
    <row r="191" customFormat="false" ht="42" hidden="false" customHeight="true" outlineLevel="0" collapsed="false">
      <c r="B191" s="197"/>
      <c r="C191" s="200"/>
      <c r="D191" s="201" t="str">
        <f aca="false">INDEX('imp-questions'!G:G, MATCH(A190, 'imp-questions'!A:A, 0))</f>
        <v>You have a contact point for the creation of security incidents
 You analyze data in accordance with the log data retention periods
 The frequency of this analysis is aligned with the criticality of your applications</v>
      </c>
      <c r="E191" s="202"/>
      <c r="F191" s="203"/>
      <c r="G191" s="102"/>
      <c r="H191" s="96"/>
      <c r="I191" s="95"/>
      <c r="J191" s="199"/>
      <c r="K191" s="28"/>
      <c r="L191" s="29"/>
      <c r="M191" s="29"/>
      <c r="N191" s="29"/>
      <c r="O191" s="29"/>
      <c r="P191" s="29"/>
      <c r="Q191" s="28"/>
      <c r="R191" s="28"/>
      <c r="S191" s="28"/>
      <c r="T191" s="28"/>
      <c r="U191" s="28"/>
      <c r="V191" s="28"/>
      <c r="W191" s="28"/>
      <c r="X191" s="28"/>
      <c r="Y191" s="28"/>
      <c r="Z191" s="28"/>
    </row>
    <row r="192" customFormat="false" ht="14.15" hidden="false" customHeight="false" outlineLevel="0" collapsed="false">
      <c r="A192" s="20" t="s">
        <v>185</v>
      </c>
      <c r="B192" s="197"/>
      <c r="C192" s="198" t="n">
        <f aca="false">INDEX('imp-questions'!E:E, MATCH(A192, 'imp-questions'!A:A, 0))</f>
        <v>2</v>
      </c>
      <c r="D192" s="55" t="str">
        <f aca="false">INDEX('imp-questions'!F:F, MATCH(A192, 'imp-questions'!A:A, 0))</f>
        <v>Do you follow a documented process for incident detection?</v>
      </c>
      <c r="E192" s="56" t="str">
        <f aca="false">CHAR(65+INDEX('imp-questions'!H:H, MATCH(A192, 'imp-questions'!A:A, 0)))</f>
        <v>A</v>
      </c>
      <c r="F192" s="111"/>
      <c r="G192" s="88" t="n">
        <f aca="true">IFERROR(INDEX(INDIRECT("Ans" &amp; E192 &amp; "TBL"), MATCH(F192, INDEX(INDIRECT("Ans" &amp; E192 &amp; "TBL"), 0, 1), 0), 2), 0)</f>
        <v>0</v>
      </c>
      <c r="H192" s="58" t="n">
        <f aca="false">IFERROR(AVERAGE(G192,G199),0)</f>
        <v>0</v>
      </c>
      <c r="I192" s="97"/>
      <c r="J192" s="27"/>
      <c r="K192" s="28"/>
      <c r="L192" s="29"/>
      <c r="M192" s="29"/>
      <c r="N192" s="29"/>
      <c r="O192" s="29"/>
      <c r="P192" s="29"/>
      <c r="Q192" s="28"/>
      <c r="R192" s="28"/>
      <c r="S192" s="28"/>
      <c r="T192" s="28"/>
      <c r="U192" s="28"/>
      <c r="V192" s="28"/>
      <c r="W192" s="28"/>
      <c r="X192" s="28"/>
      <c r="Y192" s="28"/>
      <c r="Z192" s="28"/>
    </row>
    <row r="193" customFormat="false" ht="69.75" hidden="false" customHeight="true" outlineLevel="0" collapsed="false">
      <c r="B193" s="197"/>
      <c r="C193" s="200"/>
      <c r="D193" s="201" t="str">
        <f aca="false">INDEX('imp-questions'!G:G, MATCH(A192, 'imp-questions'!A:A, 0))</f>
        <v>The process has a dedicated owner
 You store process documentation in an accessible location
 The process considers an escalation path for further analysis
 You train employees responsible for incident detection in this process
 You have a checklist of potential attacks to simplify incident detection</v>
      </c>
      <c r="E193" s="202"/>
      <c r="F193" s="204"/>
      <c r="G193" s="102"/>
      <c r="H193" s="98"/>
      <c r="I193" s="97"/>
      <c r="J193" s="27"/>
      <c r="K193" s="28"/>
      <c r="L193" s="29"/>
      <c r="M193" s="29"/>
      <c r="N193" s="29"/>
      <c r="O193" s="29"/>
      <c r="P193" s="29"/>
      <c r="Q193" s="28"/>
      <c r="R193" s="28"/>
      <c r="S193" s="28"/>
      <c r="T193" s="28"/>
      <c r="U193" s="28"/>
      <c r="V193" s="28"/>
      <c r="W193" s="28"/>
      <c r="X193" s="28"/>
      <c r="Y193" s="28"/>
      <c r="Z193" s="28"/>
    </row>
    <row r="194" customFormat="false" ht="14.15" hidden="false" customHeight="false" outlineLevel="0" collapsed="false">
      <c r="A194" s="20" t="s">
        <v>186</v>
      </c>
      <c r="B194" s="197"/>
      <c r="C194" s="198" t="n">
        <f aca="false">INDEX('imp-questions'!E:E, MATCH(A194, 'imp-questions'!A:A, 0))</f>
        <v>3</v>
      </c>
      <c r="D194" s="55" t="str">
        <f aca="false">INDEX('imp-questions'!F:F, MATCH(A194, 'imp-questions'!A:A, 0))</f>
        <v>Do you review and update the incident detection process regularly?</v>
      </c>
      <c r="E194" s="56" t="str">
        <f aca="false">CHAR(65+INDEX('imp-questions'!H:H, MATCH(A194, 'imp-questions'!A:A, 0)))</f>
        <v>A</v>
      </c>
      <c r="F194" s="111"/>
      <c r="G194" s="88" t="n">
        <f aca="true">IFERROR(INDEX(INDIRECT("Ans" &amp; E194 &amp; "TBL"), MATCH(F194, INDEX(INDIRECT("Ans" &amp; E194 &amp; "TBL"), 0, 1), 0), 2), 0)</f>
        <v>0</v>
      </c>
      <c r="H194" s="58" t="n">
        <f aca="false">IFERROR(AVERAGE(G194,G201),0)</f>
        <v>0</v>
      </c>
      <c r="I194" s="99"/>
      <c r="J194" s="27"/>
      <c r="K194" s="28"/>
      <c r="L194" s="29"/>
      <c r="M194" s="29"/>
      <c r="N194" s="29"/>
      <c r="O194" s="29"/>
      <c r="P194" s="29"/>
      <c r="Q194" s="28"/>
      <c r="R194" s="28"/>
      <c r="S194" s="28"/>
      <c r="T194" s="28"/>
      <c r="U194" s="28"/>
      <c r="V194" s="28"/>
      <c r="W194" s="28"/>
      <c r="X194" s="28"/>
      <c r="Y194" s="28"/>
      <c r="Z194" s="28"/>
    </row>
    <row r="195" customFormat="false" ht="27.75" hidden="false" customHeight="true" outlineLevel="0" collapsed="false">
      <c r="B195" s="197"/>
      <c r="C195" s="200"/>
      <c r="D195" s="201" t="str">
        <f aca="false">INDEX('imp-questions'!G:G, MATCH(A194, 'imp-questions'!A:A, 0))</f>
        <v>You perform reviews at least annually
 You update the checklist of potential attacks with external and internal data</v>
      </c>
      <c r="E195" s="202"/>
      <c r="F195" s="204"/>
      <c r="G195" s="163"/>
      <c r="H195" s="205"/>
      <c r="I195" s="99"/>
      <c r="J195" s="27"/>
      <c r="K195" s="28"/>
      <c r="L195" s="29"/>
      <c r="M195" s="29"/>
      <c r="N195" s="29"/>
      <c r="O195" s="29"/>
      <c r="P195" s="29"/>
      <c r="Q195" s="28"/>
      <c r="R195" s="28"/>
      <c r="S195" s="28"/>
      <c r="T195" s="28"/>
      <c r="U195" s="28"/>
      <c r="V195" s="28"/>
      <c r="W195" s="28"/>
      <c r="X195" s="28"/>
      <c r="Y195" s="28"/>
      <c r="Z195" s="28"/>
    </row>
    <row r="196" customFormat="false" ht="12.75" hidden="false" customHeight="false" outlineLevel="0" collapsed="false">
      <c r="B196" s="142"/>
      <c r="C196" s="75"/>
      <c r="D196" s="76"/>
      <c r="E196" s="76"/>
      <c r="F196" s="76"/>
      <c r="G196" s="76"/>
      <c r="H196" s="76"/>
      <c r="I196" s="206"/>
      <c r="J196" s="71"/>
      <c r="K196" s="28"/>
      <c r="L196" s="29"/>
      <c r="M196" s="29"/>
      <c r="N196" s="29"/>
      <c r="O196" s="29"/>
      <c r="P196" s="29"/>
      <c r="Q196" s="28"/>
      <c r="R196" s="28"/>
      <c r="S196" s="28"/>
      <c r="T196" s="28"/>
      <c r="U196" s="28"/>
      <c r="V196" s="28"/>
      <c r="W196" s="28"/>
      <c r="X196" s="28"/>
      <c r="Y196" s="28"/>
      <c r="Z196" s="28"/>
    </row>
    <row r="197" customFormat="false" ht="15" hidden="false" customHeight="true" outlineLevel="0" collapsed="false">
      <c r="A197" s="20" t="s">
        <v>187</v>
      </c>
      <c r="B197" s="197" t="str">
        <f aca="false">INDEX('imp-questions'!D:D, MATCH(A197, 'imp-questions'!A:A, 0))</f>
        <v>Incident Response</v>
      </c>
      <c r="C197" s="207" t="n">
        <f aca="false">INDEX('imp-questions'!E:E, MATCH(A197, 'imp-questions'!A:A, 0))</f>
        <v>1</v>
      </c>
      <c r="D197" s="55" t="str">
        <f aca="false">INDEX('imp-questions'!F:F, MATCH(A197, 'imp-questions'!A:A, 0))</f>
        <v>Do you respond to detected incidents?</v>
      </c>
      <c r="E197" s="56" t="str">
        <f aca="false">CHAR(65+INDEX('imp-questions'!H:H, MATCH(A197, 'imp-questions'!A:A, 0)))</f>
        <v>H</v>
      </c>
      <c r="F197" s="57"/>
      <c r="G197" s="88" t="n">
        <f aca="true">IFERROR(INDEX(INDIRECT("Ans" &amp; E197 &amp; "TBL"), MATCH(F197, INDEX(INDIRECT("Ans" &amp; E197 &amp; "TBL"), 0, 1), 0), 2), 0)</f>
        <v>0</v>
      </c>
      <c r="H197" s="58"/>
      <c r="I197" s="59"/>
      <c r="J197" s="71"/>
      <c r="K197" s="28"/>
      <c r="L197" s="29"/>
      <c r="M197" s="29"/>
      <c r="N197" s="29"/>
      <c r="O197" s="29"/>
      <c r="P197" s="29"/>
      <c r="Q197" s="28"/>
      <c r="R197" s="28"/>
      <c r="S197" s="28"/>
      <c r="T197" s="28"/>
      <c r="U197" s="28"/>
      <c r="V197" s="28"/>
      <c r="W197" s="28"/>
      <c r="X197" s="28"/>
      <c r="Y197" s="28"/>
      <c r="Z197" s="28"/>
    </row>
    <row r="198" customFormat="false" ht="27.75" hidden="false" customHeight="true" outlineLevel="0" collapsed="false">
      <c r="B198" s="197"/>
      <c r="C198" s="200"/>
      <c r="D198" s="201" t="str">
        <f aca="false">INDEX('imp-questions'!G:G, MATCH(A197, 'imp-questions'!A:A, 0))</f>
        <v>You have a defined person or role for incident handling
 You document security incidents</v>
      </c>
      <c r="E198" s="202"/>
      <c r="F198" s="203"/>
      <c r="G198" s="102"/>
      <c r="H198" s="103"/>
      <c r="I198" s="59"/>
      <c r="J198" s="71"/>
      <c r="K198" s="28"/>
      <c r="L198" s="29"/>
      <c r="M198" s="29"/>
      <c r="N198" s="29"/>
      <c r="O198" s="29"/>
      <c r="P198" s="29"/>
      <c r="Q198" s="28"/>
      <c r="R198" s="28"/>
      <c r="S198" s="28"/>
      <c r="T198" s="28"/>
      <c r="U198" s="28"/>
      <c r="V198" s="28"/>
      <c r="W198" s="28"/>
      <c r="X198" s="28"/>
      <c r="Y198" s="28"/>
      <c r="Z198" s="28"/>
    </row>
    <row r="199" customFormat="false" ht="14.15" hidden="false" customHeight="false" outlineLevel="0" collapsed="false">
      <c r="A199" s="20" t="s">
        <v>188</v>
      </c>
      <c r="B199" s="197"/>
      <c r="C199" s="198" t="n">
        <f aca="false">INDEX('imp-questions'!E:E, MATCH(A199, 'imp-questions'!A:A, 0))</f>
        <v>2</v>
      </c>
      <c r="D199" s="55" t="str">
        <f aca="false">INDEX('imp-questions'!F:F, MATCH(A199, 'imp-questions'!A:A, 0))</f>
        <v>Do you use a repeatable process for incident handling?</v>
      </c>
      <c r="E199" s="56" t="str">
        <f aca="false">CHAR(65+INDEX('imp-questions'!H:H, MATCH(A199, 'imp-questions'!A:A, 0)))</f>
        <v>I</v>
      </c>
      <c r="F199" s="67"/>
      <c r="G199" s="88" t="n">
        <f aca="true">IFERROR(INDEX(INDIRECT("Ans" &amp; E199 &amp; "TBL"), MATCH(F199, INDEX(INDIRECT("Ans" &amp; E199 &amp; "TBL"), 0, 1), 0), 2), 0)</f>
        <v>0</v>
      </c>
      <c r="H199" s="58"/>
      <c r="I199" s="59"/>
      <c r="J199" s="71"/>
      <c r="K199" s="28"/>
      <c r="L199" s="29"/>
      <c r="M199" s="29"/>
      <c r="N199" s="29"/>
      <c r="O199" s="29"/>
      <c r="P199" s="29"/>
      <c r="Q199" s="28"/>
      <c r="R199" s="28"/>
      <c r="S199" s="28"/>
      <c r="T199" s="28"/>
      <c r="U199" s="28"/>
      <c r="V199" s="28"/>
      <c r="W199" s="28"/>
      <c r="X199" s="28"/>
      <c r="Y199" s="28"/>
      <c r="Z199" s="28"/>
    </row>
    <row r="200" customFormat="false" ht="55.5" hidden="false" customHeight="true" outlineLevel="0" collapsed="false">
      <c r="B200" s="197"/>
      <c r="C200" s="200"/>
      <c r="D200" s="201" t="str">
        <f aca="false">INDEX('imp-questions'!G:G, MATCH(A199, 'imp-questions'!A:A, 0))</f>
        <v>You have an agreed upon incident classification
 The process considers Root Cause Analysis for high severity incidents
 Employees responsible for incident response are trained in this process
 Forensic analysis tooling is available</v>
      </c>
      <c r="E200" s="202"/>
      <c r="F200" s="203"/>
      <c r="G200" s="102"/>
      <c r="H200" s="103"/>
      <c r="I200" s="59"/>
      <c r="J200" s="71"/>
      <c r="K200" s="28"/>
      <c r="L200" s="29"/>
      <c r="M200" s="29"/>
      <c r="N200" s="29"/>
      <c r="O200" s="29"/>
      <c r="P200" s="29"/>
      <c r="Q200" s="28"/>
      <c r="R200" s="28"/>
      <c r="S200" s="28"/>
      <c r="T200" s="28"/>
      <c r="U200" s="28"/>
      <c r="V200" s="28"/>
      <c r="W200" s="28"/>
      <c r="X200" s="28"/>
      <c r="Y200" s="28"/>
      <c r="Z200" s="28"/>
    </row>
    <row r="201" customFormat="false" ht="14.15" hidden="false" customHeight="false" outlineLevel="0" collapsed="false">
      <c r="A201" s="20" t="s">
        <v>189</v>
      </c>
      <c r="B201" s="197"/>
      <c r="C201" s="198" t="n">
        <f aca="false">INDEX('imp-questions'!E:E, MATCH(A201, 'imp-questions'!A:A, 0))</f>
        <v>3</v>
      </c>
      <c r="D201" s="55" t="str">
        <f aca="false">INDEX('imp-questions'!F:F, MATCH(A201, 'imp-questions'!A:A, 0))</f>
        <v>Do you have a dedicated incident response team available?</v>
      </c>
      <c r="E201" s="56" t="str">
        <f aca="false">CHAR(65+INDEX('imp-questions'!H:H, MATCH(A201, 'imp-questions'!A:A, 0)))</f>
        <v>E</v>
      </c>
      <c r="F201" s="67"/>
      <c r="G201" s="88" t="n">
        <f aca="true">IFERROR(INDEX(INDIRECT("Ans" &amp; E201 &amp; "TBL"), MATCH(F201, INDEX(INDIRECT("Ans" &amp; E201 &amp; "TBL"), 0, 1), 0), 2), 0)</f>
        <v>0</v>
      </c>
      <c r="H201" s="58"/>
      <c r="I201" s="59"/>
      <c r="J201" s="71"/>
      <c r="K201" s="28"/>
      <c r="L201" s="29"/>
      <c r="M201" s="29"/>
      <c r="N201" s="29"/>
      <c r="O201" s="29"/>
      <c r="P201" s="29"/>
      <c r="Q201" s="28"/>
      <c r="R201" s="28"/>
      <c r="S201" s="28"/>
      <c r="T201" s="28"/>
      <c r="U201" s="28"/>
      <c r="V201" s="28"/>
      <c r="W201" s="28"/>
      <c r="X201" s="28"/>
      <c r="Y201" s="28"/>
      <c r="Z201" s="28"/>
    </row>
    <row r="202" customFormat="false" ht="27.75" hidden="false" customHeight="true" outlineLevel="0" collapsed="false">
      <c r="B202" s="197"/>
      <c r="C202" s="200"/>
      <c r="D202" s="208" t="str">
        <f aca="false">INDEX('imp-questions'!G:G, MATCH(A201, 'imp-questions'!A:A, 0))</f>
        <v>The team performs Root Cause Analysis for all security incidents unless there is a specific reason not to do so
 You review and update the response process at least annually</v>
      </c>
      <c r="E202" s="202"/>
      <c r="F202" s="203"/>
      <c r="G202" s="102"/>
      <c r="H202" s="103"/>
      <c r="I202" s="59"/>
      <c r="J202" s="71"/>
      <c r="K202" s="28"/>
      <c r="L202" s="29"/>
      <c r="M202" s="29"/>
      <c r="N202" s="29"/>
      <c r="O202" s="29"/>
      <c r="P202" s="29"/>
      <c r="Q202" s="28"/>
      <c r="R202" s="28"/>
      <c r="S202" s="28"/>
      <c r="T202" s="28"/>
      <c r="U202" s="28"/>
      <c r="V202" s="28"/>
      <c r="W202" s="28"/>
      <c r="X202" s="28"/>
      <c r="Y202" s="28"/>
      <c r="Z202" s="28"/>
    </row>
    <row r="203" customFormat="false" ht="14.15" hidden="false" customHeight="true" outlineLevel="0" collapsed="false">
      <c r="B203" s="209" t="s">
        <v>235</v>
      </c>
      <c r="C203" s="209"/>
      <c r="D203" s="209"/>
      <c r="E203" s="210"/>
      <c r="F203" s="211" t="s">
        <v>216</v>
      </c>
      <c r="G203" s="211"/>
      <c r="H203" s="212"/>
      <c r="I203" s="196" t="s">
        <v>217</v>
      </c>
      <c r="J203" s="196" t="s">
        <v>218</v>
      </c>
      <c r="K203" s="28"/>
      <c r="L203" s="29"/>
      <c r="M203" s="29"/>
      <c r="N203" s="29"/>
      <c r="O203" s="29"/>
      <c r="P203" s="29"/>
      <c r="Q203" s="28"/>
      <c r="R203" s="28"/>
      <c r="S203" s="28"/>
      <c r="T203" s="28"/>
      <c r="U203" s="28"/>
      <c r="V203" s="28"/>
      <c r="W203" s="28"/>
      <c r="X203" s="28"/>
      <c r="Y203" s="28"/>
      <c r="Z203" s="28"/>
    </row>
    <row r="204" customFormat="false" ht="30" hidden="false" customHeight="true" outlineLevel="0" collapsed="false">
      <c r="A204" s="20" t="s">
        <v>190</v>
      </c>
      <c r="B204" s="213" t="str">
        <f aca="false">INDEX('imp-questions'!D:D, MATCH(A204, 'imp-questions'!A:A, 0))</f>
        <v>Configuration Hardening</v>
      </c>
      <c r="C204" s="207" t="n">
        <f aca="false">INDEX('imp-questions'!E:E, MATCH(A204, 'imp-questions'!A:A, 0))</f>
        <v>1</v>
      </c>
      <c r="D204" s="83" t="str">
        <f aca="false">INDEX('imp-questions'!F:F, MATCH(A204, 'imp-questions'!A:A, 0))</f>
        <v>Do you harden configurations for key components of your technology stacks?</v>
      </c>
      <c r="E204" s="56" t="str">
        <f aca="false">CHAR(65+INDEX('imp-questions'!H:H, MATCH(A204, 'imp-questions'!A:A, 0)))</f>
        <v>G</v>
      </c>
      <c r="F204" s="111"/>
      <c r="G204" s="88" t="n">
        <f aca="true">IFERROR(INDEX(INDIRECT("Ans" &amp; E204 &amp; "TBL"), MATCH(F204, INDEX(INDIRECT("Ans" &amp; E204 &amp; "TBL"), 0, 1), 0), 2), 0)</f>
        <v>0</v>
      </c>
      <c r="H204" s="58" t="n">
        <f aca="false">IFERROR(AVERAGE(G204,G211),0)</f>
        <v>0</v>
      </c>
      <c r="I204" s="95"/>
      <c r="J204" s="199" t="n">
        <f aca="false">SUM(H204,H206,H208)</f>
        <v>0</v>
      </c>
      <c r="K204" s="28"/>
      <c r="L204" s="29"/>
      <c r="M204" s="29"/>
      <c r="N204" s="29"/>
      <c r="O204" s="29"/>
      <c r="P204" s="29"/>
      <c r="Q204" s="28"/>
      <c r="R204" s="28"/>
      <c r="S204" s="28"/>
      <c r="T204" s="28"/>
      <c r="U204" s="28"/>
      <c r="V204" s="28"/>
      <c r="W204" s="28"/>
      <c r="X204" s="28"/>
      <c r="Y204" s="28"/>
      <c r="Z204" s="28"/>
    </row>
    <row r="205" customFormat="false" ht="27.75" hidden="false" customHeight="true" outlineLevel="0" collapsed="false">
      <c r="B205" s="213"/>
      <c r="C205" s="200"/>
      <c r="D205" s="201" t="str">
        <f aca="false">INDEX('imp-questions'!G:G, MATCH(A204, 'imp-questions'!A:A, 0))</f>
        <v>You have identified the key components in each technology stack used
 You have an established configuration standard for each key component</v>
      </c>
      <c r="E205" s="202"/>
      <c r="F205" s="203"/>
      <c r="G205" s="102"/>
      <c r="H205" s="96"/>
      <c r="I205" s="95"/>
      <c r="J205" s="199"/>
      <c r="K205" s="28"/>
      <c r="L205" s="29"/>
      <c r="M205" s="29"/>
      <c r="N205" s="29"/>
      <c r="O205" s="29"/>
      <c r="P205" s="29"/>
      <c r="Q205" s="28"/>
      <c r="R205" s="28"/>
      <c r="S205" s="28"/>
      <c r="T205" s="28"/>
      <c r="U205" s="28"/>
      <c r="V205" s="28"/>
      <c r="W205" s="28"/>
      <c r="X205" s="28"/>
      <c r="Y205" s="28"/>
      <c r="Z205" s="28"/>
    </row>
    <row r="206" customFormat="false" ht="14.15" hidden="false" customHeight="false" outlineLevel="0" collapsed="false">
      <c r="A206" s="20" t="s">
        <v>191</v>
      </c>
      <c r="B206" s="213"/>
      <c r="C206" s="198" t="n">
        <f aca="false">INDEX('imp-questions'!E:E, MATCH(A206, 'imp-questions'!A:A, 0))</f>
        <v>2</v>
      </c>
      <c r="D206" s="55" t="str">
        <f aca="false">INDEX('imp-questions'!F:F, MATCH(A206, 'imp-questions'!A:A, 0))</f>
        <v>Do you have hardening baselines for your components?</v>
      </c>
      <c r="E206" s="56" t="str">
        <f aca="false">CHAR(65+INDEX('imp-questions'!H:H, MATCH(A206, 'imp-questions'!A:A, 0)))</f>
        <v>G</v>
      </c>
      <c r="F206" s="67"/>
      <c r="G206" s="88" t="n">
        <f aca="true">IFERROR(INDEX(INDIRECT("Ans" &amp; E206 &amp; "TBL"), MATCH(F206, INDEX(INDIRECT("Ans" &amp; E206 &amp; "TBL"), 0, 1), 0), 2), 0)</f>
        <v>0</v>
      </c>
      <c r="H206" s="58" t="n">
        <f aca="false">IFERROR(AVERAGE(G206,G213),0)</f>
        <v>0</v>
      </c>
      <c r="I206" s="97"/>
      <c r="J206" s="27"/>
      <c r="K206" s="28"/>
      <c r="L206" s="29"/>
      <c r="M206" s="29"/>
      <c r="N206" s="29"/>
      <c r="O206" s="29"/>
      <c r="P206" s="29"/>
      <c r="Q206" s="28"/>
      <c r="R206" s="28"/>
      <c r="S206" s="28"/>
      <c r="T206" s="28"/>
      <c r="U206" s="28"/>
      <c r="V206" s="28"/>
      <c r="W206" s="28"/>
      <c r="X206" s="28"/>
      <c r="Y206" s="28"/>
      <c r="Z206" s="28"/>
    </row>
    <row r="207" customFormat="false" ht="55.5" hidden="false" customHeight="true" outlineLevel="0" collapsed="false">
      <c r="B207" s="213"/>
      <c r="C207" s="200"/>
      <c r="D207" s="201" t="str">
        <f aca="false">INDEX('imp-questions'!G:G, MATCH(A206, 'imp-questions'!A:A, 0))</f>
        <v>You have assigned an owner for each baseline
 The owner keeps their assigned baselines up to date
 You store baselines in an accessible location
 You train employees responsible for configurations in these baselines</v>
      </c>
      <c r="E207" s="202"/>
      <c r="F207" s="203"/>
      <c r="G207" s="102"/>
      <c r="H207" s="98"/>
      <c r="I207" s="97"/>
      <c r="J207" s="27"/>
      <c r="K207" s="28"/>
      <c r="L207" s="29"/>
      <c r="M207" s="29"/>
      <c r="N207" s="29"/>
      <c r="O207" s="29"/>
      <c r="P207" s="29"/>
      <c r="Q207" s="28"/>
      <c r="R207" s="28"/>
      <c r="S207" s="28"/>
      <c r="T207" s="28"/>
      <c r="U207" s="28"/>
      <c r="V207" s="28"/>
      <c r="W207" s="28"/>
      <c r="X207" s="28"/>
      <c r="Y207" s="28"/>
      <c r="Z207" s="28"/>
    </row>
    <row r="208" customFormat="false" ht="14.15" hidden="false" customHeight="false" outlineLevel="0" collapsed="false">
      <c r="A208" s="20" t="s">
        <v>192</v>
      </c>
      <c r="B208" s="213"/>
      <c r="C208" s="198" t="n">
        <f aca="false">INDEX('imp-questions'!E:E, MATCH(A208, 'imp-questions'!A:A, 0))</f>
        <v>3</v>
      </c>
      <c r="D208" s="55" t="str">
        <f aca="false">INDEX('imp-questions'!F:F, MATCH(A208, 'imp-questions'!A:A, 0))</f>
        <v>Do you monitor and enforce conformity with hardening baselines?</v>
      </c>
      <c r="E208" s="56" t="str">
        <f aca="false">CHAR(65+INDEX('imp-questions'!H:H, MATCH(A208, 'imp-questions'!A:A, 0)))</f>
        <v>G</v>
      </c>
      <c r="F208" s="67"/>
      <c r="G208" s="88" t="n">
        <f aca="true">IFERROR(INDEX(INDIRECT("Ans" &amp; E208 &amp; "TBL"), MATCH(F208, INDEX(INDIRECT("Ans" &amp; E208 &amp; "TBL"), 0, 1), 0), 2), 0)</f>
        <v>0</v>
      </c>
      <c r="H208" s="58" t="n">
        <f aca="false">IFERROR(AVERAGE(G208,G215),0)</f>
        <v>0</v>
      </c>
      <c r="I208" s="99"/>
      <c r="J208" s="27"/>
      <c r="K208" s="28"/>
      <c r="L208" s="29"/>
      <c r="M208" s="29"/>
      <c r="N208" s="29"/>
      <c r="O208" s="29"/>
      <c r="P208" s="29"/>
      <c r="Q208" s="28"/>
      <c r="R208" s="28"/>
      <c r="S208" s="28"/>
      <c r="T208" s="28"/>
      <c r="U208" s="28"/>
      <c r="V208" s="28"/>
      <c r="W208" s="28"/>
      <c r="X208" s="28"/>
      <c r="Y208" s="28"/>
      <c r="Z208" s="28"/>
    </row>
    <row r="209" customFormat="false" ht="55.5" hidden="false" customHeight="true" outlineLevel="0" collapsed="false">
      <c r="B209" s="213"/>
      <c r="C209" s="200"/>
      <c r="D209" s="201" t="str">
        <f aca="false">INDEX('imp-questions'!G:G, MATCH(A208, 'imp-questions'!A:A, 0))</f>
        <v>You perform conformity checks regularly, preferably using automation
 You store conformity check results in an accessible location
 You follow an established process to address reported non-conformities
 You review each baseline at least annually, and update it when required</v>
      </c>
      <c r="E209" s="202"/>
      <c r="F209" s="203"/>
      <c r="G209" s="102"/>
      <c r="H209" s="98"/>
      <c r="I209" s="99"/>
      <c r="J209" s="27"/>
      <c r="K209" s="28"/>
      <c r="L209" s="29"/>
      <c r="M209" s="29"/>
      <c r="N209" s="29"/>
      <c r="O209" s="29"/>
      <c r="P209" s="29"/>
      <c r="Q209" s="28"/>
      <c r="R209" s="28"/>
      <c r="S209" s="28"/>
      <c r="T209" s="28"/>
      <c r="U209" s="28"/>
      <c r="V209" s="28"/>
      <c r="W209" s="28"/>
      <c r="X209" s="28"/>
      <c r="Y209" s="28"/>
      <c r="Z209" s="28"/>
    </row>
    <row r="210" customFormat="false" ht="12.75" hidden="false" customHeight="false" outlineLevel="0" collapsed="false">
      <c r="B210" s="142"/>
      <c r="C210" s="75"/>
      <c r="D210" s="76"/>
      <c r="E210" s="76"/>
      <c r="F210" s="76"/>
      <c r="G210" s="75"/>
      <c r="H210" s="76"/>
      <c r="I210" s="206"/>
      <c r="J210" s="71"/>
      <c r="K210" s="28"/>
      <c r="L210" s="29"/>
      <c r="M210" s="29"/>
      <c r="N210" s="29"/>
      <c r="O210" s="29"/>
      <c r="P210" s="29"/>
      <c r="Q210" s="28"/>
      <c r="R210" s="28"/>
      <c r="S210" s="28"/>
      <c r="T210" s="28"/>
      <c r="U210" s="28"/>
      <c r="V210" s="28"/>
      <c r="W210" s="28"/>
      <c r="X210" s="28"/>
      <c r="Y210" s="28"/>
      <c r="Z210" s="28"/>
    </row>
    <row r="211" customFormat="false" ht="15" hidden="false" customHeight="true" outlineLevel="0" collapsed="false">
      <c r="A211" s="20" t="s">
        <v>193</v>
      </c>
      <c r="B211" s="197" t="str">
        <f aca="false">INDEX('imp-questions'!D:D, MATCH(A211, 'imp-questions'!A:A, 0))</f>
        <v>Patching and Updating</v>
      </c>
      <c r="C211" s="207" t="n">
        <f aca="false">INDEX('imp-questions'!E:E, MATCH(A211, 'imp-questions'!A:A, 0))</f>
        <v>1</v>
      </c>
      <c r="D211" s="55" t="str">
        <f aca="false">INDEX('imp-questions'!F:F, MATCH(A211, 'imp-questions'!A:A, 0))</f>
        <v>Do you identify and patch vulnerable components?</v>
      </c>
      <c r="E211" s="56" t="str">
        <f aca="false">CHAR(65+INDEX('imp-questions'!H:H, MATCH(A211, 'imp-questions'!A:A, 0)))</f>
        <v>G</v>
      </c>
      <c r="F211" s="57"/>
      <c r="G211" s="88" t="n">
        <f aca="true">IFERROR(INDEX(INDIRECT("Ans" &amp; E211 &amp; "TBL"), MATCH(F211, INDEX(INDIRECT("Ans" &amp; E211 &amp; "TBL"), 0, 1), 0), 2), 0)</f>
        <v>0</v>
      </c>
      <c r="H211" s="58"/>
      <c r="I211" s="59"/>
      <c r="J211" s="71"/>
      <c r="K211" s="28"/>
      <c r="L211" s="29"/>
      <c r="M211" s="29"/>
      <c r="N211" s="29"/>
      <c r="O211" s="29"/>
      <c r="P211" s="29"/>
      <c r="Q211" s="28"/>
      <c r="R211" s="28"/>
      <c r="S211" s="28"/>
      <c r="T211" s="28"/>
      <c r="U211" s="28"/>
      <c r="V211" s="28"/>
      <c r="W211" s="28"/>
      <c r="X211" s="28"/>
      <c r="Y211" s="28"/>
      <c r="Z211" s="28"/>
    </row>
    <row r="212" customFormat="false" ht="27.75" hidden="false" customHeight="true" outlineLevel="0" collapsed="false">
      <c r="B212" s="197"/>
      <c r="C212" s="200"/>
      <c r="D212" s="201" t="str">
        <f aca="false">INDEX('imp-questions'!G:G, MATCH(A211, 'imp-questions'!A:A, 0))</f>
        <v>You have an up-to-date list of components, including version information
 You regularly review public sources for vulnerabilities related to your components</v>
      </c>
      <c r="E212" s="202"/>
      <c r="F212" s="203"/>
      <c r="G212" s="102"/>
      <c r="H212" s="103"/>
      <c r="I212" s="59"/>
      <c r="J212" s="71"/>
      <c r="K212" s="28"/>
      <c r="L212" s="29"/>
      <c r="M212" s="29"/>
      <c r="N212" s="29"/>
      <c r="O212" s="29"/>
      <c r="P212" s="29"/>
      <c r="Q212" s="28"/>
      <c r="R212" s="28"/>
      <c r="S212" s="28"/>
      <c r="T212" s="28"/>
      <c r="U212" s="28"/>
      <c r="V212" s="28"/>
      <c r="W212" s="28"/>
      <c r="X212" s="28"/>
      <c r="Y212" s="28"/>
      <c r="Z212" s="28"/>
    </row>
    <row r="213" customFormat="false" ht="14.15" hidden="false" customHeight="false" outlineLevel="0" collapsed="false">
      <c r="A213" s="20" t="s">
        <v>194</v>
      </c>
      <c r="B213" s="197"/>
      <c r="C213" s="198" t="n">
        <f aca="false">INDEX('imp-questions'!E:E, MATCH(A213, 'imp-questions'!A:A, 0))</f>
        <v>2</v>
      </c>
      <c r="D213" s="55" t="str">
        <f aca="false">INDEX('imp-questions'!F:F, MATCH(A213, 'imp-questions'!A:A, 0))</f>
        <v>Do you follow an established process for updating components of your technology stacks?</v>
      </c>
      <c r="E213" s="56" t="str">
        <f aca="false">CHAR(65+INDEX('imp-questions'!H:H, MATCH(A213, 'imp-questions'!A:A, 0)))</f>
        <v>G</v>
      </c>
      <c r="F213" s="67"/>
      <c r="G213" s="88" t="n">
        <f aca="true">IFERROR(INDEX(INDIRECT("Ans" &amp; E213 &amp; "TBL"), MATCH(F213, INDEX(INDIRECT("Ans" &amp; E213 &amp; "TBL"), 0, 1), 0), 2), 0)</f>
        <v>0</v>
      </c>
      <c r="H213" s="58"/>
      <c r="I213" s="59"/>
      <c r="J213" s="71"/>
      <c r="K213" s="28"/>
      <c r="L213" s="29"/>
      <c r="M213" s="29"/>
      <c r="N213" s="29"/>
      <c r="O213" s="29"/>
      <c r="P213" s="29"/>
      <c r="Q213" s="28"/>
      <c r="R213" s="28"/>
      <c r="S213" s="28"/>
      <c r="T213" s="28"/>
      <c r="U213" s="28"/>
      <c r="V213" s="28"/>
      <c r="W213" s="28"/>
      <c r="X213" s="28"/>
      <c r="Y213" s="28"/>
      <c r="Z213" s="28"/>
    </row>
    <row r="214" customFormat="false" ht="42" hidden="false" customHeight="true" outlineLevel="0" collapsed="false">
      <c r="B214" s="197"/>
      <c r="C214" s="200"/>
      <c r="D214" s="201" t="str">
        <f aca="false">INDEX('imp-questions'!G:G, MATCH(A213, 'imp-questions'!A:A, 0))</f>
        <v>The process includes vendor information for third-party patches
 The process considers external sources to gather information about zero day attacks, and includes appropriate risk mitigation steps
 The process includes guidance for prioritizing component updates</v>
      </c>
      <c r="E214" s="202"/>
      <c r="F214" s="203"/>
      <c r="G214" s="65"/>
      <c r="H214" s="73"/>
      <c r="I214" s="59"/>
      <c r="J214" s="71"/>
      <c r="K214" s="28"/>
      <c r="L214" s="29"/>
      <c r="M214" s="29"/>
      <c r="N214" s="29"/>
      <c r="O214" s="29"/>
      <c r="P214" s="29"/>
      <c r="Q214" s="28"/>
      <c r="R214" s="28"/>
      <c r="S214" s="28"/>
      <c r="T214" s="28"/>
      <c r="U214" s="28"/>
      <c r="V214" s="28"/>
      <c r="W214" s="28"/>
      <c r="X214" s="28"/>
      <c r="Y214" s="28"/>
      <c r="Z214" s="28"/>
    </row>
    <row r="215" customFormat="false" ht="14.15" hidden="false" customHeight="false" outlineLevel="0" collapsed="false">
      <c r="A215" s="20" t="s">
        <v>195</v>
      </c>
      <c r="B215" s="197"/>
      <c r="C215" s="198" t="n">
        <f aca="false">INDEX('imp-questions'!E:E, MATCH(A215, 'imp-questions'!A:A, 0))</f>
        <v>3</v>
      </c>
      <c r="D215" s="55" t="str">
        <f aca="false">INDEX('imp-questions'!F:F, MATCH(A215, 'imp-questions'!A:A, 0))</f>
        <v>Do you regularly evaluate components and review patch level status?</v>
      </c>
      <c r="E215" s="56" t="str">
        <f aca="false">CHAR(65+INDEX('imp-questions'!H:H, MATCH(A215, 'imp-questions'!A:A, 0)))</f>
        <v>G</v>
      </c>
      <c r="F215" s="67"/>
      <c r="G215" s="88" t="n">
        <f aca="true">IFERROR(INDEX(INDIRECT("Ans" &amp; E215 &amp; "TBL"), MATCH(F215, INDEX(INDIRECT("Ans" &amp; E215 &amp; "TBL"), 0, 1), 0), 2), 0)</f>
        <v>0</v>
      </c>
      <c r="H215" s="58"/>
      <c r="I215" s="59"/>
      <c r="J215" s="71"/>
      <c r="K215" s="28"/>
      <c r="L215" s="29"/>
      <c r="M215" s="29"/>
      <c r="N215" s="29"/>
      <c r="O215" s="29"/>
      <c r="P215" s="29"/>
      <c r="Q215" s="28"/>
      <c r="R215" s="28"/>
      <c r="S215" s="28"/>
      <c r="T215" s="28"/>
      <c r="U215" s="28"/>
      <c r="V215" s="28"/>
      <c r="W215" s="28"/>
      <c r="X215" s="28"/>
      <c r="Y215" s="28"/>
      <c r="Z215" s="28"/>
    </row>
    <row r="216" customFormat="false" ht="42" hidden="false" customHeight="true" outlineLevel="0" collapsed="false">
      <c r="B216" s="197"/>
      <c r="C216" s="200"/>
      <c r="D216" s="208" t="str">
        <f aca="false">INDEX('imp-questions'!G:G, MATCH(A215, 'imp-questions'!A:A, 0))</f>
        <v>You update the list with components and versions
 You identify and update missing updates according to existing SLA
 You review and update the process based on feedback from the people who perform patching</v>
      </c>
      <c r="E216" s="202"/>
      <c r="F216" s="203"/>
      <c r="G216" s="65"/>
      <c r="H216" s="73"/>
      <c r="I216" s="59"/>
      <c r="J216" s="71"/>
      <c r="K216" s="28"/>
      <c r="L216" s="29"/>
      <c r="M216" s="29"/>
      <c r="N216" s="29"/>
      <c r="O216" s="29"/>
      <c r="P216" s="29"/>
      <c r="Q216" s="28"/>
      <c r="R216" s="28"/>
      <c r="S216" s="28"/>
      <c r="T216" s="28"/>
      <c r="U216" s="28"/>
      <c r="V216" s="28"/>
      <c r="W216" s="28"/>
      <c r="X216" s="28"/>
      <c r="Y216" s="28"/>
      <c r="Z216" s="28"/>
    </row>
    <row r="217" customFormat="false" ht="14.15" hidden="false" customHeight="true" outlineLevel="0" collapsed="false">
      <c r="B217" s="209" t="s">
        <v>236</v>
      </c>
      <c r="C217" s="209"/>
      <c r="D217" s="209"/>
      <c r="E217" s="210"/>
      <c r="F217" s="211" t="s">
        <v>216</v>
      </c>
      <c r="G217" s="211"/>
      <c r="H217" s="212"/>
      <c r="I217" s="196" t="s">
        <v>217</v>
      </c>
      <c r="J217" s="196" t="s">
        <v>218</v>
      </c>
      <c r="K217" s="28"/>
      <c r="L217" s="29"/>
      <c r="M217" s="29"/>
      <c r="N217" s="29"/>
      <c r="O217" s="29"/>
      <c r="P217" s="29"/>
      <c r="Q217" s="28"/>
      <c r="R217" s="28"/>
      <c r="S217" s="28"/>
      <c r="T217" s="28"/>
      <c r="U217" s="28"/>
      <c r="V217" s="28"/>
      <c r="W217" s="28"/>
      <c r="X217" s="28"/>
      <c r="Y217" s="28"/>
      <c r="Z217" s="28"/>
    </row>
    <row r="218" customFormat="false" ht="27.75" hidden="false" customHeight="true" outlineLevel="0" collapsed="false">
      <c r="A218" s="20" t="s">
        <v>196</v>
      </c>
      <c r="B218" s="213" t="str">
        <f aca="false">INDEX('imp-questions'!D:D, MATCH(A218, 'imp-questions'!A:A, 0))</f>
        <v>Data Protection</v>
      </c>
      <c r="C218" s="207" t="n">
        <f aca="false">INDEX('imp-questions'!E:E, MATCH(A218, 'imp-questions'!A:A, 0))</f>
        <v>1</v>
      </c>
      <c r="D218" s="83" t="str">
        <f aca="false">INDEX('imp-questions'!F:F, MATCH(A218, 'imp-questions'!A:A, 0))</f>
        <v>Do you protect and handle information according to protection requirements for data stored and processed on each application?</v>
      </c>
      <c r="E218" s="56" t="str">
        <f aca="false">CHAR(65+INDEX('imp-questions'!H:H, MATCH(A218, 'imp-questions'!A:A, 0)))</f>
        <v>A</v>
      </c>
      <c r="F218" s="111"/>
      <c r="G218" s="88" t="n">
        <f aca="true">IFERROR(INDEX(INDIRECT("Ans" &amp; E218 &amp; "TBL"), MATCH(F218, INDEX(INDIRECT("Ans" &amp; E218 &amp; "TBL"), 0, 1), 0), 2), 0)</f>
        <v>0</v>
      </c>
      <c r="H218" s="58" t="n">
        <f aca="false">IFERROR(AVERAGE(G218,G225),0)</f>
        <v>0</v>
      </c>
      <c r="I218" s="95"/>
      <c r="J218" s="199" t="n">
        <f aca="false">SUM(H218,H220,H222)</f>
        <v>0</v>
      </c>
      <c r="K218" s="28"/>
      <c r="L218" s="29"/>
      <c r="M218" s="29"/>
      <c r="N218" s="29"/>
      <c r="O218" s="29"/>
      <c r="P218" s="29"/>
      <c r="Q218" s="28"/>
      <c r="R218" s="28"/>
      <c r="S218" s="28"/>
      <c r="T218" s="28"/>
      <c r="U218" s="28"/>
      <c r="V218" s="28"/>
      <c r="W218" s="28"/>
      <c r="X218" s="28"/>
      <c r="Y218" s="28"/>
      <c r="Z218" s="28"/>
    </row>
    <row r="219" customFormat="false" ht="42" hidden="false" customHeight="true" outlineLevel="0" collapsed="false">
      <c r="B219" s="213"/>
      <c r="C219" s="200"/>
      <c r="D219" s="201" t="str">
        <f aca="false">INDEX('imp-questions'!G:G, MATCH(A218, 'imp-questions'!A:A, 0))</f>
        <v>You know the data elements processed and stored by each application
 You know the type and sensitivity level of each identified data element
 You have controls to prevent propagation of unsanitized sensitive data from production to lower environments</v>
      </c>
      <c r="E219" s="202"/>
      <c r="F219" s="203"/>
      <c r="G219" s="65"/>
      <c r="H219" s="96"/>
      <c r="I219" s="95"/>
      <c r="J219" s="199"/>
      <c r="K219" s="28"/>
      <c r="L219" s="29"/>
      <c r="M219" s="29"/>
      <c r="N219" s="29"/>
      <c r="O219" s="29"/>
      <c r="P219" s="29"/>
      <c r="Q219" s="28"/>
      <c r="R219" s="28"/>
      <c r="S219" s="28"/>
      <c r="T219" s="28"/>
      <c r="U219" s="28"/>
      <c r="V219" s="28"/>
      <c r="W219" s="28"/>
      <c r="X219" s="28"/>
      <c r="Y219" s="28"/>
      <c r="Z219" s="28"/>
    </row>
    <row r="220" customFormat="false" ht="25.5" hidden="false" customHeight="true" outlineLevel="0" collapsed="false">
      <c r="A220" s="20" t="s">
        <v>197</v>
      </c>
      <c r="B220" s="213"/>
      <c r="C220" s="198" t="n">
        <f aca="false">INDEX('imp-questions'!E:E, MATCH(A220, 'imp-questions'!A:A, 0))</f>
        <v>2</v>
      </c>
      <c r="D220" s="55" t="str">
        <f aca="false">INDEX('imp-questions'!F:F, MATCH(A220, 'imp-questions'!A:A, 0))</f>
        <v>Do you maintain a data catalog, including types, sensitivity levels, and processing and storage locations?</v>
      </c>
      <c r="E220" s="56" t="str">
        <f aca="false">CHAR(65+INDEX('imp-questions'!H:H, MATCH(A220, 'imp-questions'!A:A, 0)))</f>
        <v>J</v>
      </c>
      <c r="F220" s="67"/>
      <c r="G220" s="88" t="n">
        <f aca="true">IFERROR(INDEX(INDIRECT("Ans" &amp; E220 &amp; "TBL"), MATCH(F220, INDEX(INDIRECT("Ans" &amp; E220 &amp; "TBL"), 0, 1), 0), 2), 0)</f>
        <v>0</v>
      </c>
      <c r="H220" s="58" t="n">
        <f aca="false">IFERROR(AVERAGE(G220,G227),0)</f>
        <v>0</v>
      </c>
      <c r="I220" s="97"/>
      <c r="J220" s="27"/>
      <c r="K220" s="28"/>
      <c r="L220" s="29"/>
      <c r="M220" s="29"/>
      <c r="N220" s="29"/>
      <c r="O220" s="29"/>
      <c r="P220" s="29"/>
      <c r="Q220" s="28"/>
      <c r="R220" s="28"/>
      <c r="S220" s="28"/>
      <c r="T220" s="28"/>
      <c r="U220" s="28"/>
      <c r="V220" s="28"/>
      <c r="W220" s="28"/>
      <c r="X220" s="28"/>
      <c r="Y220" s="28"/>
      <c r="Z220" s="28"/>
    </row>
    <row r="221" customFormat="false" ht="55.5" hidden="false" customHeight="true" outlineLevel="0" collapsed="false">
      <c r="B221" s="213"/>
      <c r="C221" s="200"/>
      <c r="D221" s="201" t="str">
        <f aca="false">INDEX('imp-questions'!G:G, MATCH(A220, 'imp-questions'!A:A, 0))</f>
        <v>The data catalog is stored in an accessible location
 You know which data elements are subject to specific regulation
 You have controls for protecting and preserving data throughout its lifetime
 You have retention requirements for data, and you destroy backups in a timely manner after the relevant retention period ends</v>
      </c>
      <c r="E221" s="202"/>
      <c r="F221" s="203"/>
      <c r="G221" s="65"/>
      <c r="H221" s="98"/>
      <c r="I221" s="97"/>
      <c r="J221" s="27"/>
      <c r="K221" s="28"/>
      <c r="L221" s="29"/>
      <c r="M221" s="29"/>
      <c r="N221" s="29"/>
      <c r="O221" s="29"/>
      <c r="P221" s="29"/>
      <c r="Q221" s="28"/>
      <c r="R221" s="28"/>
      <c r="S221" s="28"/>
      <c r="T221" s="28"/>
      <c r="U221" s="28"/>
      <c r="V221" s="28"/>
      <c r="W221" s="28"/>
      <c r="X221" s="28"/>
      <c r="Y221" s="28"/>
      <c r="Z221" s="28"/>
    </row>
    <row r="222" customFormat="false" ht="25.5" hidden="false" customHeight="true" outlineLevel="0" collapsed="false">
      <c r="A222" s="20" t="s">
        <v>198</v>
      </c>
      <c r="B222" s="213"/>
      <c r="C222" s="198" t="n">
        <f aca="false">INDEX('imp-questions'!E:E, MATCH(A222, 'imp-questions'!A:A, 0))</f>
        <v>3</v>
      </c>
      <c r="D222" s="55" t="str">
        <f aca="false">INDEX('imp-questions'!F:F, MATCH(A222, 'imp-questions'!A:A, 0))</f>
        <v>Do you regularly review and update the data catalog and your data protection policies and procedures?</v>
      </c>
      <c r="E222" s="56" t="str">
        <f aca="false">CHAR(65+INDEX('imp-questions'!H:H, MATCH(A222, 'imp-questions'!A:A, 0)))</f>
        <v>K</v>
      </c>
      <c r="F222" s="67"/>
      <c r="G222" s="88" t="n">
        <f aca="true">IFERROR(INDEX(INDIRECT("Ans" &amp; E222 &amp; "TBL"), MATCH(F222, INDEX(INDIRECT("Ans" &amp; E222 &amp; "TBL"), 0, 1), 0), 2), 0)</f>
        <v>0</v>
      </c>
      <c r="H222" s="58" t="n">
        <f aca="false">IFERROR(AVERAGE(G222,G229),0)</f>
        <v>0</v>
      </c>
      <c r="I222" s="99"/>
      <c r="J222" s="27"/>
      <c r="K222" s="28"/>
      <c r="L222" s="29"/>
      <c r="M222" s="29"/>
      <c r="N222" s="29"/>
      <c r="O222" s="29"/>
      <c r="P222" s="29"/>
      <c r="Q222" s="28"/>
      <c r="R222" s="28"/>
      <c r="S222" s="28"/>
      <c r="T222" s="28"/>
      <c r="U222" s="28"/>
      <c r="V222" s="28"/>
      <c r="W222" s="28"/>
      <c r="X222" s="28"/>
      <c r="Y222" s="28"/>
      <c r="Z222" s="28"/>
    </row>
    <row r="223" customFormat="false" ht="42" hidden="false" customHeight="true" outlineLevel="0" collapsed="false">
      <c r="B223" s="213"/>
      <c r="C223" s="200"/>
      <c r="D223" s="201" t="str">
        <f aca="false">INDEX('imp-questions'!G:G, MATCH(A222, 'imp-questions'!A:A, 0))</f>
        <v>You have automated monitoring to detect attempted or actual violations of the Data Protection Policy
 You have tools for data loss prevention, access control and tracking, or anomalous behavior detection
 You periodically audit the operation of automated mechanisms, including backups and record deletions</v>
      </c>
      <c r="E223" s="202"/>
      <c r="F223" s="203"/>
      <c r="G223" s="65"/>
      <c r="H223" s="98"/>
      <c r="I223" s="99"/>
      <c r="J223" s="27"/>
      <c r="K223" s="28"/>
      <c r="L223" s="29"/>
      <c r="M223" s="29"/>
      <c r="N223" s="29"/>
      <c r="O223" s="29"/>
      <c r="P223" s="29"/>
      <c r="Q223" s="28"/>
      <c r="R223" s="28"/>
      <c r="S223" s="28"/>
      <c r="T223" s="28"/>
      <c r="U223" s="28"/>
      <c r="V223" s="28"/>
      <c r="W223" s="28"/>
      <c r="X223" s="28"/>
      <c r="Y223" s="28"/>
      <c r="Z223" s="28"/>
    </row>
    <row r="224" customFormat="false" ht="12.75" hidden="false" customHeight="false" outlineLevel="0" collapsed="false">
      <c r="B224" s="142"/>
      <c r="C224" s="75"/>
      <c r="D224" s="76"/>
      <c r="E224" s="76"/>
      <c r="F224" s="76"/>
      <c r="G224" s="76"/>
      <c r="H224" s="76"/>
      <c r="I224" s="206"/>
      <c r="J224" s="71"/>
      <c r="K224" s="28"/>
      <c r="L224" s="29"/>
      <c r="M224" s="29"/>
      <c r="N224" s="29"/>
      <c r="O224" s="29"/>
      <c r="P224" s="29"/>
      <c r="Q224" s="28"/>
      <c r="R224" s="28"/>
      <c r="S224" s="28"/>
      <c r="T224" s="28"/>
      <c r="U224" s="28"/>
      <c r="V224" s="28"/>
      <c r="W224" s="28"/>
      <c r="X224" s="28"/>
      <c r="Y224" s="28"/>
      <c r="Z224" s="28"/>
    </row>
    <row r="225" customFormat="false" ht="27.75" hidden="false" customHeight="true" outlineLevel="0" collapsed="false">
      <c r="A225" s="20" t="s">
        <v>199</v>
      </c>
      <c r="B225" s="197" t="str">
        <f aca="false">INDEX('imp-questions'!D:D, MATCH(A225, 'imp-questions'!A:A, 0))</f>
        <v>System Decommissioning / Legacy Management</v>
      </c>
      <c r="C225" s="207" t="n">
        <f aca="false">INDEX('imp-questions'!E:E, MATCH(A225, 'imp-questions'!A:A, 0))</f>
        <v>1</v>
      </c>
      <c r="D225" s="55" t="str">
        <f aca="false">INDEX('imp-questions'!F:F, MATCH(A225, 'imp-questions'!A:A, 0))</f>
        <v>Do you identify and remove systems, applications, application dependencies, or services that are no longer used, have reached end of life, or are no longer actively developed or supported?</v>
      </c>
      <c r="E225" s="56" t="str">
        <f aca="false">CHAR(65+INDEX('imp-questions'!H:H, MATCH(A225, 'imp-questions'!A:A, 0)))</f>
        <v>A</v>
      </c>
      <c r="F225" s="111"/>
      <c r="G225" s="88" t="n">
        <f aca="true">IFERROR(INDEX(INDIRECT("Ans" &amp; E225 &amp; "TBL"), MATCH(F225, INDEX(INDIRECT("Ans" &amp; E225 &amp; "TBL"), 0, 1), 0), 2), 0)</f>
        <v>0</v>
      </c>
      <c r="H225" s="58"/>
      <c r="I225" s="59"/>
      <c r="J225" s="71"/>
      <c r="K225" s="28"/>
      <c r="L225" s="29"/>
      <c r="M225" s="29"/>
      <c r="N225" s="29"/>
      <c r="O225" s="29"/>
      <c r="P225" s="29"/>
      <c r="Q225" s="28"/>
      <c r="R225" s="28"/>
      <c r="S225" s="28"/>
      <c r="T225" s="28"/>
      <c r="U225" s="28"/>
      <c r="V225" s="28"/>
      <c r="W225" s="28"/>
      <c r="X225" s="28"/>
      <c r="Y225" s="28"/>
      <c r="Z225" s="28"/>
    </row>
    <row r="226" customFormat="false" ht="27.75" hidden="false" customHeight="true" outlineLevel="0" collapsed="false">
      <c r="B226" s="197"/>
      <c r="C226" s="200"/>
      <c r="D226" s="201" t="str">
        <f aca="false">INDEX('imp-questions'!G:G, MATCH(A225, 'imp-questions'!A:A, 0))</f>
        <v>You do not use unsupported applications or dependencies
 You manage customer/user migration from older versions for each product and customer/user group</v>
      </c>
      <c r="E226" s="202"/>
      <c r="F226" s="203"/>
      <c r="G226" s="65"/>
      <c r="H226" s="73"/>
      <c r="I226" s="59"/>
      <c r="J226" s="71"/>
      <c r="K226" s="28"/>
      <c r="L226" s="29"/>
      <c r="M226" s="29"/>
      <c r="N226" s="29"/>
      <c r="O226" s="29"/>
      <c r="P226" s="29"/>
      <c r="Q226" s="28"/>
      <c r="R226" s="28"/>
      <c r="S226" s="28"/>
      <c r="T226" s="28"/>
      <c r="U226" s="28"/>
      <c r="V226" s="28"/>
      <c r="W226" s="28"/>
      <c r="X226" s="28"/>
      <c r="Y226" s="28"/>
      <c r="Z226" s="28"/>
    </row>
    <row r="227" customFormat="false" ht="27.75" hidden="false" customHeight="true" outlineLevel="0" collapsed="false">
      <c r="A227" s="20" t="s">
        <v>200</v>
      </c>
      <c r="B227" s="197"/>
      <c r="C227" s="198" t="n">
        <f aca="false">INDEX('imp-questions'!E:E, MATCH(A227, 'imp-questions'!A:A, 0))</f>
        <v>2</v>
      </c>
      <c r="D227" s="55" t="str">
        <f aca="false">INDEX('imp-questions'!F:F, MATCH(A227, 'imp-questions'!A:A, 0))</f>
        <v>Do you follow an established process for removing all associated resources, as part of decommissioning of unused systems, applications, application dependencies, or services?</v>
      </c>
      <c r="E227" s="56" t="str">
        <f aca="false">CHAR(65+INDEX('imp-questions'!H:H, MATCH(A227, 'imp-questions'!A:A, 0)))</f>
        <v>E</v>
      </c>
      <c r="F227" s="67"/>
      <c r="G227" s="88" t="n">
        <f aca="true">IFERROR(INDEX(INDIRECT("Ans" &amp; E227 &amp; "TBL"), MATCH(F227, INDEX(INDIRECT("Ans" &amp; E227 &amp; "TBL"), 0, 1), 0), 2), 0)</f>
        <v>0</v>
      </c>
      <c r="H227" s="58"/>
      <c r="I227" s="59"/>
      <c r="J227" s="71"/>
      <c r="K227" s="28"/>
      <c r="L227" s="29"/>
      <c r="M227" s="29"/>
      <c r="N227" s="29"/>
      <c r="O227" s="29"/>
      <c r="P227" s="29"/>
      <c r="Q227" s="28"/>
      <c r="R227" s="28"/>
      <c r="S227" s="28"/>
      <c r="T227" s="28"/>
      <c r="U227" s="28"/>
      <c r="V227" s="28"/>
      <c r="W227" s="28"/>
      <c r="X227" s="28"/>
      <c r="Y227" s="28"/>
      <c r="Z227" s="28"/>
    </row>
    <row r="228" customFormat="false" ht="42" hidden="false" customHeight="true" outlineLevel="0" collapsed="false">
      <c r="B228" s="197"/>
      <c r="C228" s="200"/>
      <c r="D228" s="201" t="str">
        <f aca="false">INDEX('imp-questions'!G:G, MATCH(A227, 'imp-questions'!A:A, 0))</f>
        <v>You document the status of support for all released versions of your products, in an accessible location
 The process includes replacement or upgrade of third-party applications, or application dependencies, that have reached end of life
 Operating environments do not contain orphaned accounts, firewall rules, or other configuration artifacts</v>
      </c>
      <c r="E228" s="202"/>
      <c r="F228" s="203"/>
      <c r="G228" s="65"/>
      <c r="H228" s="73"/>
      <c r="I228" s="59"/>
      <c r="J228" s="71"/>
      <c r="K228" s="28"/>
      <c r="L228" s="29"/>
      <c r="M228" s="29"/>
      <c r="N228" s="29"/>
      <c r="O228" s="29"/>
      <c r="P228" s="29"/>
      <c r="Q228" s="28"/>
      <c r="R228" s="28"/>
      <c r="S228" s="28"/>
      <c r="T228" s="28"/>
      <c r="U228" s="28"/>
      <c r="V228" s="28"/>
      <c r="W228" s="28"/>
      <c r="X228" s="28"/>
      <c r="Y228" s="28"/>
      <c r="Z228" s="28"/>
    </row>
    <row r="229" customFormat="false" ht="27.75" hidden="false" customHeight="true" outlineLevel="0" collapsed="false">
      <c r="A229" s="20" t="s">
        <v>201</v>
      </c>
      <c r="B229" s="197"/>
      <c r="C229" s="198" t="n">
        <f aca="false">INDEX('imp-questions'!E:E, MATCH(A229, 'imp-questions'!A:A, 0))</f>
        <v>3</v>
      </c>
      <c r="D229" s="55" t="str">
        <f aca="false">INDEX('imp-questions'!F:F, MATCH(A229, 'imp-questions'!A:A, 0))</f>
        <v>Do you regularly evaluate the lifecycle state and support status of every software asset and underlying infrastructure component, and estimate their end of life?</v>
      </c>
      <c r="E229" s="56" t="str">
        <f aca="false">CHAR(65+INDEX('imp-questions'!H:H, MATCH(A229, 'imp-questions'!A:A, 0)))</f>
        <v>L</v>
      </c>
      <c r="F229" s="67"/>
      <c r="G229" s="88" t="n">
        <f aca="true">IFERROR(INDEX(INDIRECT("Ans" &amp; E229 &amp; "TBL"), MATCH(F229, INDEX(INDIRECT("Ans" &amp; E229 &amp; "TBL"), 0, 1), 0), 2), 0)</f>
        <v>0</v>
      </c>
      <c r="H229" s="58"/>
      <c r="I229" s="70"/>
      <c r="J229" s="71"/>
      <c r="K229" s="28"/>
      <c r="L229" s="29"/>
      <c r="M229" s="29"/>
      <c r="N229" s="29"/>
      <c r="O229" s="29"/>
      <c r="P229" s="29"/>
      <c r="Q229" s="28"/>
      <c r="R229" s="28"/>
      <c r="S229" s="28"/>
      <c r="T229" s="28"/>
      <c r="U229" s="28"/>
      <c r="V229" s="28"/>
      <c r="W229" s="28"/>
      <c r="X229" s="28"/>
      <c r="Y229" s="28"/>
      <c r="Z229" s="28"/>
    </row>
    <row r="230" customFormat="false" ht="42" hidden="false" customHeight="true" outlineLevel="0" collapsed="false">
      <c r="B230" s="197"/>
      <c r="C230" s="214"/>
      <c r="D230" s="201" t="str">
        <f aca="false">INDEX('imp-questions'!G:G, MATCH(A229, 'imp-questions'!A:A, 0))</f>
        <v>Your end of life management process is agreed upon
 You inform customers and user groups of product timelines to prevent disruption of service or support
 You review the process at least annually</v>
      </c>
      <c r="E230" s="202"/>
      <c r="F230" s="203"/>
      <c r="G230" s="65"/>
      <c r="H230" s="73"/>
      <c r="I230" s="70"/>
      <c r="J230" s="71"/>
      <c r="K230" s="28"/>
      <c r="L230" s="29"/>
      <c r="M230" s="29"/>
      <c r="N230" s="29"/>
      <c r="O230" s="29"/>
      <c r="P230" s="29"/>
      <c r="Q230" s="28"/>
      <c r="R230" s="28"/>
      <c r="S230" s="28"/>
      <c r="T230" s="28"/>
      <c r="U230" s="28"/>
      <c r="V230" s="28"/>
      <c r="W230" s="28"/>
      <c r="X230" s="28"/>
      <c r="Y230" s="28"/>
      <c r="Z230" s="28"/>
    </row>
  </sheetData>
  <mergeCells count="166">
    <mergeCell ref="B1:I1"/>
    <mergeCell ref="B3:I3"/>
    <mergeCell ref="B4:I4"/>
    <mergeCell ref="B5:I5"/>
    <mergeCell ref="B6:I6"/>
    <mergeCell ref="B7:I7"/>
    <mergeCell ref="B8:I8"/>
    <mergeCell ref="B10:C10"/>
    <mergeCell ref="B11:C11"/>
    <mergeCell ref="B12:C12"/>
    <mergeCell ref="B13:C13"/>
    <mergeCell ref="B14:C14"/>
    <mergeCell ref="B16:J16"/>
    <mergeCell ref="B18:B23"/>
    <mergeCell ref="I18:I19"/>
    <mergeCell ref="J18:J19"/>
    <mergeCell ref="I20:I21"/>
    <mergeCell ref="I22:I23"/>
    <mergeCell ref="B25:B30"/>
    <mergeCell ref="I25:I26"/>
    <mergeCell ref="I27:I28"/>
    <mergeCell ref="I29:I30"/>
    <mergeCell ref="B31:D31"/>
    <mergeCell ref="B32:B37"/>
    <mergeCell ref="I32:I33"/>
    <mergeCell ref="J32:J33"/>
    <mergeCell ref="I34:I35"/>
    <mergeCell ref="I36:I37"/>
    <mergeCell ref="B39:B44"/>
    <mergeCell ref="I39:I40"/>
    <mergeCell ref="I41:I42"/>
    <mergeCell ref="I43:I44"/>
    <mergeCell ref="B45:D45"/>
    <mergeCell ref="B46:B51"/>
    <mergeCell ref="I46:I47"/>
    <mergeCell ref="J46:J47"/>
    <mergeCell ref="I48:I49"/>
    <mergeCell ref="I50:I51"/>
    <mergeCell ref="B53:B58"/>
    <mergeCell ref="I53:I54"/>
    <mergeCell ref="I55:I56"/>
    <mergeCell ref="I57:I58"/>
    <mergeCell ref="B59:J59"/>
    <mergeCell ref="B60:D60"/>
    <mergeCell ref="B61:B66"/>
    <mergeCell ref="I61:I62"/>
    <mergeCell ref="J61:J62"/>
    <mergeCell ref="I63:I64"/>
    <mergeCell ref="I65:I66"/>
    <mergeCell ref="B68:B73"/>
    <mergeCell ref="I68:I69"/>
    <mergeCell ref="I70:I71"/>
    <mergeCell ref="I72:I73"/>
    <mergeCell ref="B74:D74"/>
    <mergeCell ref="B75:B80"/>
    <mergeCell ref="I75:I76"/>
    <mergeCell ref="J75:J76"/>
    <mergeCell ref="I77:I78"/>
    <mergeCell ref="I79:I80"/>
    <mergeCell ref="B82:B87"/>
    <mergeCell ref="I82:I83"/>
    <mergeCell ref="I84:I85"/>
    <mergeCell ref="I86:I87"/>
    <mergeCell ref="B88:D88"/>
    <mergeCell ref="B89:B94"/>
    <mergeCell ref="I89:I90"/>
    <mergeCell ref="J89:J90"/>
    <mergeCell ref="I91:I92"/>
    <mergeCell ref="I93:I94"/>
    <mergeCell ref="B96:B101"/>
    <mergeCell ref="I96:I97"/>
    <mergeCell ref="I98:I99"/>
    <mergeCell ref="I100:I101"/>
    <mergeCell ref="B102:J102"/>
    <mergeCell ref="B103:D103"/>
    <mergeCell ref="B104:B109"/>
    <mergeCell ref="I104:I105"/>
    <mergeCell ref="J104:J105"/>
    <mergeCell ref="I106:I107"/>
    <mergeCell ref="I108:I109"/>
    <mergeCell ref="B111:B116"/>
    <mergeCell ref="I111:I112"/>
    <mergeCell ref="I113:I114"/>
    <mergeCell ref="I115:I116"/>
    <mergeCell ref="B117:D117"/>
    <mergeCell ref="B118:B123"/>
    <mergeCell ref="I118:I119"/>
    <mergeCell ref="J118:J119"/>
    <mergeCell ref="I120:I121"/>
    <mergeCell ref="I122:I123"/>
    <mergeCell ref="B125:B130"/>
    <mergeCell ref="I125:I126"/>
    <mergeCell ref="I127:I128"/>
    <mergeCell ref="I129:I130"/>
    <mergeCell ref="B131:D131"/>
    <mergeCell ref="B132:B137"/>
    <mergeCell ref="I132:I133"/>
    <mergeCell ref="J132:J133"/>
    <mergeCell ref="I134:I135"/>
    <mergeCell ref="I136:I137"/>
    <mergeCell ref="B139:B144"/>
    <mergeCell ref="I139:I140"/>
    <mergeCell ref="I141:I142"/>
    <mergeCell ref="I143:I144"/>
    <mergeCell ref="B145:J145"/>
    <mergeCell ref="B146:D146"/>
    <mergeCell ref="B147:B152"/>
    <mergeCell ref="I147:I148"/>
    <mergeCell ref="J147:J148"/>
    <mergeCell ref="I149:I150"/>
    <mergeCell ref="I151:I152"/>
    <mergeCell ref="B154:B159"/>
    <mergeCell ref="I154:I155"/>
    <mergeCell ref="I156:I157"/>
    <mergeCell ref="I158:I159"/>
    <mergeCell ref="B160:D160"/>
    <mergeCell ref="B161:B166"/>
    <mergeCell ref="I161:I162"/>
    <mergeCell ref="J161:J162"/>
    <mergeCell ref="I163:I164"/>
    <mergeCell ref="I165:I166"/>
    <mergeCell ref="B168:B173"/>
    <mergeCell ref="I168:I169"/>
    <mergeCell ref="I170:I171"/>
    <mergeCell ref="I172:I173"/>
    <mergeCell ref="B174:D174"/>
    <mergeCell ref="B175:B180"/>
    <mergeCell ref="I175:I176"/>
    <mergeCell ref="J175:J176"/>
    <mergeCell ref="I177:I178"/>
    <mergeCell ref="I179:I180"/>
    <mergeCell ref="B182:B187"/>
    <mergeCell ref="I182:I183"/>
    <mergeCell ref="I184:I185"/>
    <mergeCell ref="I186:I187"/>
    <mergeCell ref="B188:J188"/>
    <mergeCell ref="B189:D189"/>
    <mergeCell ref="B190:B195"/>
    <mergeCell ref="I190:I191"/>
    <mergeCell ref="J190:J191"/>
    <mergeCell ref="I192:I193"/>
    <mergeCell ref="I194:I195"/>
    <mergeCell ref="B197:B202"/>
    <mergeCell ref="I197:I198"/>
    <mergeCell ref="I199:I200"/>
    <mergeCell ref="I201:I202"/>
    <mergeCell ref="B203:D203"/>
    <mergeCell ref="B204:B209"/>
    <mergeCell ref="I204:I205"/>
    <mergeCell ref="J204:J205"/>
    <mergeCell ref="I206:I207"/>
    <mergeCell ref="I208:I209"/>
    <mergeCell ref="B211:B216"/>
    <mergeCell ref="I211:I212"/>
    <mergeCell ref="I213:I214"/>
    <mergeCell ref="I215:I216"/>
    <mergeCell ref="B217:D217"/>
    <mergeCell ref="B218:B223"/>
    <mergeCell ref="I218:I219"/>
    <mergeCell ref="J218:J219"/>
    <mergeCell ref="I220:I221"/>
    <mergeCell ref="I222:I223"/>
    <mergeCell ref="B225:B230"/>
    <mergeCell ref="I225:I226"/>
    <mergeCell ref="I227:I228"/>
    <mergeCell ref="I229:I230"/>
  </mergeCells>
  <dataValidations count="92">
    <dataValidation allowBlank="false" errorStyle="stop" operator="between" showDropDown="false" showErrorMessage="true" showInputMessage="true" sqref="M20:P20 M22:P22" type="list">
      <formula1>answerb</formula1>
      <formula2>0</formula2>
    </dataValidation>
    <dataValidation allowBlank="false" errorStyle="stop" operator="between" showDropDown="false" showErrorMessage="true" showInputMessage="true" sqref="M18:P18" type="list">
      <formula1>answera</formula1>
      <formula2>0</formula2>
    </dataValidation>
    <dataValidation allowBlank="false" errorStyle="stop" operator="between" showDropDown="false" showErrorMessage="true" showInputMessage="true" sqref="F229" type="list">
      <formula1>O_OM_B_3_1</formula1>
      <formula2>0</formula2>
    </dataValidation>
    <dataValidation allowBlank="false" errorStyle="stop" operator="between" showDropDown="false" showErrorMessage="true" showInputMessage="true" sqref="F18" type="list">
      <formula1>G_SM_A_1_1</formula1>
      <formula2>0</formula2>
    </dataValidation>
    <dataValidation allowBlank="false" errorStyle="stop" operator="between" showDropDown="false" showErrorMessage="true" showInputMessage="true" sqref="F20" type="list">
      <formula1>G_SM_A_2_1</formula1>
      <formula2>0</formula2>
    </dataValidation>
    <dataValidation allowBlank="false" errorStyle="stop" operator="between" showDropDown="false" showErrorMessage="true" showInputMessage="true" sqref="F22" type="list">
      <formula1>G_SM_A_3_1</formula1>
      <formula2>0</formula2>
    </dataValidation>
    <dataValidation allowBlank="false" errorStyle="stop" operator="between" showDropDown="false" showErrorMessage="true" showInputMessage="true" sqref="F25" type="list">
      <formula1>G_SM_B_1_1</formula1>
      <formula2>0</formula2>
    </dataValidation>
    <dataValidation allowBlank="false" errorStyle="stop" operator="between" showDropDown="false" showErrorMessage="true" showInputMessage="true" sqref="F27" type="list">
      <formula1>G_SM_B_2_1</formula1>
      <formula2>0</formula2>
    </dataValidation>
    <dataValidation allowBlank="false" errorStyle="stop" operator="between" showDropDown="false" showErrorMessage="true" showInputMessage="true" sqref="F29" type="list">
      <formula1>G_SM_B_3_1</formula1>
      <formula2>0</formula2>
    </dataValidation>
    <dataValidation allowBlank="false" errorStyle="stop" operator="between" showDropDown="false" showErrorMessage="true" showInputMessage="true" sqref="F32" type="list">
      <formula1>G_PC_A_1_1</formula1>
      <formula2>0</formula2>
    </dataValidation>
    <dataValidation allowBlank="false" errorStyle="stop" operator="between" showDropDown="false" showErrorMessage="true" showInputMessage="true" sqref="F34" type="list">
      <formula1>G_PC_A_2_1</formula1>
      <formula2>0</formula2>
    </dataValidation>
    <dataValidation allowBlank="false" errorStyle="stop" operator="between" showDropDown="false" showErrorMessage="true" showInputMessage="true" sqref="F36" type="list">
      <formula1>G_PC_A_3_1</formula1>
      <formula2>0</formula2>
    </dataValidation>
    <dataValidation allowBlank="false" errorStyle="stop" operator="between" showDropDown="false" showErrorMessage="true" showInputMessage="true" sqref="F39" type="list">
      <formula1>G_PC_B_1_1</formula1>
      <formula2>0</formula2>
    </dataValidation>
    <dataValidation allowBlank="false" errorStyle="stop" operator="between" showDropDown="false" showErrorMessage="true" showInputMessage="true" sqref="F41" type="list">
      <formula1>G_PC_B_2_1</formula1>
      <formula2>0</formula2>
    </dataValidation>
    <dataValidation allowBlank="false" errorStyle="stop" operator="between" showDropDown="false" showErrorMessage="true" showInputMessage="true" sqref="F43" type="list">
      <formula1>G_PC_B_3_1</formula1>
      <formula2>0</formula2>
    </dataValidation>
    <dataValidation allowBlank="false" errorStyle="stop" operator="between" showDropDown="false" showErrorMessage="true" showInputMessage="true" sqref="F46" type="list">
      <formula1>G_EG_A_1_1</formula1>
      <formula2>0</formula2>
    </dataValidation>
    <dataValidation allowBlank="false" errorStyle="stop" operator="between" showDropDown="false" showErrorMessage="true" showInputMessage="true" sqref="F48" type="list">
      <formula1>G_EG_A_2_1</formula1>
      <formula2>0</formula2>
    </dataValidation>
    <dataValidation allowBlank="false" errorStyle="stop" operator="between" showDropDown="false" showErrorMessage="true" showInputMessage="true" sqref="F50" type="list">
      <formula1>G_EG_A_3_1</formula1>
      <formula2>0</formula2>
    </dataValidation>
    <dataValidation allowBlank="false" errorStyle="stop" operator="between" showDropDown="false" showErrorMessage="true" showInputMessage="true" sqref="F53" type="list">
      <formula1>G_EG_B_1_1</formula1>
      <formula2>0</formula2>
    </dataValidation>
    <dataValidation allowBlank="false" errorStyle="stop" operator="between" showDropDown="false" showErrorMessage="true" showInputMessage="true" sqref="F55" type="list">
      <formula1>G_EG_B_2_1</formula1>
      <formula2>0</formula2>
    </dataValidation>
    <dataValidation allowBlank="false" errorStyle="stop" operator="between" showDropDown="false" showErrorMessage="true" showInputMessage="true" sqref="F57" type="list">
      <formula1>G_EG_B_3_1</formula1>
      <formula2>0</formula2>
    </dataValidation>
    <dataValidation allowBlank="false" errorStyle="stop" operator="between" showDropDown="false" showErrorMessage="true" showInputMessage="true" sqref="F61" type="list">
      <formula1>D_TA_A_1_1</formula1>
      <formula2>0</formula2>
    </dataValidation>
    <dataValidation allowBlank="false" errorStyle="stop" operator="between" showDropDown="false" showErrorMessage="true" showInputMessage="true" sqref="F63" type="list">
      <formula1>D_TA_A_2_1</formula1>
      <formula2>0</formula2>
    </dataValidation>
    <dataValidation allowBlank="false" errorStyle="stop" operator="between" showDropDown="false" showErrorMessage="true" showInputMessage="true" sqref="F65" type="list">
      <formula1>D_TA_A_3_1</formula1>
      <formula2>0</formula2>
    </dataValidation>
    <dataValidation allowBlank="false" errorStyle="stop" operator="between" showDropDown="false" showErrorMessage="true" showInputMessage="true" sqref="F68" type="list">
      <formula1>D_TA_B_1_1</formula1>
      <formula2>0</formula2>
    </dataValidation>
    <dataValidation allowBlank="false" errorStyle="stop" operator="between" showDropDown="false" showErrorMessage="true" showInputMessage="true" sqref="F70" type="list">
      <formula1>D_TA_B_2_1</formula1>
      <formula2>0</formula2>
    </dataValidation>
    <dataValidation allowBlank="false" errorStyle="stop" operator="between" showDropDown="false" showErrorMessage="true" showInputMessage="true" sqref="F72" type="list">
      <formula1>D_TA_B_3_1</formula1>
      <formula2>0</formula2>
    </dataValidation>
    <dataValidation allowBlank="false" errorStyle="stop" operator="between" showDropDown="false" showErrorMessage="true" showInputMessage="true" sqref="F75" type="list">
      <formula1>D_SR_A_1_1</formula1>
      <formula2>0</formula2>
    </dataValidation>
    <dataValidation allowBlank="false" errorStyle="stop" operator="between" showDropDown="false" showErrorMessage="true" showInputMessage="true" sqref="F77" type="list">
      <formula1>D_SR_A_2_1</formula1>
      <formula2>0</formula2>
    </dataValidation>
    <dataValidation allowBlank="false" errorStyle="stop" operator="between" showDropDown="false" showErrorMessage="true" showInputMessage="true" sqref="F79" type="list">
      <formula1>D_SR_A_3_1</formula1>
      <formula2>0</formula2>
    </dataValidation>
    <dataValidation allowBlank="false" errorStyle="stop" operator="between" showDropDown="false" showErrorMessage="true" showInputMessage="true" sqref="F82" type="list">
      <formula1>D_SR_B_1_1</formula1>
      <formula2>0</formula2>
    </dataValidation>
    <dataValidation allowBlank="false" errorStyle="stop" operator="between" showDropDown="false" showErrorMessage="true" showInputMessage="true" sqref="F84" type="list">
      <formula1>D_SR_B_2_1</formula1>
      <formula2>0</formula2>
    </dataValidation>
    <dataValidation allowBlank="false" errorStyle="stop" operator="between" showDropDown="false" showErrorMessage="true" showInputMessage="true" sqref="F86" type="list">
      <formula1>D_SR_B_3_1</formula1>
      <formula2>0</formula2>
    </dataValidation>
    <dataValidation allowBlank="false" errorStyle="stop" operator="between" showDropDown="false" showErrorMessage="true" showInputMessage="true" sqref="F89" type="list">
      <formula1>D_SA_A_1_1</formula1>
      <formula2>0</formula2>
    </dataValidation>
    <dataValidation allowBlank="false" errorStyle="stop" operator="between" showDropDown="false" showErrorMessage="true" showInputMessage="true" sqref="F91" type="list">
      <formula1>D_SA_A_2_1</formula1>
      <formula2>0</formula2>
    </dataValidation>
    <dataValidation allowBlank="false" errorStyle="stop" operator="between" showDropDown="false" showErrorMessage="true" showInputMessage="true" sqref="F93" type="list">
      <formula1>D_SA_A_3_1</formula1>
      <formula2>0</formula2>
    </dataValidation>
    <dataValidation allowBlank="false" errorStyle="stop" operator="between" showDropDown="false" showErrorMessage="true" showInputMessage="true" sqref="F96" type="list">
      <formula1>D_SA_B_1_1</formula1>
      <formula2>0</formula2>
    </dataValidation>
    <dataValidation allowBlank="false" errorStyle="stop" operator="between" showDropDown="false" showErrorMessage="true" showInputMessage="true" sqref="F98" type="list">
      <formula1>D_SA_B_2_1</formula1>
      <formula2>0</formula2>
    </dataValidation>
    <dataValidation allowBlank="false" errorStyle="stop" operator="between" showDropDown="false" showErrorMessage="true" showInputMessage="true" sqref="F100" type="list">
      <formula1>D_SA_B_3_1</formula1>
      <formula2>0</formula2>
    </dataValidation>
    <dataValidation allowBlank="false" errorStyle="stop" operator="between" showDropDown="false" showErrorMessage="true" showInputMessage="true" sqref="F104" type="list">
      <formula1>I_SB_A_1_1</formula1>
      <formula2>0</formula2>
    </dataValidation>
    <dataValidation allowBlank="false" errorStyle="stop" operator="between" showDropDown="false" showErrorMessage="true" showInputMessage="true" sqref="F108" type="list">
      <formula1>I_SB_A_3_1</formula1>
      <formula2>0</formula2>
    </dataValidation>
    <dataValidation allowBlank="false" errorStyle="stop" operator="between" showDropDown="false" showErrorMessage="true" showInputMessage="true" sqref="F106" type="list">
      <formula1>I_SB_A_2_1</formula1>
      <formula2>0</formula2>
    </dataValidation>
    <dataValidation allowBlank="false" errorStyle="stop" operator="between" showDropDown="false" showErrorMessage="true" showInputMessage="true" sqref="F111" type="list">
      <formula1>I_SB_B_1_1</formula1>
      <formula2>0</formula2>
    </dataValidation>
    <dataValidation allowBlank="false" errorStyle="stop" operator="between" showDropDown="false" showErrorMessage="true" showInputMessage="true" sqref="F113" type="list">
      <formula1>I_SB_B_2_1</formula1>
      <formula2>0</formula2>
    </dataValidation>
    <dataValidation allowBlank="false" errorStyle="stop" operator="between" showDropDown="false" showErrorMessage="true" showInputMessage="true" sqref="F115" type="list">
      <formula1>I_SB_B_3_1</formula1>
      <formula2>0</formula2>
    </dataValidation>
    <dataValidation allowBlank="false" errorStyle="stop" operator="between" showDropDown="false" showErrorMessage="true" showInputMessage="true" sqref="F118" type="list">
      <formula1>I_SD_A_1_1</formula1>
      <formula2>0</formula2>
    </dataValidation>
    <dataValidation allowBlank="false" errorStyle="stop" operator="between" showDropDown="false" showErrorMessage="true" showInputMessage="true" sqref="F120" type="list">
      <formula1>I_SD_A_2_1</formula1>
      <formula2>0</formula2>
    </dataValidation>
    <dataValidation allowBlank="false" errorStyle="stop" operator="between" showDropDown="false" showErrorMessage="true" showInputMessage="true" sqref="F122" type="list">
      <formula1>I_SD_A_3_1</formula1>
      <formula2>0</formula2>
    </dataValidation>
    <dataValidation allowBlank="false" errorStyle="stop" operator="between" showDropDown="false" showErrorMessage="true" showInputMessage="true" sqref="F125" type="list">
      <formula1>I_SD_B_1_1</formula1>
      <formula2>0</formula2>
    </dataValidation>
    <dataValidation allowBlank="false" errorStyle="stop" operator="between" showDropDown="false" showErrorMessage="true" showInputMessage="true" sqref="F127" type="list">
      <formula1>I_SD_B_2_1</formula1>
      <formula2>0</formula2>
    </dataValidation>
    <dataValidation allowBlank="false" errorStyle="stop" operator="between" showDropDown="false" showErrorMessage="true" showInputMessage="true" sqref="F129" type="list">
      <formula1>I_SD_B_3_1</formula1>
      <formula2>0</formula2>
    </dataValidation>
    <dataValidation allowBlank="false" errorStyle="stop" operator="between" showDropDown="false" showErrorMessage="true" showInputMessage="true" sqref="F132" type="list">
      <formula1>I_DM_A_1_1</formula1>
      <formula2>0</formula2>
    </dataValidation>
    <dataValidation allowBlank="false" errorStyle="stop" operator="between" showDropDown="false" showErrorMessage="true" showInputMessage="true" sqref="F134" type="list">
      <formula1>I_DM_A_2_1</formula1>
      <formula2>0</formula2>
    </dataValidation>
    <dataValidation allowBlank="false" errorStyle="stop" operator="between" showDropDown="false" showErrorMessage="true" showInputMessage="true" sqref="F136" type="list">
      <formula1>I_DM_A_3_1</formula1>
      <formula2>0</formula2>
    </dataValidation>
    <dataValidation allowBlank="false" errorStyle="stop" operator="between" showDropDown="false" showErrorMessage="true" showInputMessage="true" sqref="F139" type="list">
      <formula1>I_DM_B_1_1</formula1>
      <formula2>0</formula2>
    </dataValidation>
    <dataValidation allowBlank="false" errorStyle="stop" operator="between" showDropDown="false" showErrorMessage="true" showInputMessage="true" sqref="F141" type="list">
      <formula1>I_DM_B_2_1</formula1>
      <formula2>0</formula2>
    </dataValidation>
    <dataValidation allowBlank="false" errorStyle="stop" operator="between" showDropDown="false" showErrorMessage="true" showInputMessage="true" sqref="F143" type="list">
      <formula1>I_DM_B_3_1</formula1>
      <formula2>0</formula2>
    </dataValidation>
    <dataValidation allowBlank="false" errorStyle="stop" operator="between" showDropDown="false" showErrorMessage="true" showInputMessage="true" sqref="F147" type="list">
      <formula1>V_AA_A_1_1</formula1>
      <formula2>0</formula2>
    </dataValidation>
    <dataValidation allowBlank="false" errorStyle="stop" operator="between" showDropDown="false" showErrorMessage="true" showInputMessage="true" sqref="F149" type="list">
      <formula1>V_AA_A_2_1</formula1>
      <formula2>0</formula2>
    </dataValidation>
    <dataValidation allowBlank="false" errorStyle="stop" operator="between" showDropDown="false" showErrorMessage="true" showInputMessage="true" sqref="F151" type="list">
      <formula1>V_AA_A_3_1</formula1>
      <formula2>0</formula2>
    </dataValidation>
    <dataValidation allowBlank="false" errorStyle="stop" operator="between" showDropDown="false" showErrorMessage="true" showInputMessage="true" sqref="F154" type="list">
      <formula1>V_AA_B_1_1</formula1>
      <formula2>0</formula2>
    </dataValidation>
    <dataValidation allowBlank="false" errorStyle="stop" operator="between" showDropDown="false" showErrorMessage="true" showInputMessage="true" sqref="F156" type="list">
      <formula1>V_AA_B_2_1</formula1>
      <formula2>0</formula2>
    </dataValidation>
    <dataValidation allowBlank="false" errorStyle="stop" operator="between" showDropDown="false" showErrorMessage="true" showInputMessage="true" sqref="F158" type="list">
      <formula1>V_AA_B_3_1</formula1>
      <formula2>0</formula2>
    </dataValidation>
    <dataValidation allowBlank="false" errorStyle="stop" operator="between" showDropDown="false" showErrorMessage="true" showInputMessage="true" sqref="F161" type="list">
      <formula1>V_RT_A_1_1</formula1>
      <formula2>0</formula2>
    </dataValidation>
    <dataValidation allowBlank="false" errorStyle="stop" operator="between" showDropDown="false" showErrorMessage="true" showInputMessage="true" sqref="F163" type="list">
      <formula1>V_RT_A_2_1</formula1>
      <formula2>0</formula2>
    </dataValidation>
    <dataValidation allowBlank="false" errorStyle="stop" operator="between" showDropDown="false" showErrorMessage="true" showInputMessage="true" sqref="F165" type="list">
      <formula1>V_RT_A_3_1</formula1>
      <formula2>0</formula2>
    </dataValidation>
    <dataValidation allowBlank="false" errorStyle="stop" operator="between" showDropDown="false" showErrorMessage="true" showInputMessage="true" sqref="F168" type="list">
      <formula1>V_RT_B_1_1</formula1>
      <formula2>0</formula2>
    </dataValidation>
    <dataValidation allowBlank="false" errorStyle="stop" operator="between" showDropDown="false" showErrorMessage="true" showInputMessage="true" sqref="F170" type="list">
      <formula1>V_RT_B_2_1</formula1>
      <formula2>0</formula2>
    </dataValidation>
    <dataValidation allowBlank="false" errorStyle="stop" operator="between" showDropDown="false" showErrorMessage="true" showInputMessage="true" sqref="F172" type="list">
      <formula1>V_RT_B_3_1</formula1>
      <formula2>0</formula2>
    </dataValidation>
    <dataValidation allowBlank="false" errorStyle="stop" operator="between" showDropDown="false" showErrorMessage="true" showInputMessage="true" sqref="F175" type="list">
      <formula1>V_ST_A_1_1</formula1>
      <formula2>0</formula2>
    </dataValidation>
    <dataValidation allowBlank="false" errorStyle="stop" operator="between" showDropDown="false" showErrorMessage="true" showInputMessage="true" sqref="F177" type="list">
      <formula1>V_ST_A_2_1</formula1>
      <formula2>0</formula2>
    </dataValidation>
    <dataValidation allowBlank="false" errorStyle="stop" operator="between" showDropDown="false" showErrorMessage="true" showInputMessage="true" sqref="F179" type="list">
      <formula1>V_ST_A_3_1</formula1>
      <formula2>0</formula2>
    </dataValidation>
    <dataValidation allowBlank="false" errorStyle="stop" operator="between" showDropDown="false" showErrorMessage="true" showInputMessage="true" sqref="F182" type="list">
      <formula1>V_ST_B_1_1</formula1>
      <formula2>0</formula2>
    </dataValidation>
    <dataValidation allowBlank="false" errorStyle="stop" operator="between" showDropDown="false" showErrorMessage="true" showInputMessage="true" sqref="F184" type="list">
      <formula1>V_ST_B_2_1</formula1>
      <formula2>0</formula2>
    </dataValidation>
    <dataValidation allowBlank="false" errorStyle="stop" operator="between" showDropDown="false" showErrorMessage="true" showInputMessage="true" sqref="F186" type="list">
      <formula1>V_ST_B_3_1</formula1>
      <formula2>0</formula2>
    </dataValidation>
    <dataValidation allowBlank="false" errorStyle="stop" operator="between" showDropDown="false" showErrorMessage="true" showInputMessage="true" sqref="F190" type="list">
      <formula1>O_IM_A_1_1</formula1>
      <formula2>0</formula2>
    </dataValidation>
    <dataValidation allowBlank="false" errorStyle="stop" operator="between" showDropDown="false" showErrorMessage="true" showInputMessage="true" sqref="F192" type="list">
      <formula1>O_IM_A_2_1</formula1>
      <formula2>0</formula2>
    </dataValidation>
    <dataValidation allowBlank="false" errorStyle="stop" operator="between" showDropDown="false" showErrorMessage="true" showInputMessage="true" sqref="F194" type="list">
      <formula1>O_IM_A_3_1</formula1>
      <formula2>0</formula2>
    </dataValidation>
    <dataValidation allowBlank="false" errorStyle="stop" operator="between" showDropDown="false" showErrorMessage="true" showInputMessage="true" sqref="F197" type="list">
      <formula1>O_IM_B_1_1</formula1>
      <formula2>0</formula2>
    </dataValidation>
    <dataValidation allowBlank="false" errorStyle="stop" operator="between" showDropDown="false" showErrorMessage="true" showInputMessage="true" sqref="F199" type="list">
      <formula1>O_IM_B_2_1</formula1>
      <formula2>0</formula2>
    </dataValidation>
    <dataValidation allowBlank="false" errorStyle="stop" operator="between" showDropDown="false" showErrorMessage="true" showInputMessage="true" sqref="F201" type="list">
      <formula1>O_IM_B_3_1</formula1>
      <formula2>0</formula2>
    </dataValidation>
    <dataValidation allowBlank="false" errorStyle="stop" operator="between" showDropDown="false" showErrorMessage="true" showInputMessage="true" sqref="F204" type="list">
      <formula1>O_EM_A_1_1</formula1>
      <formula2>0</formula2>
    </dataValidation>
    <dataValidation allowBlank="false" errorStyle="stop" operator="between" showDropDown="false" showErrorMessage="true" showInputMessage="true" sqref="F206" type="list">
      <formula1>O_EM_A_2_1</formula1>
      <formula2>0</formula2>
    </dataValidation>
    <dataValidation allowBlank="false" errorStyle="stop" operator="between" showDropDown="false" showErrorMessage="true" showInputMessage="true" sqref="F208" type="list">
      <formula1>O_EM_A_3_1</formula1>
      <formula2>0</formula2>
    </dataValidation>
    <dataValidation allowBlank="false" errorStyle="stop" operator="between" showDropDown="false" showErrorMessage="true" showInputMessage="true" sqref="F211" type="list">
      <formula1>O_EM_B_1_1</formula1>
      <formula2>0</formula2>
    </dataValidation>
    <dataValidation allowBlank="false" errorStyle="stop" operator="between" showDropDown="false" showErrorMessage="true" showInputMessage="true" sqref="F213" type="list">
      <formula1>O_EM_B_2_1</formula1>
      <formula2>0</formula2>
    </dataValidation>
    <dataValidation allowBlank="false" errorStyle="stop" operator="between" showDropDown="false" showErrorMessage="true" showInputMessage="true" sqref="F215" type="list">
      <formula1>O_EM_B_3_1</formula1>
      <formula2>0</formula2>
    </dataValidation>
    <dataValidation allowBlank="false" errorStyle="stop" operator="between" showDropDown="false" showErrorMessage="true" showInputMessage="true" sqref="F218" type="list">
      <formula1>O_OM_A_1_1</formula1>
      <formula2>0</formula2>
    </dataValidation>
    <dataValidation allowBlank="false" errorStyle="stop" operator="between" showDropDown="false" showErrorMessage="true" showInputMessage="true" sqref="F220" type="list">
      <formula1>O_OM_A_2_1</formula1>
      <formula2>0</formula2>
    </dataValidation>
    <dataValidation allowBlank="false" errorStyle="stop" operator="between" showDropDown="false" showErrorMessage="true" showInputMessage="true" sqref="F222" type="list">
      <formula1>O_OM_A_3_1</formula1>
      <formula2>0</formula2>
    </dataValidation>
    <dataValidation allowBlank="false" errorStyle="stop" operator="between" showDropDown="false" showErrorMessage="true" showInputMessage="true" sqref="F225" type="list">
      <formula1>O_OM_B_1_1</formula1>
      <formula2>0</formula2>
    </dataValidation>
    <dataValidation allowBlank="false" errorStyle="stop" operator="between" showDropDown="false" showErrorMessage="true" showInputMessage="true" sqref="F227" type="list">
      <formula1>O_OM_B_2_1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44"/>
  <sheetViews>
    <sheetView showFormulas="false" showGridLines="false" showRowColHeaders="true" showZeros="true" rightToLeft="false" tabSelected="false" showOutlineSymbols="true" defaultGridColor="true" view="normal" topLeftCell="A89" colorId="64" zoomScale="140" zoomScaleNormal="140" zoomScalePageLayoutView="100" workbookViewId="0">
      <selection pane="topLeft" activeCell="I14" activeCellId="0" sqref="I14"/>
    </sheetView>
  </sheetViews>
  <sheetFormatPr defaultColWidth="8.84765625" defaultRowHeight="12.75" customHeight="true" zeroHeight="false" outlineLevelRow="0" outlineLevelCol="0"/>
  <cols>
    <col collapsed="false" customWidth="true" hidden="false" outlineLevel="0" max="1" min="1" style="215" width="14.85"/>
    <col collapsed="false" customWidth="true" hidden="false" outlineLevel="0" max="2" min="2" style="215" width="24.85"/>
    <col collapsed="false" customWidth="true" hidden="false" outlineLevel="0" max="3" min="3" style="215" width="9.15"/>
    <col collapsed="false" customWidth="true" hidden="false" outlineLevel="0" max="6" min="4" style="215" width="6.53"/>
    <col collapsed="false" customWidth="true" hidden="true" outlineLevel="0" max="7" min="7" style="215" width="15"/>
    <col collapsed="false" customWidth="true" hidden="false" outlineLevel="0" max="8" min="8" style="215" width="9.15"/>
    <col collapsed="false" customWidth="true" hidden="false" outlineLevel="0" max="10" min="9" style="215" width="15"/>
    <col collapsed="false" customWidth="true" hidden="false" outlineLevel="0" max="11" min="11" style="215" width="7.38"/>
    <col collapsed="false" customWidth="true" hidden="false" outlineLevel="0" max="14" min="12" style="215" width="15"/>
    <col collapsed="false" customWidth="false" hidden="false" outlineLevel="0" max="19" min="15" style="215" width="8.85"/>
    <col collapsed="false" customWidth="true" hidden="false" outlineLevel="0" max="20" min="20" style="215" width="14.69"/>
    <col collapsed="false" customWidth="true" hidden="false" outlineLevel="0" max="21" min="21" style="215" width="24.53"/>
    <col collapsed="false" customWidth="true" hidden="false" outlineLevel="0" max="22" min="22" style="215" width="10.15"/>
    <col collapsed="false" customWidth="true" hidden="false" outlineLevel="0" max="24" min="23" style="215" width="10.38"/>
    <col collapsed="false" customWidth="true" hidden="false" outlineLevel="0" max="25" min="25" style="215" width="9.38"/>
    <col collapsed="false" customWidth="false" hidden="false" outlineLevel="0" max="16384" min="26" style="215" width="8.85"/>
  </cols>
  <sheetData>
    <row r="1" customFormat="false" ht="25.5" hidden="false" customHeight="true" outlineLevel="0" collapsed="false">
      <c r="A1" s="26" t="str">
        <f aca="false">CONCATENATE("SAMM Assessment Scorecard: ",C6," For ",C5)</f>
        <v>SAMM Assessment Scorecard:  For </v>
      </c>
      <c r="B1" s="26"/>
      <c r="C1" s="26"/>
      <c r="D1" s="26"/>
      <c r="E1" s="26"/>
      <c r="F1" s="26"/>
      <c r="G1" s="26"/>
      <c r="H1" s="26"/>
      <c r="I1" s="26"/>
      <c r="J1" s="26"/>
      <c r="K1" s="216"/>
      <c r="L1" s="216"/>
      <c r="M1" s="216"/>
      <c r="N1" s="216"/>
    </row>
    <row r="2" customFormat="false" ht="12.75" hidden="false" customHeight="true" outlineLevel="0" collapsed="false">
      <c r="A2" s="217"/>
      <c r="B2" s="217"/>
      <c r="C2" s="217"/>
      <c r="D2" s="217"/>
      <c r="E2" s="217"/>
      <c r="F2" s="217"/>
      <c r="G2" s="217"/>
      <c r="H2" s="217"/>
      <c r="I2" s="217"/>
      <c r="J2" s="217"/>
      <c r="K2" s="216"/>
      <c r="L2" s="216"/>
      <c r="M2" s="216"/>
      <c r="N2" s="216"/>
    </row>
    <row r="3" customFormat="false" ht="54" hidden="false" customHeight="true" outlineLevel="0" collapsed="false">
      <c r="A3" s="218" t="s">
        <v>237</v>
      </c>
      <c r="B3" s="218"/>
      <c r="C3" s="218"/>
      <c r="D3" s="218"/>
      <c r="E3" s="218"/>
      <c r="F3" s="218"/>
      <c r="G3" s="218"/>
      <c r="H3" s="218"/>
      <c r="I3" s="218"/>
      <c r="J3" s="218"/>
      <c r="K3" s="218"/>
      <c r="L3" s="216"/>
      <c r="M3" s="216"/>
      <c r="N3" s="216"/>
    </row>
    <row r="4" customFormat="false" ht="12.75" hidden="false" customHeight="true" outlineLevel="0" collapsed="false">
      <c r="A4" s="219"/>
      <c r="B4" s="219"/>
      <c r="C4" s="219"/>
      <c r="D4" s="219"/>
      <c r="E4" s="219"/>
      <c r="F4" s="219"/>
      <c r="G4" s="219"/>
      <c r="H4" s="219"/>
      <c r="I4" s="219"/>
      <c r="J4" s="219"/>
      <c r="K4" s="216"/>
      <c r="L4" s="216"/>
      <c r="M4" s="216"/>
      <c r="N4" s="216"/>
    </row>
    <row r="5" customFormat="false" ht="12.75" hidden="false" customHeight="true" outlineLevel="0" collapsed="false">
      <c r="A5" s="220" t="str">
        <f aca="false">Interview!B10</f>
        <v>Organization:</v>
      </c>
      <c r="B5" s="220"/>
      <c r="C5" s="221" t="str">
        <f aca="false">IF(ISBLANK(Interview!D10),"",Interview!D10)</f>
        <v/>
      </c>
      <c r="D5" s="221"/>
      <c r="E5" s="221"/>
      <c r="F5" s="221"/>
      <c r="G5" s="216"/>
      <c r="H5" s="216"/>
      <c r="I5" s="216"/>
      <c r="J5" s="216"/>
      <c r="K5" s="216"/>
      <c r="L5" s="216"/>
      <c r="M5" s="216"/>
      <c r="N5" s="216"/>
    </row>
    <row r="6" customFormat="false" ht="12.75" hidden="false" customHeight="true" outlineLevel="0" collapsed="false">
      <c r="A6" s="220" t="str">
        <f aca="false">Interview!B11</f>
        <v>Team/Application:</v>
      </c>
      <c r="B6" s="220"/>
      <c r="C6" s="221" t="str">
        <f aca="false">IF(ISBLANK(Interview!D11),"",Interview!D11)</f>
        <v/>
      </c>
      <c r="D6" s="221"/>
      <c r="E6" s="221"/>
      <c r="F6" s="221"/>
      <c r="G6" s="216"/>
      <c r="H6" s="216"/>
      <c r="I6" s="216"/>
      <c r="J6" s="216"/>
      <c r="K6" s="216"/>
      <c r="L6" s="216"/>
      <c r="M6" s="216"/>
      <c r="N6" s="216"/>
    </row>
    <row r="7" customFormat="false" ht="12.75" hidden="false" customHeight="true" outlineLevel="0" collapsed="false">
      <c r="A7" s="220" t="str">
        <f aca="false">Interview!B12</f>
        <v>Interview Date:</v>
      </c>
      <c r="B7" s="220"/>
      <c r="C7" s="222" t="str">
        <f aca="false">IF(ISBLANK(Interview!D12),"",Interview!D12)</f>
        <v/>
      </c>
      <c r="D7" s="222"/>
      <c r="E7" s="222"/>
      <c r="F7" s="222"/>
      <c r="G7" s="216"/>
      <c r="H7" s="216"/>
      <c r="I7" s="216"/>
      <c r="J7" s="216"/>
      <c r="K7" s="216"/>
      <c r="L7" s="216"/>
      <c r="M7" s="216"/>
      <c r="N7" s="216"/>
    </row>
    <row r="8" customFormat="false" ht="12.75" hidden="false" customHeight="true" outlineLevel="0" collapsed="false">
      <c r="A8" s="220" t="str">
        <f aca="false">Interview!B13</f>
        <v>Team Lead: </v>
      </c>
      <c r="B8" s="220"/>
      <c r="C8" s="221" t="str">
        <f aca="false">IF(ISBLANK(Interview!D13),"",Interview!D13)</f>
        <v/>
      </c>
      <c r="D8" s="221"/>
      <c r="E8" s="221"/>
      <c r="F8" s="221"/>
      <c r="G8" s="216"/>
      <c r="H8" s="216"/>
      <c r="I8" s="216"/>
      <c r="J8" s="216"/>
      <c r="K8" s="216"/>
      <c r="L8" s="216"/>
      <c r="M8" s="216"/>
      <c r="N8" s="216"/>
    </row>
    <row r="9" customFormat="false" ht="12.75" hidden="false" customHeight="true" outlineLevel="0" collapsed="false">
      <c r="A9" s="220" t="str">
        <f aca="false">Interview!B14</f>
        <v>Contributors:</v>
      </c>
      <c r="B9" s="220"/>
      <c r="C9" s="223" t="str">
        <f aca="false">IF(ISBLANK(Interview!D14),"",Interview!D14)</f>
        <v/>
      </c>
      <c r="D9" s="223"/>
      <c r="E9" s="223"/>
      <c r="F9" s="223"/>
      <c r="G9" s="223"/>
      <c r="H9" s="223"/>
      <c r="I9" s="223"/>
      <c r="J9" s="216"/>
      <c r="K9" s="216"/>
      <c r="L9" s="216"/>
      <c r="M9" s="216"/>
      <c r="N9" s="216"/>
    </row>
    <row r="10" customFormat="false" ht="12.75" hidden="false" customHeight="true" outlineLevel="0" collapsed="false">
      <c r="A10" s="224"/>
      <c r="B10" s="216"/>
      <c r="C10" s="216"/>
      <c r="D10" s="216"/>
      <c r="E10" s="216"/>
      <c r="F10" s="216"/>
      <c r="G10" s="216"/>
      <c r="H10" s="216"/>
      <c r="I10" s="216"/>
      <c r="J10" s="216"/>
      <c r="K10" s="216"/>
      <c r="L10" s="216"/>
      <c r="M10" s="216"/>
      <c r="N10" s="216"/>
    </row>
    <row r="11" customFormat="false" ht="24.75" hidden="false" customHeight="true" outlineLevel="0" collapsed="false">
      <c r="A11" s="225" t="s">
        <v>238</v>
      </c>
      <c r="B11" s="225"/>
      <c r="C11" s="225"/>
      <c r="D11" s="225"/>
      <c r="E11" s="225"/>
      <c r="F11" s="225"/>
      <c r="G11" s="225"/>
      <c r="H11" s="225"/>
      <c r="I11" s="225"/>
      <c r="J11" s="225"/>
      <c r="K11" s="216"/>
      <c r="L11" s="225" t="s">
        <v>238</v>
      </c>
      <c r="M11" s="225"/>
      <c r="N11" s="225"/>
      <c r="O11" s="225"/>
      <c r="P11" s="225"/>
      <c r="Q11" s="225"/>
      <c r="R11" s="225"/>
      <c r="T11" s="226" t="s">
        <v>238</v>
      </c>
      <c r="U11" s="226"/>
      <c r="V11" s="226"/>
      <c r="W11" s="226"/>
      <c r="X11" s="226"/>
      <c r="Y11" s="226"/>
      <c r="Z11" s="226"/>
    </row>
    <row r="12" customFormat="false" ht="12.75" hidden="false" customHeight="true" outlineLevel="0" collapsed="false">
      <c r="A12" s="217"/>
      <c r="B12" s="217"/>
      <c r="C12" s="217"/>
      <c r="D12" s="227" t="s">
        <v>239</v>
      </c>
      <c r="E12" s="227"/>
      <c r="F12" s="227"/>
      <c r="G12" s="216"/>
      <c r="H12" s="216"/>
      <c r="I12" s="216"/>
      <c r="J12" s="216"/>
      <c r="K12" s="216"/>
      <c r="L12" s="216"/>
      <c r="M12" s="216"/>
      <c r="N12" s="216"/>
    </row>
    <row r="13" customFormat="false" ht="24.75" hidden="false" customHeight="true" outlineLevel="0" collapsed="false">
      <c r="A13" s="228" t="s">
        <v>240</v>
      </c>
      <c r="B13" s="228" t="s">
        <v>241</v>
      </c>
      <c r="C13" s="228" t="s">
        <v>242</v>
      </c>
      <c r="D13" s="229" t="n">
        <v>1</v>
      </c>
      <c r="E13" s="229" t="n">
        <v>2</v>
      </c>
      <c r="F13" s="229" t="n">
        <v>3</v>
      </c>
      <c r="G13" s="230" t="s">
        <v>243</v>
      </c>
      <c r="H13" s="28"/>
      <c r="I13" s="228" t="s">
        <v>240</v>
      </c>
      <c r="J13" s="228" t="s">
        <v>242</v>
      </c>
      <c r="L13" s="216"/>
      <c r="M13" s="216"/>
      <c r="N13" s="216"/>
      <c r="V13" s="215" t="str">
        <f aca="false">T14</f>
        <v>Governance</v>
      </c>
      <c r="W13" s="215" t="str">
        <f aca="false">T17</f>
        <v>Design</v>
      </c>
      <c r="X13" s="215" t="str">
        <f aca="false">T20</f>
        <v>Implementation</v>
      </c>
      <c r="Y13" s="215" t="str">
        <f aca="false">T23</f>
        <v>Verification</v>
      </c>
      <c r="Z13" s="215" t="str">
        <f aca="false">T26</f>
        <v>Operations</v>
      </c>
    </row>
    <row r="14" customFormat="false" ht="24.75" hidden="false" customHeight="true" outlineLevel="0" collapsed="false">
      <c r="A14" s="231" t="str">
        <f aca="false">Interview!$B$16</f>
        <v>Governance</v>
      </c>
      <c r="B14" s="232" t="str">
        <f aca="false">Interview!$D$17</f>
        <v>Strategy &amp; Metrics</v>
      </c>
      <c r="C14" s="233" t="n">
        <f aca="false">Interview!$J$18</f>
        <v>0</v>
      </c>
      <c r="D14" s="233" t="n">
        <f aca="false">Interview!H18</f>
        <v>0</v>
      </c>
      <c r="E14" s="233" t="n">
        <f aca="false">Interview!H20</f>
        <v>0</v>
      </c>
      <c r="F14" s="233" t="n">
        <f aca="false">Interview!H22</f>
        <v>0</v>
      </c>
      <c r="G14" s="234" t="n">
        <f aca="false">(((((IF((C14="0+"),0.5,0)+IF((C14=1),1,0))+IF((C14="1+"),1.5,0))+IF((C14=2),2,0))+IF((C14="2+"),2.5,0))+IF((C14=3),3,0))+IF((C14="3+"),3.5,0)</f>
        <v>0</v>
      </c>
      <c r="H14" s="235"/>
      <c r="I14" s="231" t="str">
        <f aca="false">A14</f>
        <v>Governance</v>
      </c>
      <c r="J14" s="233" t="n">
        <f aca="false">AVERAGE(C14:C16)</f>
        <v>0</v>
      </c>
      <c r="L14" s="216"/>
      <c r="M14" s="216"/>
      <c r="N14" s="216"/>
      <c r="T14" s="231" t="str">
        <f aca="false">A14</f>
        <v>Governance</v>
      </c>
      <c r="U14" s="232" t="str">
        <f aca="false">B14</f>
        <v>Strategy &amp; Metrics</v>
      </c>
      <c r="V14" s="233" t="n">
        <f aca="false">C14</f>
        <v>0</v>
      </c>
      <c r="W14" s="233" t="n">
        <v>0</v>
      </c>
      <c r="X14" s="233" t="n">
        <v>0</v>
      </c>
      <c r="Y14" s="233" t="n">
        <v>0</v>
      </c>
      <c r="Z14" s="233" t="n">
        <v>0</v>
      </c>
    </row>
    <row r="15" customFormat="false" ht="24.75" hidden="false" customHeight="true" outlineLevel="0" collapsed="false">
      <c r="A15" s="231" t="str">
        <f aca="false">Interview!$B$16</f>
        <v>Governance</v>
      </c>
      <c r="B15" s="232" t="str">
        <f aca="false">Interview!$B$31</f>
        <v>Policy &amp; Compliance</v>
      </c>
      <c r="C15" s="233" t="n">
        <f aca="false">Interview!$J$32</f>
        <v>0</v>
      </c>
      <c r="D15" s="233" t="n">
        <f aca="false">Interview!H32</f>
        <v>0</v>
      </c>
      <c r="E15" s="233" t="n">
        <f aca="false">Interview!H34</f>
        <v>0</v>
      </c>
      <c r="F15" s="233" t="n">
        <f aca="false">Interview!H36</f>
        <v>0</v>
      </c>
      <c r="G15" s="234" t="n">
        <f aca="false">(((((IF((C15="0+"),0.5,0)+IF((C15=1),1,0))+IF((C15="1+"),1.5,0))+IF((C15=2),2,0))+IF((C15="2+"),2.5,0))+IF((C15=3),3,0))+IF((C15="3+"),3.5,0)</f>
        <v>0</v>
      </c>
      <c r="H15" s="235"/>
      <c r="I15" s="236" t="str">
        <f aca="false">A17</f>
        <v>Design</v>
      </c>
      <c r="J15" s="233" t="n">
        <f aca="false">AVERAGE(C17:C19)</f>
        <v>0</v>
      </c>
      <c r="L15" s="216"/>
      <c r="M15" s="216"/>
      <c r="N15" s="216"/>
      <c r="T15" s="231" t="str">
        <f aca="false">A15</f>
        <v>Governance</v>
      </c>
      <c r="U15" s="232" t="str">
        <f aca="false">B15</f>
        <v>Policy &amp; Compliance</v>
      </c>
      <c r="V15" s="233" t="n">
        <f aca="false">C15</f>
        <v>0</v>
      </c>
      <c r="W15" s="233" t="n">
        <v>0</v>
      </c>
      <c r="X15" s="233" t="n">
        <v>0</v>
      </c>
      <c r="Y15" s="233" t="n">
        <v>0</v>
      </c>
      <c r="Z15" s="233" t="n">
        <v>0</v>
      </c>
    </row>
    <row r="16" customFormat="false" ht="24.75" hidden="false" customHeight="true" outlineLevel="0" collapsed="false">
      <c r="A16" s="231" t="str">
        <f aca="false">Interview!$B$16</f>
        <v>Governance</v>
      </c>
      <c r="B16" s="232" t="str">
        <f aca="false">Interview!$B$45</f>
        <v>Education &amp; Guidance</v>
      </c>
      <c r="C16" s="233" t="n">
        <f aca="false">Interview!$J$46</f>
        <v>0</v>
      </c>
      <c r="D16" s="233" t="n">
        <f aca="false">Interview!H46</f>
        <v>0</v>
      </c>
      <c r="E16" s="233" t="n">
        <f aca="false">Interview!H48</f>
        <v>0</v>
      </c>
      <c r="F16" s="233" t="n">
        <f aca="false">Interview!H50</f>
        <v>0</v>
      </c>
      <c r="G16" s="234" t="n">
        <f aca="false">(((((IF((C16="0+"),0.5,0)+IF((C16=1),1,0))+IF((C16="1+"),1.5,0))+IF((C16=2),2,0))+IF((C16="2+"),2.5,0))+IF((C16=3),3,0))+IF((C16="3+"),3.5,0)</f>
        <v>0</v>
      </c>
      <c r="H16" s="235"/>
      <c r="I16" s="237" t="str">
        <f aca="false">A20</f>
        <v>Implementation</v>
      </c>
      <c r="J16" s="233" t="n">
        <f aca="false">AVERAGE(C20:C22)</f>
        <v>0</v>
      </c>
      <c r="L16" s="216"/>
      <c r="M16" s="216"/>
      <c r="N16" s="216"/>
      <c r="T16" s="231" t="str">
        <f aca="false">A16</f>
        <v>Governance</v>
      </c>
      <c r="U16" s="232" t="str">
        <f aca="false">B16</f>
        <v>Education &amp; Guidance</v>
      </c>
      <c r="V16" s="233" t="n">
        <f aca="false">C16</f>
        <v>0</v>
      </c>
      <c r="W16" s="233" t="n">
        <v>0</v>
      </c>
      <c r="X16" s="233" t="n">
        <v>0</v>
      </c>
      <c r="Y16" s="233" t="n">
        <v>0</v>
      </c>
      <c r="Z16" s="233" t="n">
        <v>0</v>
      </c>
    </row>
    <row r="17" customFormat="false" ht="24.75" hidden="false" customHeight="true" outlineLevel="0" collapsed="false">
      <c r="A17" s="236" t="str">
        <f aca="false">Interview!$B$59</f>
        <v>Design</v>
      </c>
      <c r="B17" s="238" t="str">
        <f aca="false">Interview!$B$60</f>
        <v>Threat Assessment</v>
      </c>
      <c r="C17" s="233" t="n">
        <f aca="false">Interview!$J$61</f>
        <v>0</v>
      </c>
      <c r="D17" s="233" t="n">
        <f aca="false">Interview!H61</f>
        <v>0</v>
      </c>
      <c r="E17" s="233" t="n">
        <f aca="false">Interview!H63</f>
        <v>0</v>
      </c>
      <c r="F17" s="233" t="n">
        <f aca="false">Interview!H65</f>
        <v>0</v>
      </c>
      <c r="G17" s="234" t="n">
        <f aca="false">(((((IF((C17="0+"),0.5,0)+IF((C17=1),1,0))+IF((C17="1+"),1.5,0))+IF((C17=2),2,0))+IF((C17="2+"),2.5,0))+IF((C17=3),3,0))+IF((C17="3+"),3.5,0)</f>
        <v>0</v>
      </c>
      <c r="H17" s="235"/>
      <c r="I17" s="239" t="str">
        <f aca="false">A23</f>
        <v>Verification</v>
      </c>
      <c r="J17" s="233" t="n">
        <f aca="false">AVERAGE(C23:C25)</f>
        <v>0</v>
      </c>
      <c r="L17" s="216"/>
      <c r="M17" s="216"/>
      <c r="N17" s="216"/>
      <c r="T17" s="236" t="str">
        <f aca="false">A17</f>
        <v>Design</v>
      </c>
      <c r="U17" s="238" t="str">
        <f aca="false">B17</f>
        <v>Threat Assessment</v>
      </c>
      <c r="V17" s="233" t="n">
        <v>0</v>
      </c>
      <c r="W17" s="233" t="n">
        <f aca="false">C17</f>
        <v>0</v>
      </c>
      <c r="X17" s="233" t="n">
        <v>0</v>
      </c>
      <c r="Y17" s="233" t="n">
        <v>0</v>
      </c>
      <c r="Z17" s="233" t="n">
        <v>0</v>
      </c>
    </row>
    <row r="18" customFormat="false" ht="24.75" hidden="false" customHeight="true" outlineLevel="0" collapsed="false">
      <c r="A18" s="236" t="str">
        <f aca="false">Interview!$B$59</f>
        <v>Design</v>
      </c>
      <c r="B18" s="238" t="str">
        <f aca="false">Interview!$B$74</f>
        <v>Security Requirements</v>
      </c>
      <c r="C18" s="233" t="n">
        <f aca="false">Interview!$J$75</f>
        <v>0</v>
      </c>
      <c r="D18" s="233" t="n">
        <f aca="false">Interview!H75</f>
        <v>0</v>
      </c>
      <c r="E18" s="233" t="n">
        <f aca="false">Interview!H77</f>
        <v>0</v>
      </c>
      <c r="F18" s="233" t="n">
        <f aca="false">Interview!H79</f>
        <v>0</v>
      </c>
      <c r="G18" s="234" t="n">
        <f aca="false">(((((IF((C18="0+"),0.5,0)+IF((C18=1),1,0))+IF((C18="1+"),1.5,0))+IF((C18=2),2,0))+IF((C18="2+"),2.5,0))+IF((C18=3),3,0))+IF((C18="3+"),3.5,0)</f>
        <v>0</v>
      </c>
      <c r="H18" s="235"/>
      <c r="I18" s="240" t="str">
        <f aca="false">A26</f>
        <v>Operations</v>
      </c>
      <c r="J18" s="233" t="n">
        <f aca="false">AVERAGE(C26:C28)</f>
        <v>0</v>
      </c>
      <c r="K18" s="216"/>
      <c r="L18" s="216"/>
      <c r="M18" s="216"/>
      <c r="N18" s="216"/>
      <c r="T18" s="236" t="str">
        <f aca="false">A18</f>
        <v>Design</v>
      </c>
      <c r="U18" s="238" t="str">
        <f aca="false">B18</f>
        <v>Security Requirements</v>
      </c>
      <c r="V18" s="233" t="n">
        <v>0</v>
      </c>
      <c r="W18" s="233" t="n">
        <f aca="false">C18</f>
        <v>0</v>
      </c>
      <c r="X18" s="233" t="n">
        <v>0</v>
      </c>
      <c r="Y18" s="233" t="n">
        <v>0</v>
      </c>
      <c r="Z18" s="233" t="n">
        <v>0</v>
      </c>
    </row>
    <row r="19" customFormat="false" ht="24.75" hidden="false" customHeight="true" outlineLevel="0" collapsed="false">
      <c r="A19" s="236" t="str">
        <f aca="false">Interview!$B$59</f>
        <v>Design</v>
      </c>
      <c r="B19" s="238" t="str">
        <f aca="false">Interview!$B$88</f>
        <v>Secure Architecture</v>
      </c>
      <c r="C19" s="233" t="n">
        <f aca="false">Interview!$J$89</f>
        <v>0</v>
      </c>
      <c r="D19" s="233" t="n">
        <f aca="false">Interview!H89</f>
        <v>0</v>
      </c>
      <c r="E19" s="233" t="n">
        <f aca="false">Interview!H91</f>
        <v>0</v>
      </c>
      <c r="F19" s="233" t="n">
        <f aca="false">Interview!H93</f>
        <v>0</v>
      </c>
      <c r="G19" s="234" t="n">
        <f aca="false">(((((IF((C19="0+"),0.5,0)+IF((C19=1),1,0))+IF((C19="1+"),1.5,0))+IF((C19=2),2,0))+IF((C19="2+"),2.5,0))+IF((C19=3),3,0))+IF((C19="3+"),3.5,0)</f>
        <v>0</v>
      </c>
      <c r="H19" s="235"/>
      <c r="I19" s="241" t="s">
        <v>244</v>
      </c>
      <c r="J19" s="233" t="n">
        <f aca="false">AVERAGE(J14:J18)</f>
        <v>0</v>
      </c>
      <c r="K19" s="216"/>
      <c r="L19" s="216"/>
      <c r="M19" s="216"/>
      <c r="N19" s="216"/>
      <c r="T19" s="236" t="str">
        <f aca="false">A19</f>
        <v>Design</v>
      </c>
      <c r="U19" s="238" t="str">
        <f aca="false">B19</f>
        <v>Secure Architecture</v>
      </c>
      <c r="V19" s="233" t="n">
        <v>0</v>
      </c>
      <c r="W19" s="233" t="n">
        <f aca="false">C19</f>
        <v>0</v>
      </c>
      <c r="X19" s="233" t="n">
        <v>0</v>
      </c>
      <c r="Y19" s="233" t="n">
        <v>0</v>
      </c>
      <c r="Z19" s="233" t="n">
        <v>0</v>
      </c>
    </row>
    <row r="20" customFormat="false" ht="24.75" hidden="false" customHeight="true" outlineLevel="0" collapsed="false">
      <c r="A20" s="237" t="str">
        <f aca="false">Interview!$B$102</f>
        <v>Implementation</v>
      </c>
      <c r="B20" s="242" t="str">
        <f aca="false">Interview!$B$103</f>
        <v>Secure Build</v>
      </c>
      <c r="C20" s="233" t="n">
        <f aca="false">Interview!$J$104</f>
        <v>0</v>
      </c>
      <c r="D20" s="233" t="n">
        <f aca="false">Interview!H104</f>
        <v>0</v>
      </c>
      <c r="E20" s="233" t="n">
        <f aca="false">Interview!H106</f>
        <v>0</v>
      </c>
      <c r="F20" s="233" t="n">
        <f aca="false">Interview!H108</f>
        <v>0</v>
      </c>
      <c r="G20" s="234"/>
      <c r="H20" s="235"/>
      <c r="I20" s="216"/>
      <c r="J20" s="216"/>
      <c r="K20" s="216"/>
      <c r="L20" s="216"/>
      <c r="M20" s="216"/>
      <c r="N20" s="216"/>
      <c r="T20" s="237" t="str">
        <f aca="false">A20</f>
        <v>Implementation</v>
      </c>
      <c r="U20" s="242" t="str">
        <f aca="false">B20</f>
        <v>Secure Build</v>
      </c>
      <c r="V20" s="233" t="n">
        <v>0</v>
      </c>
      <c r="W20" s="233" t="n">
        <v>0</v>
      </c>
      <c r="X20" s="233" t="n">
        <f aca="false">C20</f>
        <v>0</v>
      </c>
      <c r="Y20" s="233" t="n">
        <v>0</v>
      </c>
      <c r="Z20" s="233" t="n">
        <v>0</v>
      </c>
    </row>
    <row r="21" customFormat="false" ht="24.75" hidden="false" customHeight="true" outlineLevel="0" collapsed="false">
      <c r="A21" s="237" t="str">
        <f aca="false">Interview!$B$102</f>
        <v>Implementation</v>
      </c>
      <c r="B21" s="242" t="str">
        <f aca="false">Interview!$B$117</f>
        <v>Secure Deployment</v>
      </c>
      <c r="C21" s="233" t="n">
        <f aca="false">Interview!$J$118</f>
        <v>0</v>
      </c>
      <c r="D21" s="233" t="n">
        <f aca="false">Interview!H118</f>
        <v>0</v>
      </c>
      <c r="E21" s="233" t="n">
        <f aca="false">Interview!H120</f>
        <v>0</v>
      </c>
      <c r="F21" s="233" t="n">
        <f aca="false">Interview!H122</f>
        <v>0</v>
      </c>
      <c r="G21" s="234"/>
      <c r="H21" s="235"/>
      <c r="I21" s="216"/>
      <c r="J21" s="216"/>
      <c r="K21" s="216"/>
      <c r="L21" s="216"/>
      <c r="M21" s="216"/>
      <c r="N21" s="216"/>
      <c r="T21" s="237" t="str">
        <f aca="false">A21</f>
        <v>Implementation</v>
      </c>
      <c r="U21" s="242" t="str">
        <f aca="false">B21</f>
        <v>Secure Deployment</v>
      </c>
      <c r="V21" s="233" t="n">
        <v>0</v>
      </c>
      <c r="W21" s="233" t="n">
        <v>0</v>
      </c>
      <c r="X21" s="233" t="n">
        <f aca="false">C21</f>
        <v>0</v>
      </c>
      <c r="Y21" s="233" t="n">
        <v>0</v>
      </c>
      <c r="Z21" s="233" t="n">
        <v>0</v>
      </c>
    </row>
    <row r="22" customFormat="false" ht="24.75" hidden="false" customHeight="true" outlineLevel="0" collapsed="false">
      <c r="A22" s="237" t="str">
        <f aca="false">Interview!$B$102</f>
        <v>Implementation</v>
      </c>
      <c r="B22" s="242" t="str">
        <f aca="false">Interview!$B$131</f>
        <v>Defect Management</v>
      </c>
      <c r="C22" s="233" t="n">
        <f aca="false">Interview!$J$132</f>
        <v>0</v>
      </c>
      <c r="D22" s="233" t="n">
        <f aca="false">Interview!H132</f>
        <v>0</v>
      </c>
      <c r="E22" s="233" t="n">
        <f aca="false">Interview!H134</f>
        <v>0</v>
      </c>
      <c r="F22" s="233" t="n">
        <f aca="false">Interview!H136</f>
        <v>0</v>
      </c>
      <c r="G22" s="234"/>
      <c r="H22" s="235"/>
      <c r="I22" s="216"/>
      <c r="J22" s="216"/>
      <c r="K22" s="216"/>
      <c r="L22" s="216"/>
      <c r="M22" s="216"/>
      <c r="N22" s="216"/>
      <c r="T22" s="237" t="str">
        <f aca="false">A22</f>
        <v>Implementation</v>
      </c>
      <c r="U22" s="242" t="str">
        <f aca="false">B22</f>
        <v>Defect Management</v>
      </c>
      <c r="V22" s="233" t="n">
        <v>0</v>
      </c>
      <c r="W22" s="233" t="n">
        <v>0</v>
      </c>
      <c r="X22" s="233" t="n">
        <f aca="false">C22</f>
        <v>0</v>
      </c>
      <c r="Y22" s="233" t="n">
        <v>0</v>
      </c>
      <c r="Z22" s="233" t="n">
        <v>0</v>
      </c>
    </row>
    <row r="23" customFormat="false" ht="24.75" hidden="false" customHeight="true" outlineLevel="0" collapsed="false">
      <c r="A23" s="239" t="str">
        <f aca="false">Interview!$B$145</f>
        <v>Verification</v>
      </c>
      <c r="B23" s="243" t="str">
        <f aca="false">Interview!$B$146</f>
        <v>Architecture Assessment</v>
      </c>
      <c r="C23" s="233" t="n">
        <f aca="false">Interview!$J$147</f>
        <v>0</v>
      </c>
      <c r="D23" s="233" t="n">
        <f aca="false">Interview!H147</f>
        <v>0</v>
      </c>
      <c r="E23" s="233" t="n">
        <f aca="false">Interview!H149</f>
        <v>0</v>
      </c>
      <c r="F23" s="233" t="n">
        <f aca="false">Interview!H151</f>
        <v>0</v>
      </c>
      <c r="G23" s="234" t="n">
        <f aca="false">(((((IF((C23="0+"),0.5,0)+IF((C23=1),1,0))+IF((C23="1+"),1.5,0))+IF((C23=2),2,0))+IF((C23="2+"),2.5,0))+IF((C23=3),3,0))+IF((C23="3+"),3.5,0)</f>
        <v>0</v>
      </c>
      <c r="H23" s="235"/>
      <c r="I23" s="216"/>
      <c r="J23" s="216"/>
      <c r="K23" s="216"/>
      <c r="L23" s="216"/>
      <c r="M23" s="216"/>
      <c r="N23" s="216"/>
      <c r="T23" s="239" t="str">
        <f aca="false">A23</f>
        <v>Verification</v>
      </c>
      <c r="U23" s="243" t="str">
        <f aca="false">B23</f>
        <v>Architecture Assessment</v>
      </c>
      <c r="V23" s="233" t="n">
        <v>0</v>
      </c>
      <c r="W23" s="233" t="n">
        <v>0</v>
      </c>
      <c r="X23" s="233" t="n">
        <v>0</v>
      </c>
      <c r="Y23" s="233" t="n">
        <f aca="false">C23</f>
        <v>0</v>
      </c>
      <c r="Z23" s="233" t="n">
        <v>0</v>
      </c>
    </row>
    <row r="24" customFormat="false" ht="24.75" hidden="false" customHeight="true" outlineLevel="0" collapsed="false">
      <c r="A24" s="239" t="str">
        <f aca="false">Interview!$B$145</f>
        <v>Verification</v>
      </c>
      <c r="B24" s="243" t="str">
        <f aca="false">Interview!$B$160</f>
        <v>Requirements Testing</v>
      </c>
      <c r="C24" s="233" t="n">
        <f aca="false">Interview!$J$161</f>
        <v>0</v>
      </c>
      <c r="D24" s="233" t="n">
        <f aca="false">Interview!H161</f>
        <v>0</v>
      </c>
      <c r="E24" s="233" t="n">
        <f aca="false">Interview!H163</f>
        <v>0</v>
      </c>
      <c r="F24" s="233" t="n">
        <f aca="false">Interview!H165</f>
        <v>0</v>
      </c>
      <c r="G24" s="234" t="n">
        <f aca="false">(((((IF((C24="0+"),0.5,0)+IF((C24=1),1,0))+IF((C24="1+"),1.5,0))+IF((C24=2),2,0))+IF((C24="2+"),2.5,0))+IF((C24=3),3,0))+IF((C24="3+"),3.5,0)</f>
        <v>0</v>
      </c>
      <c r="H24" s="235"/>
      <c r="I24" s="216"/>
      <c r="J24" s="216"/>
      <c r="K24" s="216"/>
      <c r="L24" s="216"/>
      <c r="M24" s="216"/>
      <c r="N24" s="216"/>
      <c r="T24" s="239" t="str">
        <f aca="false">A24</f>
        <v>Verification</v>
      </c>
      <c r="U24" s="243" t="str">
        <f aca="false">B24</f>
        <v>Requirements Testing</v>
      </c>
      <c r="V24" s="233" t="n">
        <v>0</v>
      </c>
      <c r="W24" s="233" t="n">
        <v>0</v>
      </c>
      <c r="X24" s="233" t="n">
        <v>0</v>
      </c>
      <c r="Y24" s="233" t="n">
        <f aca="false">C24</f>
        <v>0</v>
      </c>
      <c r="Z24" s="233" t="n">
        <v>0</v>
      </c>
    </row>
    <row r="25" customFormat="false" ht="24.75" hidden="false" customHeight="true" outlineLevel="0" collapsed="false">
      <c r="A25" s="239" t="str">
        <f aca="false">Interview!$B$145</f>
        <v>Verification</v>
      </c>
      <c r="B25" s="243" t="str">
        <f aca="false">Interview!$B$174</f>
        <v>Security Testing</v>
      </c>
      <c r="C25" s="233" t="n">
        <f aca="false">Interview!$J$175</f>
        <v>0</v>
      </c>
      <c r="D25" s="233" t="n">
        <f aca="false">Interview!H175</f>
        <v>0</v>
      </c>
      <c r="E25" s="233" t="n">
        <f aca="false">Interview!H177</f>
        <v>0</v>
      </c>
      <c r="F25" s="233" t="n">
        <f aca="false">Interview!H179</f>
        <v>0</v>
      </c>
      <c r="G25" s="234" t="n">
        <f aca="false">(((((IF((C25="0+"),0.5,0)+IF((C25=1),1,0))+IF((C25="1+"),1.5,0))+IF((C25=2),2,0))+IF((C25="2+"),2.5,0))+IF((C25=3),3,0))+IF((C25="3+"),3.5,0)</f>
        <v>0</v>
      </c>
      <c r="H25" s="235"/>
      <c r="I25" s="216"/>
      <c r="J25" s="216"/>
      <c r="K25" s="216"/>
      <c r="L25" s="216"/>
      <c r="M25" s="216"/>
      <c r="N25" s="216"/>
      <c r="T25" s="239" t="str">
        <f aca="false">A25</f>
        <v>Verification</v>
      </c>
      <c r="U25" s="243" t="str">
        <f aca="false">B25</f>
        <v>Security Testing</v>
      </c>
      <c r="V25" s="233" t="n">
        <v>0</v>
      </c>
      <c r="W25" s="233" t="n">
        <v>0</v>
      </c>
      <c r="X25" s="233" t="n">
        <v>0</v>
      </c>
      <c r="Y25" s="233" t="n">
        <f aca="false">C25</f>
        <v>0</v>
      </c>
      <c r="Z25" s="233" t="n">
        <v>0</v>
      </c>
    </row>
    <row r="26" customFormat="false" ht="24.75" hidden="false" customHeight="true" outlineLevel="0" collapsed="false">
      <c r="A26" s="240" t="str">
        <f aca="false">Interview!$B$188</f>
        <v>Operations</v>
      </c>
      <c r="B26" s="244" t="str">
        <f aca="false">Interview!$B$189</f>
        <v>Incident Management</v>
      </c>
      <c r="C26" s="233" t="n">
        <f aca="false">Interview!$J$190</f>
        <v>0</v>
      </c>
      <c r="D26" s="233" t="n">
        <f aca="false">Interview!H190</f>
        <v>0</v>
      </c>
      <c r="E26" s="233" t="n">
        <f aca="false">Interview!H192</f>
        <v>0</v>
      </c>
      <c r="F26" s="233" t="n">
        <f aca="false">Interview!H194</f>
        <v>0</v>
      </c>
      <c r="G26" s="234" t="n">
        <f aca="false">(((((IF((C26="0+"),0.5,0)+IF((C26=1),1,0))+IF((C26="1+"),1.5,0))+IF((C26=2),2,0))+IF((C26="2+"),2.5,0))+IF((C26=3),3,0))+IF((C26="3+"),3.5,0)</f>
        <v>0</v>
      </c>
      <c r="H26" s="235"/>
      <c r="I26" s="216"/>
      <c r="J26" s="216"/>
      <c r="K26" s="216"/>
      <c r="L26" s="216"/>
      <c r="M26" s="216"/>
      <c r="N26" s="216"/>
      <c r="T26" s="240" t="str">
        <f aca="false">A26</f>
        <v>Operations</v>
      </c>
      <c r="U26" s="244" t="str">
        <f aca="false">B26</f>
        <v>Incident Management</v>
      </c>
      <c r="V26" s="233" t="n">
        <v>0</v>
      </c>
      <c r="W26" s="233" t="n">
        <v>0</v>
      </c>
      <c r="X26" s="233" t="n">
        <v>0</v>
      </c>
      <c r="Y26" s="233" t="n">
        <v>0</v>
      </c>
      <c r="Z26" s="233" t="n">
        <f aca="false">C26</f>
        <v>0</v>
      </c>
    </row>
    <row r="27" customFormat="false" ht="24.75" hidden="false" customHeight="true" outlineLevel="0" collapsed="false">
      <c r="A27" s="240" t="str">
        <f aca="false">Interview!$B$188</f>
        <v>Operations</v>
      </c>
      <c r="B27" s="244" t="str">
        <f aca="false">Interview!$B$203</f>
        <v>Environment Management</v>
      </c>
      <c r="C27" s="233" t="n">
        <f aca="false">Interview!$J$204</f>
        <v>0</v>
      </c>
      <c r="D27" s="233" t="n">
        <f aca="false">Interview!H204</f>
        <v>0</v>
      </c>
      <c r="E27" s="233" t="n">
        <f aca="false">Interview!H206</f>
        <v>0</v>
      </c>
      <c r="F27" s="233" t="n">
        <f aca="false">Interview!H208</f>
        <v>0</v>
      </c>
      <c r="G27" s="234" t="n">
        <f aca="false">(((((IF((C27="0+"),0.5,0)+IF((C27=1),1,0))+IF((C27="1+"),1.5,0))+IF((C27=2),2,0))+IF((C27="2+"),2.5,0))+IF((C27=3),3,0))+IF((C27="3+"),3.5,0)</f>
        <v>0</v>
      </c>
      <c r="H27" s="235"/>
      <c r="I27" s="216"/>
      <c r="J27" s="216"/>
      <c r="K27" s="216"/>
      <c r="L27" s="216"/>
      <c r="M27" s="216"/>
      <c r="N27" s="216"/>
      <c r="T27" s="240" t="str">
        <f aca="false">A27</f>
        <v>Operations</v>
      </c>
      <c r="U27" s="244" t="str">
        <f aca="false">B27</f>
        <v>Environment Management</v>
      </c>
      <c r="V27" s="233" t="n">
        <v>0</v>
      </c>
      <c r="W27" s="233" t="n">
        <v>0</v>
      </c>
      <c r="X27" s="233" t="n">
        <v>0</v>
      </c>
      <c r="Y27" s="233" t="n">
        <v>0</v>
      </c>
      <c r="Z27" s="233" t="n">
        <f aca="false">C27</f>
        <v>0</v>
      </c>
    </row>
    <row r="28" customFormat="false" ht="24.75" hidden="false" customHeight="true" outlineLevel="0" collapsed="false">
      <c r="A28" s="240" t="str">
        <f aca="false">Interview!$B$188</f>
        <v>Operations</v>
      </c>
      <c r="B28" s="244" t="str">
        <f aca="false">Interview!$B$217</f>
        <v>Operational Management</v>
      </c>
      <c r="C28" s="233" t="n">
        <f aca="false">Interview!$J$218</f>
        <v>0</v>
      </c>
      <c r="D28" s="233" t="n">
        <f aca="false">Interview!H218</f>
        <v>0</v>
      </c>
      <c r="E28" s="233" t="n">
        <f aca="false">Interview!H220</f>
        <v>0</v>
      </c>
      <c r="F28" s="233" t="n">
        <f aca="false">Interview!H222</f>
        <v>0</v>
      </c>
      <c r="G28" s="234" t="n">
        <f aca="false">(((((IF((C28="0+"),0.5,0)+IF((C28=1),1,0))+IF((C28="1+"),1.5,0))+IF((C28=2),2,0))+IF((C28="2+"),2.5,0))+IF((C28=3),3,0))+IF((C28="3+"),3.5,0)</f>
        <v>0</v>
      </c>
      <c r="H28" s="235"/>
      <c r="I28" s="216"/>
      <c r="J28" s="216"/>
      <c r="K28" s="216"/>
      <c r="L28" s="216"/>
      <c r="M28" s="216"/>
      <c r="N28" s="216"/>
      <c r="T28" s="240" t="str">
        <f aca="false">A28</f>
        <v>Operations</v>
      </c>
      <c r="U28" s="244" t="str">
        <f aca="false">B28</f>
        <v>Operational Management</v>
      </c>
      <c r="V28" s="233" t="n">
        <v>0</v>
      </c>
      <c r="W28" s="233" t="n">
        <v>0</v>
      </c>
      <c r="X28" s="233" t="n">
        <v>0</v>
      </c>
      <c r="Y28" s="233" t="n">
        <v>0</v>
      </c>
      <c r="Z28" s="233" t="n">
        <f aca="false">C28</f>
        <v>0</v>
      </c>
    </row>
    <row r="29" customFormat="false" ht="12.75" hidden="false" customHeight="true" outlineLevel="0" collapsed="false">
      <c r="A29" s="219"/>
      <c r="B29" s="219"/>
      <c r="C29" s="219"/>
      <c r="D29" s="219"/>
      <c r="E29" s="219"/>
      <c r="F29" s="219"/>
      <c r="G29" s="216"/>
      <c r="H29" s="216"/>
      <c r="I29" s="216"/>
      <c r="J29" s="216"/>
      <c r="K29" s="216"/>
      <c r="L29" s="216"/>
      <c r="M29" s="216"/>
      <c r="N29" s="216"/>
    </row>
    <row r="30" customFormat="false" ht="12.75" hidden="false" customHeight="true" outlineLevel="0" collapsed="false">
      <c r="K30" s="216"/>
    </row>
    <row r="31" customFormat="false" ht="24.75" hidden="false" customHeight="true" outlineLevel="0" collapsed="false">
      <c r="A31" s="225" t="s">
        <v>245</v>
      </c>
      <c r="B31" s="225"/>
      <c r="C31" s="225"/>
      <c r="D31" s="225"/>
      <c r="E31" s="225"/>
      <c r="F31" s="225"/>
      <c r="G31" s="225"/>
      <c r="H31" s="225"/>
      <c r="I31" s="225"/>
      <c r="J31" s="225"/>
      <c r="K31" s="216"/>
      <c r="L31" s="225" t="s">
        <v>245</v>
      </c>
      <c r="M31" s="225"/>
      <c r="N31" s="225"/>
      <c r="O31" s="225"/>
      <c r="P31" s="225"/>
      <c r="Q31" s="225"/>
      <c r="R31" s="225"/>
      <c r="T31" s="226" t="s">
        <v>245</v>
      </c>
      <c r="U31" s="226"/>
      <c r="V31" s="226"/>
      <c r="W31" s="226"/>
      <c r="X31" s="226"/>
      <c r="Y31" s="226"/>
      <c r="Z31" s="226"/>
    </row>
    <row r="32" customFormat="false" ht="12" hidden="false" customHeight="true" outlineLevel="0" collapsed="false">
      <c r="A32" s="217"/>
      <c r="B32" s="217"/>
      <c r="C32" s="217"/>
      <c r="D32" s="227" t="s">
        <v>239</v>
      </c>
      <c r="E32" s="227"/>
      <c r="F32" s="227"/>
      <c r="G32" s="216"/>
      <c r="H32" s="216"/>
      <c r="I32" s="216"/>
      <c r="J32" s="216"/>
      <c r="K32" s="216"/>
      <c r="L32" s="216"/>
      <c r="M32" s="216"/>
      <c r="N32" s="216"/>
    </row>
    <row r="33" customFormat="false" ht="24.75" hidden="false" customHeight="true" outlineLevel="0" collapsed="false">
      <c r="A33" s="228" t="s">
        <v>240</v>
      </c>
      <c r="B33" s="228" t="s">
        <v>241</v>
      </c>
      <c r="C33" s="228" t="s">
        <v>242</v>
      </c>
      <c r="D33" s="229" t="n">
        <v>1</v>
      </c>
      <c r="E33" s="229" t="n">
        <v>2</v>
      </c>
      <c r="F33" s="229" t="n">
        <v>3</v>
      </c>
      <c r="G33" s="230" t="s">
        <v>243</v>
      </c>
      <c r="H33" s="28"/>
      <c r="I33" s="228" t="s">
        <v>240</v>
      </c>
      <c r="J33" s="228" t="s">
        <v>242</v>
      </c>
      <c r="K33" s="216"/>
      <c r="L33" s="216"/>
      <c r="M33" s="216"/>
      <c r="N33" s="216"/>
      <c r="V33" s="215" t="str">
        <f aca="false">T34</f>
        <v>Governance</v>
      </c>
      <c r="W33" s="215" t="str">
        <f aca="false">T37</f>
        <v>Design</v>
      </c>
      <c r="X33" s="215" t="str">
        <f aca="false">T40</f>
        <v>Implementation</v>
      </c>
      <c r="Y33" s="215" t="str">
        <f aca="false">T43</f>
        <v>Verification</v>
      </c>
      <c r="Z33" s="215" t="str">
        <f aca="false">T46</f>
        <v>Operations</v>
      </c>
    </row>
    <row r="34" customFormat="false" ht="24.75" hidden="false" customHeight="true" outlineLevel="0" collapsed="false">
      <c r="A34" s="231" t="str">
        <f aca="false">Interview!$B$16</f>
        <v>Governance</v>
      </c>
      <c r="B34" s="232" t="str">
        <f aca="false">Interview!$D$17</f>
        <v>Strategy &amp; Metrics</v>
      </c>
      <c r="C34" s="233" t="n">
        <f aca="false">Roadmap!M18</f>
        <v>0</v>
      </c>
      <c r="D34" s="233" t="n">
        <f aca="false">Roadmap!L18</f>
        <v>0</v>
      </c>
      <c r="E34" s="233" t="n">
        <f aca="false">Roadmap!L19</f>
        <v>0</v>
      </c>
      <c r="F34" s="233" t="n">
        <f aca="false">Roadmap!L20</f>
        <v>0</v>
      </c>
      <c r="G34" s="234" t="n">
        <f aca="false">(((((IF((C34="0+"),0.5,0)+IF((C34=1),1,0))+IF((C34="1+"),1.5,0))+IF((C34=2),2,0))+IF((C34="2+"),2.5,0))+IF((C34=3),3,0))+IF((C34="3+"),3.5,0)</f>
        <v>0</v>
      </c>
      <c r="H34" s="235"/>
      <c r="I34" s="231" t="str">
        <f aca="false">A34</f>
        <v>Governance</v>
      </c>
      <c r="J34" s="233" t="n">
        <f aca="false">AVERAGE(C34:C36)</f>
        <v>0</v>
      </c>
      <c r="K34" s="216"/>
      <c r="L34" s="216"/>
      <c r="M34" s="216"/>
      <c r="N34" s="216"/>
      <c r="T34" s="231" t="str">
        <f aca="false">Interview!$B$16</f>
        <v>Governance</v>
      </c>
      <c r="U34" s="232" t="str">
        <f aca="false">Interview!$D$17</f>
        <v>Strategy &amp; Metrics</v>
      </c>
      <c r="V34" s="233" t="n">
        <f aca="false">C34</f>
        <v>0</v>
      </c>
      <c r="W34" s="233" t="n">
        <v>0</v>
      </c>
      <c r="X34" s="233" t="n">
        <v>0</v>
      </c>
      <c r="Y34" s="233" t="n">
        <v>0</v>
      </c>
      <c r="Z34" s="233" t="n">
        <v>0</v>
      </c>
    </row>
    <row r="35" customFormat="false" ht="24.75" hidden="false" customHeight="true" outlineLevel="0" collapsed="false">
      <c r="A35" s="231" t="str">
        <f aca="false">Interview!$B$16</f>
        <v>Governance</v>
      </c>
      <c r="B35" s="232" t="str">
        <f aca="false">Interview!$B$31</f>
        <v>Policy &amp; Compliance</v>
      </c>
      <c r="C35" s="233" t="n">
        <f aca="false">Roadmap!M27</f>
        <v>0</v>
      </c>
      <c r="D35" s="233" t="n">
        <f aca="false">Roadmap!L27</f>
        <v>0</v>
      </c>
      <c r="E35" s="233" t="n">
        <f aca="false">Roadmap!L28</f>
        <v>0</v>
      </c>
      <c r="F35" s="233" t="n">
        <f aca="false">Roadmap!L29</f>
        <v>0</v>
      </c>
      <c r="G35" s="234" t="n">
        <f aca="false">(((((IF((C35="0+"),0.5,0)+IF((C35=1),1,0))+IF((C35="1+"),1.5,0))+IF((C35=2),2,0))+IF((C35="2+"),2.5,0))+IF((C35=3),3,0))+IF((C35="3+"),3.5,0)</f>
        <v>0</v>
      </c>
      <c r="H35" s="235"/>
      <c r="I35" s="236" t="str">
        <f aca="false">A37</f>
        <v>Design</v>
      </c>
      <c r="J35" s="233" t="n">
        <f aca="false">AVERAGE(C37:C39)</f>
        <v>0</v>
      </c>
      <c r="K35" s="216"/>
      <c r="L35" s="216"/>
      <c r="M35" s="216"/>
      <c r="N35" s="216"/>
      <c r="T35" s="231" t="str">
        <f aca="false">Interview!$B$16</f>
        <v>Governance</v>
      </c>
      <c r="U35" s="232" t="str">
        <f aca="false">Interview!$B$31</f>
        <v>Policy &amp; Compliance</v>
      </c>
      <c r="V35" s="233" t="n">
        <f aca="false">C35</f>
        <v>0</v>
      </c>
      <c r="W35" s="233" t="n">
        <v>0</v>
      </c>
      <c r="X35" s="233" t="n">
        <v>0</v>
      </c>
      <c r="Y35" s="233" t="n">
        <v>0</v>
      </c>
      <c r="Z35" s="233" t="n">
        <v>0</v>
      </c>
    </row>
    <row r="36" customFormat="false" ht="24.75" hidden="false" customHeight="true" outlineLevel="0" collapsed="false">
      <c r="A36" s="231" t="str">
        <f aca="false">Interview!$B$16</f>
        <v>Governance</v>
      </c>
      <c r="B36" s="232" t="str">
        <f aca="false">Interview!$B$45</f>
        <v>Education &amp; Guidance</v>
      </c>
      <c r="C36" s="233" t="n">
        <f aca="false">Roadmap!M36</f>
        <v>0</v>
      </c>
      <c r="D36" s="233" t="n">
        <f aca="false">Roadmap!L36</f>
        <v>0</v>
      </c>
      <c r="E36" s="233" t="n">
        <f aca="false">Roadmap!L37</f>
        <v>0</v>
      </c>
      <c r="F36" s="233" t="n">
        <f aca="false">Roadmap!L38</f>
        <v>0</v>
      </c>
      <c r="G36" s="234" t="n">
        <f aca="false">(((((IF((C36="0+"),0.5,0)+IF((C36=1),1,0))+IF((C36="1+"),1.5,0))+IF((C36=2),2,0))+IF((C36="2+"),2.5,0))+IF((C36=3),3,0))+IF((C36="3+"),3.5,0)</f>
        <v>0</v>
      </c>
      <c r="H36" s="235"/>
      <c r="I36" s="237" t="str">
        <f aca="false">A40</f>
        <v>Implementation</v>
      </c>
      <c r="J36" s="233" t="n">
        <f aca="false">AVERAGE(C40:C42)</f>
        <v>0</v>
      </c>
      <c r="K36" s="216"/>
      <c r="L36" s="216"/>
      <c r="M36" s="216"/>
      <c r="N36" s="216"/>
      <c r="T36" s="231" t="str">
        <f aca="false">Interview!$B$16</f>
        <v>Governance</v>
      </c>
      <c r="U36" s="232" t="str">
        <f aca="false">Interview!$B$45</f>
        <v>Education &amp; Guidance</v>
      </c>
      <c r="V36" s="233" t="n">
        <f aca="false">C36</f>
        <v>0</v>
      </c>
      <c r="W36" s="233" t="n">
        <v>0</v>
      </c>
      <c r="X36" s="233" t="n">
        <v>0</v>
      </c>
      <c r="Y36" s="233" t="n">
        <v>0</v>
      </c>
      <c r="Z36" s="233" t="n">
        <v>0</v>
      </c>
    </row>
    <row r="37" customFormat="false" ht="24.75" hidden="false" customHeight="true" outlineLevel="0" collapsed="false">
      <c r="A37" s="236" t="str">
        <f aca="false">Interview!$B$59</f>
        <v>Design</v>
      </c>
      <c r="B37" s="238" t="str">
        <f aca="false">Interview!$B$60</f>
        <v>Threat Assessment</v>
      </c>
      <c r="C37" s="233" t="n">
        <f aca="false">Roadmap!M46</f>
        <v>0</v>
      </c>
      <c r="D37" s="233" t="n">
        <f aca="false">Roadmap!L46</f>
        <v>0</v>
      </c>
      <c r="E37" s="233" t="n">
        <f aca="false">Roadmap!L47</f>
        <v>0</v>
      </c>
      <c r="F37" s="233" t="n">
        <f aca="false">Roadmap!L48</f>
        <v>0</v>
      </c>
      <c r="G37" s="234" t="n">
        <f aca="false">(((((IF((C37="0+"),0.5,0)+IF((C37=1),1,0))+IF((C37="1+"),1.5,0))+IF((C37=2),2,0))+IF((C37="2+"),2.5,0))+IF((C37=3),3,0))+IF((C37="3+"),3.5,0)</f>
        <v>0</v>
      </c>
      <c r="H37" s="235"/>
      <c r="I37" s="239" t="str">
        <f aca="false">A43</f>
        <v>Verification</v>
      </c>
      <c r="J37" s="233" t="n">
        <f aca="false">AVERAGE(C43:C45)</f>
        <v>0</v>
      </c>
      <c r="K37" s="216"/>
      <c r="L37" s="216"/>
      <c r="M37" s="216"/>
      <c r="N37" s="216"/>
      <c r="T37" s="236" t="str">
        <f aca="false">Interview!$B$59</f>
        <v>Design</v>
      </c>
      <c r="U37" s="238" t="str">
        <f aca="false">Interview!$B$60</f>
        <v>Threat Assessment</v>
      </c>
      <c r="V37" s="233" t="n">
        <v>0</v>
      </c>
      <c r="W37" s="233" t="n">
        <f aca="false">C37</f>
        <v>0</v>
      </c>
      <c r="X37" s="233" t="n">
        <v>0</v>
      </c>
      <c r="Y37" s="233" t="n">
        <v>0</v>
      </c>
      <c r="Z37" s="233" t="n">
        <v>0</v>
      </c>
    </row>
    <row r="38" customFormat="false" ht="24.75" hidden="false" customHeight="true" outlineLevel="0" collapsed="false">
      <c r="A38" s="236" t="str">
        <f aca="false">Interview!$B$59</f>
        <v>Design</v>
      </c>
      <c r="B38" s="238" t="str">
        <f aca="false">Interview!$B$74</f>
        <v>Security Requirements</v>
      </c>
      <c r="C38" s="233" t="n">
        <f aca="false">Roadmap!M55</f>
        <v>0</v>
      </c>
      <c r="D38" s="233" t="n">
        <f aca="false">Roadmap!L55</f>
        <v>0</v>
      </c>
      <c r="E38" s="233" t="n">
        <f aca="false">Roadmap!L56</f>
        <v>0</v>
      </c>
      <c r="F38" s="233" t="n">
        <f aca="false">Roadmap!L57</f>
        <v>0</v>
      </c>
      <c r="G38" s="234" t="n">
        <f aca="false">(((((IF((C38="0+"),0.5,0)+IF((C38=1),1,0))+IF((C38="1+"),1.5,0))+IF((C38=2),2,0))+IF((C38="2+"),2.5,0))+IF((C38=3),3,0))+IF((C38="3+"),3.5,0)</f>
        <v>0</v>
      </c>
      <c r="H38" s="235"/>
      <c r="I38" s="240" t="str">
        <f aca="false">A46</f>
        <v>Operations</v>
      </c>
      <c r="J38" s="233" t="n">
        <f aca="false">AVERAGE(C46:C48)</f>
        <v>0</v>
      </c>
      <c r="K38" s="216"/>
      <c r="L38" s="233"/>
      <c r="M38" s="216"/>
      <c r="N38" s="216"/>
      <c r="T38" s="236" t="str">
        <f aca="false">Interview!$B$59</f>
        <v>Design</v>
      </c>
      <c r="U38" s="238" t="str">
        <f aca="false">Interview!$B$74</f>
        <v>Security Requirements</v>
      </c>
      <c r="V38" s="233" t="n">
        <v>0</v>
      </c>
      <c r="W38" s="233" t="n">
        <f aca="false">C38</f>
        <v>0</v>
      </c>
      <c r="X38" s="233" t="n">
        <v>0</v>
      </c>
      <c r="Y38" s="233" t="n">
        <v>0</v>
      </c>
      <c r="Z38" s="233" t="n">
        <v>0</v>
      </c>
    </row>
    <row r="39" customFormat="false" ht="24.75" hidden="false" customHeight="true" outlineLevel="0" collapsed="false">
      <c r="A39" s="236" t="str">
        <f aca="false">Interview!$B$59</f>
        <v>Design</v>
      </c>
      <c r="B39" s="238" t="str">
        <f aca="false">Interview!$B$88</f>
        <v>Secure Architecture</v>
      </c>
      <c r="C39" s="233" t="n">
        <f aca="false">Roadmap!M64</f>
        <v>0</v>
      </c>
      <c r="D39" s="233" t="n">
        <f aca="false">Roadmap!L64</f>
        <v>0</v>
      </c>
      <c r="E39" s="233" t="n">
        <f aca="false">Roadmap!L65</f>
        <v>0</v>
      </c>
      <c r="F39" s="233" t="n">
        <f aca="false">Roadmap!L66</f>
        <v>0</v>
      </c>
      <c r="G39" s="234" t="n">
        <f aca="false">(((((IF((C39="0+"),0.5,0)+IF((C39=1),1,0))+IF((C39="1+"),1.5,0))+IF((C39=2),2,0))+IF((C39="2+"),2.5,0))+IF((C39=3),3,0))+IF((C39="3+"),3.5,0)</f>
        <v>0</v>
      </c>
      <c r="H39" s="235"/>
      <c r="I39" s="241" t="s">
        <v>244</v>
      </c>
      <c r="J39" s="233" t="n">
        <f aca="false">AVERAGE(J34:J38)</f>
        <v>0</v>
      </c>
      <c r="K39" s="216"/>
      <c r="L39" s="233"/>
      <c r="M39" s="216"/>
      <c r="N39" s="216"/>
      <c r="T39" s="236" t="str">
        <f aca="false">Interview!$B$59</f>
        <v>Design</v>
      </c>
      <c r="U39" s="238" t="str">
        <f aca="false">Interview!$B$88</f>
        <v>Secure Architecture</v>
      </c>
      <c r="V39" s="233" t="n">
        <v>0</v>
      </c>
      <c r="W39" s="233" t="n">
        <f aca="false">C39</f>
        <v>0</v>
      </c>
      <c r="X39" s="233" t="n">
        <v>0</v>
      </c>
      <c r="Y39" s="233" t="n">
        <v>0</v>
      </c>
      <c r="Z39" s="233" t="n">
        <v>0</v>
      </c>
    </row>
    <row r="40" customFormat="false" ht="24.75" hidden="false" customHeight="true" outlineLevel="0" collapsed="false">
      <c r="A40" s="237" t="str">
        <f aca="false">Interview!$B$102</f>
        <v>Implementation</v>
      </c>
      <c r="B40" s="242" t="str">
        <f aca="false">Interview!$B$103</f>
        <v>Secure Build</v>
      </c>
      <c r="C40" s="233" t="n">
        <f aca="false">Roadmap!M74</f>
        <v>0</v>
      </c>
      <c r="D40" s="233" t="n">
        <f aca="false">Roadmap!L74</f>
        <v>0</v>
      </c>
      <c r="E40" s="233" t="n">
        <f aca="false">Roadmap!L75</f>
        <v>0</v>
      </c>
      <c r="F40" s="233" t="n">
        <f aca="false">Roadmap!L76</f>
        <v>0</v>
      </c>
      <c r="G40" s="234"/>
      <c r="H40" s="235"/>
      <c r="I40" s="216"/>
      <c r="J40" s="216"/>
      <c r="K40" s="216"/>
      <c r="L40" s="233"/>
      <c r="M40" s="216"/>
      <c r="N40" s="216"/>
      <c r="T40" s="237" t="str">
        <f aca="false">Interview!$B$102</f>
        <v>Implementation</v>
      </c>
      <c r="U40" s="242" t="str">
        <f aca="false">Interview!$B$103</f>
        <v>Secure Build</v>
      </c>
      <c r="V40" s="233" t="n">
        <v>0</v>
      </c>
      <c r="W40" s="233" t="n">
        <v>0</v>
      </c>
      <c r="X40" s="233" t="n">
        <f aca="false">C40</f>
        <v>0</v>
      </c>
      <c r="Y40" s="233" t="n">
        <v>0</v>
      </c>
      <c r="Z40" s="233" t="n">
        <v>0</v>
      </c>
    </row>
    <row r="41" customFormat="false" ht="24.75" hidden="false" customHeight="true" outlineLevel="0" collapsed="false">
      <c r="A41" s="237" t="str">
        <f aca="false">Interview!$B$102</f>
        <v>Implementation</v>
      </c>
      <c r="B41" s="242" t="str">
        <f aca="false">Interview!$B$117</f>
        <v>Secure Deployment</v>
      </c>
      <c r="C41" s="233" t="n">
        <f aca="false">Roadmap!M83</f>
        <v>0</v>
      </c>
      <c r="D41" s="233" t="n">
        <f aca="false">Roadmap!L83</f>
        <v>0</v>
      </c>
      <c r="E41" s="233" t="n">
        <f aca="false">Roadmap!L84</f>
        <v>0</v>
      </c>
      <c r="F41" s="233" t="n">
        <f aca="false">Roadmap!L85</f>
        <v>0</v>
      </c>
      <c r="G41" s="234"/>
      <c r="H41" s="235"/>
      <c r="I41" s="216"/>
      <c r="J41" s="216"/>
      <c r="K41" s="216"/>
      <c r="L41" s="216"/>
      <c r="M41" s="216"/>
      <c r="N41" s="216"/>
      <c r="T41" s="237" t="str">
        <f aca="false">Interview!$B$102</f>
        <v>Implementation</v>
      </c>
      <c r="U41" s="242" t="str">
        <f aca="false">Interview!$B$117</f>
        <v>Secure Deployment</v>
      </c>
      <c r="V41" s="233" t="n">
        <v>0</v>
      </c>
      <c r="W41" s="233" t="n">
        <v>0</v>
      </c>
      <c r="X41" s="233" t="n">
        <f aca="false">C41</f>
        <v>0</v>
      </c>
      <c r="Y41" s="233" t="n">
        <v>0</v>
      </c>
      <c r="Z41" s="233" t="n">
        <v>0</v>
      </c>
    </row>
    <row r="42" customFormat="false" ht="24.75" hidden="false" customHeight="true" outlineLevel="0" collapsed="false">
      <c r="A42" s="237" t="str">
        <f aca="false">Interview!$B$102</f>
        <v>Implementation</v>
      </c>
      <c r="B42" s="242" t="str">
        <f aca="false">Interview!$B$131</f>
        <v>Defect Management</v>
      </c>
      <c r="C42" s="233" t="n">
        <f aca="false">Roadmap!M92</f>
        <v>0</v>
      </c>
      <c r="D42" s="233" t="n">
        <f aca="false">Roadmap!L92</f>
        <v>0</v>
      </c>
      <c r="E42" s="233" t="n">
        <f aca="false">Roadmap!L93</f>
        <v>0</v>
      </c>
      <c r="F42" s="233" t="n">
        <f aca="false">Roadmap!L94</f>
        <v>0</v>
      </c>
      <c r="G42" s="234"/>
      <c r="H42" s="235"/>
      <c r="I42" s="216"/>
      <c r="J42" s="216"/>
      <c r="K42" s="216"/>
      <c r="L42" s="216"/>
      <c r="M42" s="216"/>
      <c r="N42" s="216"/>
      <c r="T42" s="237" t="str">
        <f aca="false">Interview!$B$102</f>
        <v>Implementation</v>
      </c>
      <c r="U42" s="242" t="str">
        <f aca="false">Interview!$B$131</f>
        <v>Defect Management</v>
      </c>
      <c r="V42" s="233" t="n">
        <v>0</v>
      </c>
      <c r="W42" s="233" t="n">
        <v>0</v>
      </c>
      <c r="X42" s="233" t="n">
        <f aca="false">C42</f>
        <v>0</v>
      </c>
      <c r="Y42" s="233" t="n">
        <v>0</v>
      </c>
      <c r="Z42" s="233" t="n">
        <v>0</v>
      </c>
    </row>
    <row r="43" customFormat="false" ht="24.75" hidden="false" customHeight="true" outlineLevel="0" collapsed="false">
      <c r="A43" s="239" t="str">
        <f aca="false">Interview!$B$145</f>
        <v>Verification</v>
      </c>
      <c r="B43" s="243" t="str">
        <f aca="false">Interview!$B$146</f>
        <v>Architecture Assessment</v>
      </c>
      <c r="C43" s="233" t="n">
        <f aca="false">Roadmap!M102</f>
        <v>0</v>
      </c>
      <c r="D43" s="233" t="n">
        <f aca="false">Roadmap!L102</f>
        <v>0</v>
      </c>
      <c r="E43" s="233" t="n">
        <f aca="false">Roadmap!L103</f>
        <v>0</v>
      </c>
      <c r="F43" s="233" t="n">
        <f aca="false">Roadmap!L104</f>
        <v>0</v>
      </c>
      <c r="G43" s="234" t="n">
        <f aca="false">(((((IF((C43="0+"),0.5,0)+IF((C43=1),1,0))+IF((C43="1+"),1.5,0))+IF((C43=2),2,0))+IF((C43="2+"),2.5,0))+IF((C43=3),3,0))+IF((C43="3+"),3.5,0)</f>
        <v>0</v>
      </c>
      <c r="H43" s="235"/>
      <c r="I43" s="216"/>
      <c r="J43" s="216"/>
      <c r="K43" s="216"/>
      <c r="L43" s="216"/>
      <c r="M43" s="216"/>
      <c r="N43" s="216"/>
      <c r="T43" s="239" t="str">
        <f aca="false">Interview!$B$145</f>
        <v>Verification</v>
      </c>
      <c r="U43" s="243" t="str">
        <f aca="false">Interview!$B$146</f>
        <v>Architecture Assessment</v>
      </c>
      <c r="V43" s="233" t="n">
        <v>0</v>
      </c>
      <c r="W43" s="233" t="n">
        <v>0</v>
      </c>
      <c r="X43" s="233" t="n">
        <v>0</v>
      </c>
      <c r="Y43" s="233" t="n">
        <f aca="false">C43</f>
        <v>0</v>
      </c>
      <c r="Z43" s="233" t="n">
        <v>0</v>
      </c>
    </row>
    <row r="44" customFormat="false" ht="24.75" hidden="false" customHeight="true" outlineLevel="0" collapsed="false">
      <c r="A44" s="239" t="str">
        <f aca="false">Interview!$B$145</f>
        <v>Verification</v>
      </c>
      <c r="B44" s="243" t="str">
        <f aca="false">Interview!$B$160</f>
        <v>Requirements Testing</v>
      </c>
      <c r="C44" s="233" t="n">
        <f aca="false">Roadmap!M111</f>
        <v>0</v>
      </c>
      <c r="D44" s="233" t="n">
        <f aca="false">Roadmap!L111</f>
        <v>0</v>
      </c>
      <c r="E44" s="233" t="n">
        <f aca="false">Roadmap!L112</f>
        <v>0</v>
      </c>
      <c r="F44" s="233" t="n">
        <f aca="false">Roadmap!L113</f>
        <v>0</v>
      </c>
      <c r="G44" s="234" t="n">
        <f aca="false">(((((IF((C44="0+"),0.5,0)+IF((C44=1),1,0))+IF((C44="1+"),1.5,0))+IF((C44=2),2,0))+IF((C44="2+"),2.5,0))+IF((C44=3),3,0))+IF((C44="3+"),3.5,0)</f>
        <v>0</v>
      </c>
      <c r="H44" s="235"/>
      <c r="I44" s="216"/>
      <c r="J44" s="216"/>
      <c r="K44" s="216"/>
      <c r="L44" s="216"/>
      <c r="M44" s="216"/>
      <c r="N44" s="216"/>
      <c r="T44" s="239" t="str">
        <f aca="false">Interview!$B$145</f>
        <v>Verification</v>
      </c>
      <c r="U44" s="243" t="str">
        <f aca="false">Interview!$B$160</f>
        <v>Requirements Testing</v>
      </c>
      <c r="V44" s="233" t="n">
        <v>0</v>
      </c>
      <c r="W44" s="233" t="n">
        <v>0</v>
      </c>
      <c r="X44" s="233" t="n">
        <v>0</v>
      </c>
      <c r="Y44" s="233" t="n">
        <f aca="false">C44</f>
        <v>0</v>
      </c>
      <c r="Z44" s="233" t="n">
        <v>0</v>
      </c>
    </row>
    <row r="45" customFormat="false" ht="24.75" hidden="false" customHeight="true" outlineLevel="0" collapsed="false">
      <c r="A45" s="239" t="str">
        <f aca="false">Interview!$B$145</f>
        <v>Verification</v>
      </c>
      <c r="B45" s="243" t="str">
        <f aca="false">Interview!$B$174</f>
        <v>Security Testing</v>
      </c>
      <c r="C45" s="233" t="n">
        <f aca="false">Roadmap!M120</f>
        <v>0</v>
      </c>
      <c r="D45" s="233" t="n">
        <f aca="false">Roadmap!L120</f>
        <v>0</v>
      </c>
      <c r="E45" s="233" t="n">
        <f aca="false">Roadmap!L121</f>
        <v>0</v>
      </c>
      <c r="F45" s="233" t="n">
        <f aca="false">Roadmap!L122</f>
        <v>0</v>
      </c>
      <c r="G45" s="234" t="n">
        <f aca="false">(((((IF((C45="0+"),0.5,0)+IF((C45=1),1,0))+IF((C45="1+"),1.5,0))+IF((C45=2),2,0))+IF((C45="2+"),2.5,0))+IF((C45=3),3,0))+IF((C45="3+"),3.5,0)</f>
        <v>0</v>
      </c>
      <c r="H45" s="235"/>
      <c r="I45" s="216"/>
      <c r="J45" s="216"/>
      <c r="K45" s="216"/>
      <c r="L45" s="216"/>
      <c r="M45" s="216"/>
      <c r="N45" s="216"/>
      <c r="T45" s="239" t="str">
        <f aca="false">Interview!$B$145</f>
        <v>Verification</v>
      </c>
      <c r="U45" s="243" t="str">
        <f aca="false">Interview!$B$174</f>
        <v>Security Testing</v>
      </c>
      <c r="V45" s="233" t="n">
        <v>0</v>
      </c>
      <c r="W45" s="233" t="n">
        <v>0</v>
      </c>
      <c r="X45" s="233" t="n">
        <v>0</v>
      </c>
      <c r="Y45" s="233" t="n">
        <f aca="false">C45</f>
        <v>0</v>
      </c>
      <c r="Z45" s="233" t="n">
        <v>0</v>
      </c>
    </row>
    <row r="46" customFormat="false" ht="24.75" hidden="false" customHeight="true" outlineLevel="0" collapsed="false">
      <c r="A46" s="240" t="str">
        <f aca="false">Interview!$B$188</f>
        <v>Operations</v>
      </c>
      <c r="B46" s="244" t="str">
        <f aca="false">Interview!$B$189</f>
        <v>Incident Management</v>
      </c>
      <c r="C46" s="233" t="n">
        <f aca="false">Roadmap!M130</f>
        <v>0</v>
      </c>
      <c r="D46" s="233" t="n">
        <f aca="false">Roadmap!L130</f>
        <v>0</v>
      </c>
      <c r="E46" s="233" t="n">
        <f aca="false">Roadmap!L131</f>
        <v>0</v>
      </c>
      <c r="F46" s="233" t="n">
        <f aca="false">Roadmap!L132</f>
        <v>0</v>
      </c>
      <c r="G46" s="234" t="n">
        <f aca="false">(((((IF((C46="0+"),0.5,0)+IF((C46=1),1,0))+IF((C46="1+"),1.5,0))+IF((C46=2),2,0))+IF((C46="2+"),2.5,0))+IF((C46=3),3,0))+IF((C46="3+"),3.5,0)</f>
        <v>0</v>
      </c>
      <c r="H46" s="235"/>
      <c r="I46" s="216"/>
      <c r="J46" s="216"/>
      <c r="K46" s="216"/>
      <c r="L46" s="216"/>
      <c r="M46" s="216"/>
      <c r="N46" s="216"/>
      <c r="T46" s="240" t="str">
        <f aca="false">Interview!$B$188</f>
        <v>Operations</v>
      </c>
      <c r="U46" s="244" t="str">
        <f aca="false">Interview!$B$189</f>
        <v>Incident Management</v>
      </c>
      <c r="V46" s="233" t="n">
        <v>0</v>
      </c>
      <c r="W46" s="233" t="n">
        <v>0</v>
      </c>
      <c r="X46" s="233" t="n">
        <v>0</v>
      </c>
      <c r="Y46" s="233" t="n">
        <v>0</v>
      </c>
      <c r="Z46" s="233" t="n">
        <f aca="false">C46</f>
        <v>0</v>
      </c>
    </row>
    <row r="47" customFormat="false" ht="24.75" hidden="false" customHeight="true" outlineLevel="0" collapsed="false">
      <c r="A47" s="240" t="str">
        <f aca="false">Interview!$B$188</f>
        <v>Operations</v>
      </c>
      <c r="B47" s="244" t="str">
        <f aca="false">Interview!$B$203</f>
        <v>Environment Management</v>
      </c>
      <c r="C47" s="233" t="n">
        <f aca="false">Roadmap!M139</f>
        <v>0</v>
      </c>
      <c r="D47" s="233" t="n">
        <f aca="false">Roadmap!L139</f>
        <v>0</v>
      </c>
      <c r="E47" s="233" t="n">
        <f aca="false">Roadmap!L140</f>
        <v>0</v>
      </c>
      <c r="F47" s="233" t="n">
        <f aca="false">Roadmap!L141</f>
        <v>0</v>
      </c>
      <c r="G47" s="234" t="n">
        <f aca="false">(((((IF((C47="0+"),0.5,0)+IF((C47=1),1,0))+IF((C47="1+"),1.5,0))+IF((C47=2),2,0))+IF((C47="2+"),2.5,0))+IF((C47=3),3,0))+IF((C47="3+"),3.5,0)</f>
        <v>0</v>
      </c>
      <c r="H47" s="235"/>
      <c r="I47" s="216"/>
      <c r="J47" s="216"/>
      <c r="K47" s="216"/>
      <c r="L47" s="216"/>
      <c r="M47" s="216"/>
      <c r="N47" s="216"/>
      <c r="T47" s="240" t="str">
        <f aca="false">Interview!$B$188</f>
        <v>Operations</v>
      </c>
      <c r="U47" s="244" t="str">
        <f aca="false">Interview!$B$203</f>
        <v>Environment Management</v>
      </c>
      <c r="V47" s="233" t="n">
        <v>0</v>
      </c>
      <c r="W47" s="233" t="n">
        <v>0</v>
      </c>
      <c r="X47" s="233" t="n">
        <v>0</v>
      </c>
      <c r="Y47" s="233" t="n">
        <v>0</v>
      </c>
      <c r="Z47" s="233" t="n">
        <f aca="false">C47</f>
        <v>0</v>
      </c>
    </row>
    <row r="48" customFormat="false" ht="24.75" hidden="false" customHeight="true" outlineLevel="0" collapsed="false">
      <c r="A48" s="240" t="str">
        <f aca="false">Interview!$B$188</f>
        <v>Operations</v>
      </c>
      <c r="B48" s="244" t="str">
        <f aca="false">Interview!$B$217</f>
        <v>Operational Management</v>
      </c>
      <c r="C48" s="233" t="n">
        <f aca="false">Roadmap!M148</f>
        <v>0</v>
      </c>
      <c r="D48" s="233" t="n">
        <f aca="false">Roadmap!L148</f>
        <v>0</v>
      </c>
      <c r="E48" s="233" t="n">
        <f aca="false">Roadmap!L149</f>
        <v>0</v>
      </c>
      <c r="F48" s="233" t="n">
        <f aca="false">Roadmap!L150</f>
        <v>0</v>
      </c>
      <c r="G48" s="234" t="n">
        <f aca="false">(((((IF((C48="0+"),0.5,0)+IF((C48=1),1,0))+IF((C48="1+"),1.5,0))+IF((C48=2),2,0))+IF((C48="2+"),2.5,0))+IF((C48=3),3,0))+IF((C48="3+"),3.5,0)</f>
        <v>0</v>
      </c>
      <c r="H48" s="235"/>
      <c r="I48" s="216"/>
      <c r="J48" s="216"/>
      <c r="K48" s="216"/>
      <c r="L48" s="216"/>
      <c r="M48" s="216"/>
      <c r="N48" s="216"/>
      <c r="T48" s="240" t="str">
        <f aca="false">Interview!$B$188</f>
        <v>Operations</v>
      </c>
      <c r="U48" s="244" t="str">
        <f aca="false">Interview!$B$217</f>
        <v>Operational Management</v>
      </c>
      <c r="V48" s="233" t="n">
        <v>0</v>
      </c>
      <c r="W48" s="233" t="n">
        <v>0</v>
      </c>
      <c r="X48" s="233" t="n">
        <v>0</v>
      </c>
      <c r="Y48" s="233" t="n">
        <v>0</v>
      </c>
      <c r="Z48" s="233" t="n">
        <f aca="false">C48</f>
        <v>0</v>
      </c>
    </row>
    <row r="49" customFormat="false" ht="12.75" hidden="false" customHeight="true" outlineLevel="0" collapsed="false">
      <c r="A49" s="216"/>
      <c r="B49" s="216"/>
      <c r="C49" s="216"/>
      <c r="D49" s="216"/>
      <c r="E49" s="216"/>
      <c r="F49" s="216"/>
      <c r="G49" s="216"/>
      <c r="H49" s="216"/>
      <c r="I49" s="216"/>
      <c r="J49" s="216"/>
      <c r="K49" s="216"/>
      <c r="L49" s="216"/>
      <c r="M49" s="216"/>
      <c r="N49" s="216"/>
    </row>
    <row r="50" customFormat="false" ht="12.75" hidden="false" customHeight="true" outlineLevel="0" collapsed="false">
      <c r="K50" s="216"/>
    </row>
    <row r="51" customFormat="false" ht="24.75" hidden="false" customHeight="true" outlineLevel="0" collapsed="false">
      <c r="A51" s="225" t="s">
        <v>246</v>
      </c>
      <c r="B51" s="225"/>
      <c r="C51" s="225"/>
      <c r="D51" s="225"/>
      <c r="E51" s="225"/>
      <c r="F51" s="225"/>
      <c r="G51" s="225"/>
      <c r="H51" s="225"/>
      <c r="I51" s="225"/>
      <c r="J51" s="225"/>
      <c r="K51" s="216"/>
      <c r="L51" s="225" t="s">
        <v>246</v>
      </c>
      <c r="M51" s="225"/>
      <c r="N51" s="225"/>
      <c r="O51" s="225"/>
      <c r="P51" s="225"/>
      <c r="Q51" s="225"/>
      <c r="R51" s="225"/>
      <c r="T51" s="226" t="s">
        <v>246</v>
      </c>
      <c r="U51" s="226"/>
      <c r="V51" s="226"/>
      <c r="W51" s="226"/>
      <c r="X51" s="226"/>
      <c r="Y51" s="226"/>
      <c r="Z51" s="226"/>
    </row>
    <row r="52" customFormat="false" ht="12" hidden="false" customHeight="true" outlineLevel="0" collapsed="false">
      <c r="A52" s="217"/>
      <c r="B52" s="217"/>
      <c r="C52" s="217"/>
      <c r="D52" s="227" t="s">
        <v>239</v>
      </c>
      <c r="E52" s="227"/>
      <c r="F52" s="227"/>
      <c r="G52" s="216"/>
      <c r="H52" s="216"/>
      <c r="I52" s="216"/>
      <c r="J52" s="216"/>
      <c r="K52" s="216"/>
      <c r="L52" s="216"/>
      <c r="M52" s="216"/>
      <c r="N52" s="216"/>
    </row>
    <row r="53" customFormat="false" ht="24.75" hidden="false" customHeight="true" outlineLevel="0" collapsed="false">
      <c r="A53" s="228" t="s">
        <v>240</v>
      </c>
      <c r="B53" s="228" t="s">
        <v>241</v>
      </c>
      <c r="C53" s="228" t="s">
        <v>242</v>
      </c>
      <c r="D53" s="229" t="n">
        <v>1</v>
      </c>
      <c r="E53" s="229" t="n">
        <v>2</v>
      </c>
      <c r="F53" s="229" t="n">
        <v>3</v>
      </c>
      <c r="G53" s="230" t="s">
        <v>243</v>
      </c>
      <c r="H53" s="28"/>
      <c r="I53" s="228" t="s">
        <v>240</v>
      </c>
      <c r="J53" s="228" t="s">
        <v>242</v>
      </c>
      <c r="K53" s="216"/>
      <c r="L53" s="216"/>
      <c r="M53" s="216"/>
      <c r="N53" s="216"/>
      <c r="V53" s="215" t="str">
        <f aca="false">T54</f>
        <v>Governance</v>
      </c>
      <c r="W53" s="215" t="str">
        <f aca="false">T57</f>
        <v>Design</v>
      </c>
      <c r="X53" s="215" t="str">
        <f aca="false">T60</f>
        <v>Implementation</v>
      </c>
      <c r="Y53" s="215" t="str">
        <f aca="false">T63</f>
        <v>Verification</v>
      </c>
      <c r="Z53" s="215" t="str">
        <f aca="false">T66</f>
        <v>Operations</v>
      </c>
    </row>
    <row r="54" customFormat="false" ht="24.75" hidden="false" customHeight="true" outlineLevel="0" collapsed="false">
      <c r="A54" s="231" t="str">
        <f aca="false">Interview!$B$16</f>
        <v>Governance</v>
      </c>
      <c r="B54" s="232" t="str">
        <f aca="false">Interview!$D$17</f>
        <v>Strategy &amp; Metrics</v>
      </c>
      <c r="C54" s="233" t="n">
        <f aca="false">Roadmap!Q18</f>
        <v>0</v>
      </c>
      <c r="D54" s="233" t="n">
        <f aca="false">Roadmap!P18</f>
        <v>0</v>
      </c>
      <c r="E54" s="233" t="n">
        <f aca="false">Roadmap!P19</f>
        <v>0</v>
      </c>
      <c r="F54" s="233" t="n">
        <f aca="false">Roadmap!P20</f>
        <v>0</v>
      </c>
      <c r="G54" s="234" t="n">
        <f aca="false">(((((IF((C54="0+"),0.5,0)+IF((C54=1),1,0))+IF((C54="1+"),1.5,0))+IF((C54=2),2,0))+IF((C54="2+"),2.5,0))+IF((C54=3),3,0))+IF((C54="3+"),3.5,0)</f>
        <v>0</v>
      </c>
      <c r="H54" s="235"/>
      <c r="I54" s="231" t="str">
        <f aca="false">A54</f>
        <v>Governance</v>
      </c>
      <c r="J54" s="233" t="n">
        <f aca="false">AVERAGE(C54:C56)</f>
        <v>0</v>
      </c>
      <c r="K54" s="216"/>
      <c r="L54" s="216"/>
      <c r="M54" s="216"/>
      <c r="N54" s="216"/>
      <c r="T54" s="231" t="str">
        <f aca="false">Interview!$B$16</f>
        <v>Governance</v>
      </c>
      <c r="U54" s="232" t="str">
        <f aca="false">Interview!$D$17</f>
        <v>Strategy &amp; Metrics</v>
      </c>
      <c r="V54" s="233" t="n">
        <f aca="false">C54</f>
        <v>0</v>
      </c>
      <c r="W54" s="233" t="n">
        <v>0</v>
      </c>
      <c r="X54" s="233" t="n">
        <v>0</v>
      </c>
      <c r="Y54" s="233" t="n">
        <v>0</v>
      </c>
      <c r="Z54" s="233" t="n">
        <v>0</v>
      </c>
    </row>
    <row r="55" customFormat="false" ht="24.75" hidden="false" customHeight="true" outlineLevel="0" collapsed="false">
      <c r="A55" s="231" t="str">
        <f aca="false">Interview!$B$16</f>
        <v>Governance</v>
      </c>
      <c r="B55" s="232" t="str">
        <f aca="false">Interview!$B$31</f>
        <v>Policy &amp; Compliance</v>
      </c>
      <c r="C55" s="233" t="n">
        <f aca="false">Roadmap!Q27</f>
        <v>0</v>
      </c>
      <c r="D55" s="233" t="n">
        <f aca="false">Roadmap!P27</f>
        <v>0</v>
      </c>
      <c r="E55" s="233" t="n">
        <f aca="false">Roadmap!P28</f>
        <v>0</v>
      </c>
      <c r="F55" s="233" t="n">
        <f aca="false">Roadmap!P29</f>
        <v>0</v>
      </c>
      <c r="G55" s="234" t="n">
        <f aca="false">(((((IF((C55="0+"),0.5,0)+IF((C55=1),1,0))+IF((C55="1+"),1.5,0))+IF((C55=2),2,0))+IF((C55="2+"),2.5,0))+IF((C55=3),3,0))+IF((C55="3+"),3.5,0)</f>
        <v>0</v>
      </c>
      <c r="H55" s="235"/>
      <c r="I55" s="236" t="str">
        <f aca="false">A57</f>
        <v>Design</v>
      </c>
      <c r="J55" s="233" t="n">
        <f aca="false">AVERAGE(C57:C59)</f>
        <v>0</v>
      </c>
      <c r="K55" s="216"/>
      <c r="L55" s="216"/>
      <c r="M55" s="216"/>
      <c r="N55" s="216"/>
      <c r="T55" s="231" t="str">
        <f aca="false">Interview!$B$16</f>
        <v>Governance</v>
      </c>
      <c r="U55" s="232" t="str">
        <f aca="false">Interview!$B$31</f>
        <v>Policy &amp; Compliance</v>
      </c>
      <c r="V55" s="233" t="n">
        <f aca="false">C55</f>
        <v>0</v>
      </c>
      <c r="W55" s="233" t="n">
        <v>0</v>
      </c>
      <c r="X55" s="233" t="n">
        <v>0</v>
      </c>
      <c r="Y55" s="233" t="n">
        <v>0</v>
      </c>
      <c r="Z55" s="233" t="n">
        <v>0</v>
      </c>
    </row>
    <row r="56" customFormat="false" ht="24.75" hidden="false" customHeight="true" outlineLevel="0" collapsed="false">
      <c r="A56" s="231" t="str">
        <f aca="false">Interview!$B$16</f>
        <v>Governance</v>
      </c>
      <c r="B56" s="232" t="str">
        <f aca="false">Interview!$B$45</f>
        <v>Education &amp; Guidance</v>
      </c>
      <c r="C56" s="233" t="n">
        <f aca="false">Roadmap!Q36</f>
        <v>0</v>
      </c>
      <c r="D56" s="233" t="n">
        <f aca="false">Roadmap!P36</f>
        <v>0</v>
      </c>
      <c r="E56" s="233" t="n">
        <f aca="false">Roadmap!P37</f>
        <v>0</v>
      </c>
      <c r="F56" s="233" t="n">
        <f aca="false">Roadmap!P38</f>
        <v>0</v>
      </c>
      <c r="G56" s="234" t="n">
        <f aca="false">(((((IF((C56="0+"),0.5,0)+IF((C56=1),1,0))+IF((C56="1+"),1.5,0))+IF((C56=2),2,0))+IF((C56="2+"),2.5,0))+IF((C56=3),3,0))+IF((C56="3+"),3.5,0)</f>
        <v>0</v>
      </c>
      <c r="H56" s="235"/>
      <c r="I56" s="237" t="str">
        <f aca="false">A60</f>
        <v>Implementation</v>
      </c>
      <c r="J56" s="233" t="n">
        <f aca="false">AVERAGE(C60:C62)</f>
        <v>0</v>
      </c>
      <c r="K56" s="216"/>
      <c r="L56" s="216"/>
      <c r="M56" s="216"/>
      <c r="N56" s="216"/>
      <c r="T56" s="231" t="str">
        <f aca="false">Interview!$B$16</f>
        <v>Governance</v>
      </c>
      <c r="U56" s="232" t="str">
        <f aca="false">Interview!$B$45</f>
        <v>Education &amp; Guidance</v>
      </c>
      <c r="V56" s="233" t="n">
        <f aca="false">C56</f>
        <v>0</v>
      </c>
      <c r="W56" s="233" t="n">
        <v>0</v>
      </c>
      <c r="X56" s="233" t="n">
        <v>0</v>
      </c>
      <c r="Y56" s="233" t="n">
        <v>0</v>
      </c>
      <c r="Z56" s="233" t="n">
        <v>0</v>
      </c>
    </row>
    <row r="57" customFormat="false" ht="24.75" hidden="false" customHeight="true" outlineLevel="0" collapsed="false">
      <c r="A57" s="236" t="str">
        <f aca="false">Interview!$B$59</f>
        <v>Design</v>
      </c>
      <c r="B57" s="238" t="str">
        <f aca="false">Interview!$B$60</f>
        <v>Threat Assessment</v>
      </c>
      <c r="C57" s="233" t="n">
        <f aca="false">Roadmap!Q46</f>
        <v>0</v>
      </c>
      <c r="D57" s="233" t="n">
        <f aca="false">Roadmap!P46</f>
        <v>0</v>
      </c>
      <c r="E57" s="233" t="n">
        <f aca="false">Roadmap!P47</f>
        <v>0</v>
      </c>
      <c r="F57" s="233" t="n">
        <f aca="false">Roadmap!P48</f>
        <v>0</v>
      </c>
      <c r="G57" s="234" t="n">
        <f aca="false">(((((IF((C57="0+"),0.5,0)+IF((C57=1),1,0))+IF((C57="1+"),1.5,0))+IF((C57=2),2,0))+IF((C57="2+"),2.5,0))+IF((C57=3),3,0))+IF((C57="3+"),3.5,0)</f>
        <v>0</v>
      </c>
      <c r="H57" s="235"/>
      <c r="I57" s="239" t="str">
        <f aca="false">A63</f>
        <v>Verification</v>
      </c>
      <c r="J57" s="233" t="n">
        <f aca="false">AVERAGE(C63:C65)</f>
        <v>0</v>
      </c>
      <c r="K57" s="216"/>
      <c r="L57" s="216"/>
      <c r="M57" s="216"/>
      <c r="N57" s="216"/>
      <c r="T57" s="236" t="str">
        <f aca="false">Interview!$B$59</f>
        <v>Design</v>
      </c>
      <c r="U57" s="238" t="str">
        <f aca="false">Interview!$B$60</f>
        <v>Threat Assessment</v>
      </c>
      <c r="V57" s="233" t="n">
        <v>0</v>
      </c>
      <c r="W57" s="233" t="n">
        <f aca="false">C57</f>
        <v>0</v>
      </c>
      <c r="X57" s="233" t="n">
        <v>0</v>
      </c>
      <c r="Y57" s="233" t="n">
        <v>0</v>
      </c>
      <c r="Z57" s="233" t="n">
        <v>0</v>
      </c>
    </row>
    <row r="58" customFormat="false" ht="24.75" hidden="false" customHeight="true" outlineLevel="0" collapsed="false">
      <c r="A58" s="236" t="str">
        <f aca="false">Interview!$B$59</f>
        <v>Design</v>
      </c>
      <c r="B58" s="238" t="str">
        <f aca="false">Interview!$B$74</f>
        <v>Security Requirements</v>
      </c>
      <c r="C58" s="233" t="n">
        <f aca="false">Roadmap!Q55</f>
        <v>0</v>
      </c>
      <c r="D58" s="233" t="n">
        <f aca="false">Roadmap!P55</f>
        <v>0</v>
      </c>
      <c r="E58" s="233" t="n">
        <f aca="false">Roadmap!P56</f>
        <v>0</v>
      </c>
      <c r="F58" s="233" t="n">
        <f aca="false">Roadmap!P57</f>
        <v>0</v>
      </c>
      <c r="G58" s="234" t="n">
        <f aca="false">(((((IF((C58="0+"),0.5,0)+IF((C58=1),1,0))+IF((C58="1+"),1.5,0))+IF((C58=2),2,0))+IF((C58="2+"),2.5,0))+IF((C58=3),3,0))+IF((C58="3+"),3.5,0)</f>
        <v>0</v>
      </c>
      <c r="H58" s="235"/>
      <c r="I58" s="240" t="str">
        <f aca="false">A66</f>
        <v>Operations</v>
      </c>
      <c r="J58" s="233" t="n">
        <f aca="false">AVERAGE(C66:C68)</f>
        <v>0</v>
      </c>
      <c r="K58" s="216"/>
      <c r="L58" s="216"/>
      <c r="M58" s="216"/>
      <c r="N58" s="216"/>
      <c r="T58" s="236" t="str">
        <f aca="false">Interview!$B$59</f>
        <v>Design</v>
      </c>
      <c r="U58" s="238" t="str">
        <f aca="false">Interview!$B$74</f>
        <v>Security Requirements</v>
      </c>
      <c r="V58" s="233" t="n">
        <v>0</v>
      </c>
      <c r="W58" s="233" t="n">
        <f aca="false">C58</f>
        <v>0</v>
      </c>
      <c r="X58" s="233" t="n">
        <v>0</v>
      </c>
      <c r="Y58" s="233" t="n">
        <v>0</v>
      </c>
      <c r="Z58" s="233" t="n">
        <v>0</v>
      </c>
    </row>
    <row r="59" customFormat="false" ht="24.75" hidden="false" customHeight="true" outlineLevel="0" collapsed="false">
      <c r="A59" s="236" t="str">
        <f aca="false">Interview!$B$59</f>
        <v>Design</v>
      </c>
      <c r="B59" s="238" t="str">
        <f aca="false">Interview!$B$88</f>
        <v>Secure Architecture</v>
      </c>
      <c r="C59" s="233" t="n">
        <f aca="false">Roadmap!Q64</f>
        <v>0</v>
      </c>
      <c r="D59" s="233" t="n">
        <f aca="false">Roadmap!P64</f>
        <v>0</v>
      </c>
      <c r="E59" s="233" t="n">
        <f aca="false">Roadmap!P65</f>
        <v>0</v>
      </c>
      <c r="F59" s="233" t="n">
        <f aca="false">Roadmap!P66</f>
        <v>0</v>
      </c>
      <c r="G59" s="234" t="n">
        <f aca="false">(((((IF((C59="0+"),0.5,0)+IF((C59=1),1,0))+IF((C59="1+"),1.5,0))+IF((C59=2),2,0))+IF((C59="2+"),2.5,0))+IF((C59=3),3,0))+IF((C59="3+"),3.5,0)</f>
        <v>0</v>
      </c>
      <c r="H59" s="235"/>
      <c r="I59" s="241" t="s">
        <v>244</v>
      </c>
      <c r="J59" s="233" t="n">
        <f aca="false">AVERAGE(J54:J58)</f>
        <v>0</v>
      </c>
      <c r="K59" s="216"/>
      <c r="L59" s="216"/>
      <c r="M59" s="216"/>
      <c r="N59" s="216"/>
      <c r="T59" s="236" t="str">
        <f aca="false">Interview!$B$59</f>
        <v>Design</v>
      </c>
      <c r="U59" s="238" t="str">
        <f aca="false">Interview!$B$88</f>
        <v>Secure Architecture</v>
      </c>
      <c r="V59" s="233" t="n">
        <v>0</v>
      </c>
      <c r="W59" s="233" t="n">
        <f aca="false">C59</f>
        <v>0</v>
      </c>
      <c r="X59" s="233" t="n">
        <v>0</v>
      </c>
      <c r="Y59" s="233" t="n">
        <v>0</v>
      </c>
      <c r="Z59" s="233" t="n">
        <v>0</v>
      </c>
    </row>
    <row r="60" customFormat="false" ht="24.75" hidden="false" customHeight="true" outlineLevel="0" collapsed="false">
      <c r="A60" s="237" t="str">
        <f aca="false">Interview!$B$102</f>
        <v>Implementation</v>
      </c>
      <c r="B60" s="242" t="str">
        <f aca="false">Interview!$B$103</f>
        <v>Secure Build</v>
      </c>
      <c r="C60" s="233" t="n">
        <f aca="false">Roadmap!Q74</f>
        <v>0</v>
      </c>
      <c r="D60" s="233" t="n">
        <f aca="false">Roadmap!P74</f>
        <v>0</v>
      </c>
      <c r="E60" s="233" t="n">
        <f aca="false">Roadmap!P75</f>
        <v>0</v>
      </c>
      <c r="F60" s="233" t="n">
        <f aca="false">Roadmap!P76</f>
        <v>0</v>
      </c>
      <c r="G60" s="234"/>
      <c r="H60" s="235"/>
      <c r="I60" s="216"/>
      <c r="J60" s="216"/>
      <c r="K60" s="216"/>
      <c r="L60" s="216"/>
      <c r="M60" s="216"/>
      <c r="N60" s="216"/>
      <c r="T60" s="237" t="str">
        <f aca="false">Interview!$B$102</f>
        <v>Implementation</v>
      </c>
      <c r="U60" s="242" t="str">
        <f aca="false">Interview!$B$103</f>
        <v>Secure Build</v>
      </c>
      <c r="V60" s="233" t="n">
        <v>0</v>
      </c>
      <c r="W60" s="233" t="n">
        <v>0</v>
      </c>
      <c r="X60" s="233" t="n">
        <f aca="false">C60</f>
        <v>0</v>
      </c>
      <c r="Y60" s="233" t="n">
        <v>0</v>
      </c>
      <c r="Z60" s="233" t="n">
        <v>0</v>
      </c>
    </row>
    <row r="61" customFormat="false" ht="24.75" hidden="false" customHeight="true" outlineLevel="0" collapsed="false">
      <c r="A61" s="237" t="str">
        <f aca="false">Interview!$B$102</f>
        <v>Implementation</v>
      </c>
      <c r="B61" s="242" t="str">
        <f aca="false">Interview!$B$117</f>
        <v>Secure Deployment</v>
      </c>
      <c r="C61" s="233" t="n">
        <f aca="false">Roadmap!Q83</f>
        <v>0</v>
      </c>
      <c r="D61" s="233" t="n">
        <f aca="false">Roadmap!P83</f>
        <v>0</v>
      </c>
      <c r="E61" s="233" t="n">
        <f aca="false">Roadmap!P84</f>
        <v>0</v>
      </c>
      <c r="F61" s="233" t="n">
        <f aca="false">Roadmap!P85</f>
        <v>0</v>
      </c>
      <c r="G61" s="234"/>
      <c r="H61" s="235"/>
      <c r="I61" s="216"/>
      <c r="J61" s="216"/>
      <c r="K61" s="216"/>
      <c r="L61" s="216"/>
      <c r="M61" s="216"/>
      <c r="N61" s="216"/>
      <c r="T61" s="237" t="str">
        <f aca="false">Interview!$B$102</f>
        <v>Implementation</v>
      </c>
      <c r="U61" s="242" t="str">
        <f aca="false">Interview!$B$117</f>
        <v>Secure Deployment</v>
      </c>
      <c r="V61" s="233" t="n">
        <v>0</v>
      </c>
      <c r="W61" s="233" t="n">
        <v>0</v>
      </c>
      <c r="X61" s="233" t="n">
        <f aca="false">C61</f>
        <v>0</v>
      </c>
      <c r="Y61" s="233" t="n">
        <v>0</v>
      </c>
      <c r="Z61" s="233" t="n">
        <v>0</v>
      </c>
    </row>
    <row r="62" customFormat="false" ht="24.75" hidden="false" customHeight="true" outlineLevel="0" collapsed="false">
      <c r="A62" s="237" t="str">
        <f aca="false">Interview!$B$102</f>
        <v>Implementation</v>
      </c>
      <c r="B62" s="242" t="str">
        <f aca="false">Interview!$B$131</f>
        <v>Defect Management</v>
      </c>
      <c r="C62" s="233" t="n">
        <f aca="false">Roadmap!Q92</f>
        <v>0</v>
      </c>
      <c r="D62" s="233" t="n">
        <f aca="false">Roadmap!P92</f>
        <v>0</v>
      </c>
      <c r="E62" s="233" t="n">
        <f aca="false">Roadmap!P93</f>
        <v>0</v>
      </c>
      <c r="F62" s="233" t="n">
        <f aca="false">Roadmap!P94</f>
        <v>0</v>
      </c>
      <c r="G62" s="234"/>
      <c r="H62" s="235"/>
      <c r="I62" s="216"/>
      <c r="J62" s="216"/>
      <c r="K62" s="216"/>
      <c r="L62" s="216"/>
      <c r="M62" s="216"/>
      <c r="N62" s="216"/>
      <c r="T62" s="237" t="str">
        <f aca="false">Interview!$B$102</f>
        <v>Implementation</v>
      </c>
      <c r="U62" s="242" t="str">
        <f aca="false">Interview!$B$131</f>
        <v>Defect Management</v>
      </c>
      <c r="V62" s="233" t="n">
        <v>0</v>
      </c>
      <c r="W62" s="233" t="n">
        <v>0</v>
      </c>
      <c r="X62" s="233" t="n">
        <f aca="false">C62</f>
        <v>0</v>
      </c>
      <c r="Y62" s="233" t="n">
        <v>0</v>
      </c>
      <c r="Z62" s="233" t="n">
        <v>0</v>
      </c>
    </row>
    <row r="63" customFormat="false" ht="24.75" hidden="false" customHeight="true" outlineLevel="0" collapsed="false">
      <c r="A63" s="239" t="str">
        <f aca="false">Interview!$B$145</f>
        <v>Verification</v>
      </c>
      <c r="B63" s="243" t="str">
        <f aca="false">Interview!$B$146</f>
        <v>Architecture Assessment</v>
      </c>
      <c r="C63" s="233" t="n">
        <f aca="false">Roadmap!Q102</f>
        <v>0</v>
      </c>
      <c r="D63" s="233" t="n">
        <f aca="false">Roadmap!P102</f>
        <v>0</v>
      </c>
      <c r="E63" s="233" t="n">
        <f aca="false">Roadmap!P103</f>
        <v>0</v>
      </c>
      <c r="F63" s="233" t="n">
        <f aca="false">Roadmap!P104</f>
        <v>0</v>
      </c>
      <c r="G63" s="234" t="n">
        <f aca="false">(((((IF((C63="0+"),0.5,0)+IF((C63=1),1,0))+IF((C63="1+"),1.5,0))+IF((C63=2),2,0))+IF((C63="2+"),2.5,0))+IF((C63=3),3,0))+IF((C63="3+"),3.5,0)</f>
        <v>0</v>
      </c>
      <c r="H63" s="235"/>
      <c r="I63" s="216"/>
      <c r="J63" s="216"/>
      <c r="K63" s="216"/>
      <c r="L63" s="216"/>
      <c r="M63" s="216"/>
      <c r="N63" s="216"/>
      <c r="T63" s="239" t="str">
        <f aca="false">Interview!$B$145</f>
        <v>Verification</v>
      </c>
      <c r="U63" s="243" t="str">
        <f aca="false">Interview!$B$146</f>
        <v>Architecture Assessment</v>
      </c>
      <c r="V63" s="233" t="n">
        <v>0</v>
      </c>
      <c r="W63" s="233" t="n">
        <v>0</v>
      </c>
      <c r="X63" s="233" t="n">
        <v>0</v>
      </c>
      <c r="Y63" s="233" t="n">
        <f aca="false">C63</f>
        <v>0</v>
      </c>
      <c r="Z63" s="233" t="n">
        <v>0</v>
      </c>
    </row>
    <row r="64" customFormat="false" ht="24.75" hidden="false" customHeight="true" outlineLevel="0" collapsed="false">
      <c r="A64" s="239" t="str">
        <f aca="false">Interview!$B$145</f>
        <v>Verification</v>
      </c>
      <c r="B64" s="243" t="str">
        <f aca="false">Interview!$B$160</f>
        <v>Requirements Testing</v>
      </c>
      <c r="C64" s="233" t="n">
        <f aca="false">Roadmap!Q111</f>
        <v>0</v>
      </c>
      <c r="D64" s="233" t="n">
        <f aca="false">Roadmap!P111</f>
        <v>0</v>
      </c>
      <c r="E64" s="233" t="n">
        <f aca="false">Roadmap!P112</f>
        <v>0</v>
      </c>
      <c r="F64" s="233" t="n">
        <f aca="false">Roadmap!P113</f>
        <v>0</v>
      </c>
      <c r="G64" s="234" t="n">
        <f aca="false">(((((IF((C64="0+"),0.5,0)+IF((C64=1),1,0))+IF((C64="1+"),1.5,0))+IF((C64=2),2,0))+IF((C64="2+"),2.5,0))+IF((C64=3),3,0))+IF((C64="3+"),3.5,0)</f>
        <v>0</v>
      </c>
      <c r="H64" s="235"/>
      <c r="I64" s="216"/>
      <c r="J64" s="216"/>
      <c r="K64" s="216"/>
      <c r="L64" s="216"/>
      <c r="M64" s="216"/>
      <c r="N64" s="216"/>
      <c r="T64" s="239" t="str">
        <f aca="false">Interview!$B$145</f>
        <v>Verification</v>
      </c>
      <c r="U64" s="243" t="str">
        <f aca="false">Interview!$B$160</f>
        <v>Requirements Testing</v>
      </c>
      <c r="V64" s="233" t="n">
        <v>0</v>
      </c>
      <c r="W64" s="233" t="n">
        <v>0</v>
      </c>
      <c r="X64" s="233" t="n">
        <v>0</v>
      </c>
      <c r="Y64" s="233" t="n">
        <f aca="false">C64</f>
        <v>0</v>
      </c>
      <c r="Z64" s="233" t="n">
        <v>0</v>
      </c>
    </row>
    <row r="65" customFormat="false" ht="24.75" hidden="false" customHeight="true" outlineLevel="0" collapsed="false">
      <c r="A65" s="239" t="str">
        <f aca="false">Interview!$B$145</f>
        <v>Verification</v>
      </c>
      <c r="B65" s="243" t="str">
        <f aca="false">Interview!$B$174</f>
        <v>Security Testing</v>
      </c>
      <c r="C65" s="233" t="n">
        <f aca="false">Roadmap!Q120</f>
        <v>0</v>
      </c>
      <c r="D65" s="233" t="n">
        <f aca="false">Roadmap!P120</f>
        <v>0</v>
      </c>
      <c r="E65" s="233" t="n">
        <f aca="false">Roadmap!P121</f>
        <v>0</v>
      </c>
      <c r="F65" s="233" t="n">
        <f aca="false">Roadmap!P122</f>
        <v>0</v>
      </c>
      <c r="G65" s="234" t="n">
        <f aca="false">(((((IF((C65="0+"),0.5,0)+IF((C65=1),1,0))+IF((C65="1+"),1.5,0))+IF((C65=2),2,0))+IF((C65="2+"),2.5,0))+IF((C65=3),3,0))+IF((C65="3+"),3.5,0)</f>
        <v>0</v>
      </c>
      <c r="H65" s="235"/>
      <c r="I65" s="216"/>
      <c r="J65" s="216"/>
      <c r="K65" s="216"/>
      <c r="L65" s="216"/>
      <c r="M65" s="216"/>
      <c r="N65" s="216"/>
      <c r="T65" s="239" t="str">
        <f aca="false">Interview!$B$145</f>
        <v>Verification</v>
      </c>
      <c r="U65" s="243" t="str">
        <f aca="false">Interview!$B$174</f>
        <v>Security Testing</v>
      </c>
      <c r="V65" s="233" t="n">
        <v>0</v>
      </c>
      <c r="W65" s="233" t="n">
        <v>0</v>
      </c>
      <c r="X65" s="233" t="n">
        <v>0</v>
      </c>
      <c r="Y65" s="233" t="n">
        <f aca="false">C65</f>
        <v>0</v>
      </c>
      <c r="Z65" s="233" t="n">
        <v>0</v>
      </c>
    </row>
    <row r="66" customFormat="false" ht="24.75" hidden="false" customHeight="true" outlineLevel="0" collapsed="false">
      <c r="A66" s="240" t="str">
        <f aca="false">Interview!$B$188</f>
        <v>Operations</v>
      </c>
      <c r="B66" s="244" t="str">
        <f aca="false">Interview!$B$189</f>
        <v>Incident Management</v>
      </c>
      <c r="C66" s="233" t="n">
        <f aca="false">Roadmap!Q130</f>
        <v>0</v>
      </c>
      <c r="D66" s="233" t="n">
        <f aca="false">Roadmap!P130</f>
        <v>0</v>
      </c>
      <c r="E66" s="233" t="n">
        <f aca="false">Roadmap!P131</f>
        <v>0</v>
      </c>
      <c r="F66" s="233" t="n">
        <f aca="false">Roadmap!P132</f>
        <v>0</v>
      </c>
      <c r="G66" s="234" t="n">
        <f aca="false">(((((IF((C66="0+"),0.5,0)+IF((C66=1),1,0))+IF((C66="1+"),1.5,0))+IF((C66=2),2,0))+IF((C66="2+"),2.5,0))+IF((C66=3),3,0))+IF((C66="3+"),3.5,0)</f>
        <v>0</v>
      </c>
      <c r="H66" s="235"/>
      <c r="I66" s="216"/>
      <c r="J66" s="216"/>
      <c r="K66" s="216"/>
      <c r="L66" s="216"/>
      <c r="M66" s="216"/>
      <c r="N66" s="216"/>
      <c r="T66" s="240" t="str">
        <f aca="false">Interview!$B$188</f>
        <v>Operations</v>
      </c>
      <c r="U66" s="244" t="str">
        <f aca="false">Interview!$B$189</f>
        <v>Incident Management</v>
      </c>
      <c r="V66" s="233" t="n">
        <v>0</v>
      </c>
      <c r="W66" s="233" t="n">
        <v>0</v>
      </c>
      <c r="X66" s="233" t="n">
        <v>0</v>
      </c>
      <c r="Y66" s="233" t="n">
        <v>0</v>
      </c>
      <c r="Z66" s="233" t="n">
        <f aca="false">C66</f>
        <v>0</v>
      </c>
    </row>
    <row r="67" customFormat="false" ht="24.75" hidden="false" customHeight="true" outlineLevel="0" collapsed="false">
      <c r="A67" s="240" t="str">
        <f aca="false">Interview!$B$188</f>
        <v>Operations</v>
      </c>
      <c r="B67" s="244" t="str">
        <f aca="false">Interview!$B$203</f>
        <v>Environment Management</v>
      </c>
      <c r="C67" s="233" t="n">
        <f aca="false">Roadmap!Q139</f>
        <v>0</v>
      </c>
      <c r="D67" s="233" t="n">
        <f aca="false">Roadmap!P139</f>
        <v>0</v>
      </c>
      <c r="E67" s="233" t="n">
        <f aca="false">Roadmap!P140</f>
        <v>0</v>
      </c>
      <c r="F67" s="233" t="n">
        <f aca="false">Roadmap!P141</f>
        <v>0</v>
      </c>
      <c r="G67" s="234" t="n">
        <f aca="false">(((((IF((C67="0+"),0.5,0)+IF((C67=1),1,0))+IF((C67="1+"),1.5,0))+IF((C67=2),2,0))+IF((C67="2+"),2.5,0))+IF((C67=3),3,0))+IF((C67="3+"),3.5,0)</f>
        <v>0</v>
      </c>
      <c r="H67" s="235"/>
      <c r="I67" s="216"/>
      <c r="J67" s="216"/>
      <c r="K67" s="216"/>
      <c r="L67" s="216"/>
      <c r="M67" s="216"/>
      <c r="N67" s="216"/>
      <c r="T67" s="240" t="str">
        <f aca="false">Interview!$B$188</f>
        <v>Operations</v>
      </c>
      <c r="U67" s="244" t="str">
        <f aca="false">Interview!$B$203</f>
        <v>Environment Management</v>
      </c>
      <c r="V67" s="233" t="n">
        <v>0</v>
      </c>
      <c r="W67" s="233" t="n">
        <v>0</v>
      </c>
      <c r="X67" s="233" t="n">
        <v>0</v>
      </c>
      <c r="Y67" s="233" t="n">
        <v>0</v>
      </c>
      <c r="Z67" s="233" t="n">
        <f aca="false">C67</f>
        <v>0</v>
      </c>
    </row>
    <row r="68" customFormat="false" ht="24.75" hidden="false" customHeight="true" outlineLevel="0" collapsed="false">
      <c r="A68" s="240" t="str">
        <f aca="false">Interview!$B$188</f>
        <v>Operations</v>
      </c>
      <c r="B68" s="244" t="str">
        <f aca="false">Interview!$B$217</f>
        <v>Operational Management</v>
      </c>
      <c r="C68" s="233" t="n">
        <f aca="false">Roadmap!Q148</f>
        <v>0</v>
      </c>
      <c r="D68" s="233" t="n">
        <f aca="false">Roadmap!P148</f>
        <v>0</v>
      </c>
      <c r="E68" s="233" t="n">
        <f aca="false">Roadmap!P149</f>
        <v>0</v>
      </c>
      <c r="F68" s="233" t="n">
        <f aca="false">Roadmap!P150</f>
        <v>0</v>
      </c>
      <c r="G68" s="234" t="n">
        <f aca="false">(((((IF((C68="0+"),0.5,0)+IF((C68=1),1,0))+IF((C68="1+"),1.5,0))+IF((C68=2),2,0))+IF((C68="2+"),2.5,0))+IF((C68=3),3,0))+IF((C68="3+"),3.5,0)</f>
        <v>0</v>
      </c>
      <c r="H68" s="235"/>
      <c r="I68" s="216"/>
      <c r="J68" s="216"/>
      <c r="K68" s="216"/>
      <c r="L68" s="216"/>
      <c r="M68" s="216"/>
      <c r="N68" s="216"/>
      <c r="T68" s="240" t="str">
        <f aca="false">Interview!$B$188</f>
        <v>Operations</v>
      </c>
      <c r="U68" s="244" t="str">
        <f aca="false">Interview!$B$217</f>
        <v>Operational Management</v>
      </c>
      <c r="V68" s="233" t="n">
        <v>0</v>
      </c>
      <c r="W68" s="233" t="n">
        <v>0</v>
      </c>
      <c r="X68" s="233" t="n">
        <v>0</v>
      </c>
      <c r="Y68" s="233" t="n">
        <v>0</v>
      </c>
      <c r="Z68" s="233" t="n">
        <f aca="false">C68</f>
        <v>0</v>
      </c>
    </row>
    <row r="69" customFormat="false" ht="12.75" hidden="false" customHeight="true" outlineLevel="0" collapsed="false">
      <c r="K69" s="216"/>
    </row>
    <row r="70" customFormat="false" ht="24.75" hidden="false" customHeight="true" outlineLevel="0" collapsed="false">
      <c r="A70" s="225" t="s">
        <v>247</v>
      </c>
      <c r="B70" s="225"/>
      <c r="C70" s="225"/>
      <c r="D70" s="225"/>
      <c r="E70" s="225"/>
      <c r="F70" s="225"/>
      <c r="G70" s="225"/>
      <c r="H70" s="225"/>
      <c r="I70" s="225"/>
      <c r="J70" s="225"/>
      <c r="K70" s="216"/>
      <c r="L70" s="225" t="s">
        <v>247</v>
      </c>
      <c r="M70" s="225"/>
      <c r="N70" s="225"/>
      <c r="O70" s="225"/>
      <c r="P70" s="225"/>
      <c r="Q70" s="225"/>
      <c r="R70" s="225"/>
      <c r="T70" s="226" t="s">
        <v>247</v>
      </c>
      <c r="U70" s="226"/>
      <c r="V70" s="226"/>
      <c r="W70" s="226"/>
      <c r="X70" s="226"/>
      <c r="Y70" s="226"/>
      <c r="Z70" s="226"/>
    </row>
    <row r="71" customFormat="false" ht="12" hidden="false" customHeight="true" outlineLevel="0" collapsed="false">
      <c r="A71" s="217"/>
      <c r="B71" s="217"/>
      <c r="C71" s="217"/>
      <c r="D71" s="227" t="s">
        <v>239</v>
      </c>
      <c r="E71" s="227"/>
      <c r="F71" s="227"/>
      <c r="G71" s="216"/>
      <c r="H71" s="216"/>
      <c r="I71" s="216"/>
      <c r="J71" s="216"/>
      <c r="K71" s="216"/>
      <c r="L71" s="216"/>
      <c r="M71" s="216"/>
      <c r="N71" s="216"/>
    </row>
    <row r="72" customFormat="false" ht="24.75" hidden="false" customHeight="true" outlineLevel="0" collapsed="false">
      <c r="A72" s="228" t="s">
        <v>240</v>
      </c>
      <c r="B72" s="228" t="s">
        <v>241</v>
      </c>
      <c r="C72" s="228" t="s">
        <v>242</v>
      </c>
      <c r="D72" s="229" t="n">
        <v>1</v>
      </c>
      <c r="E72" s="229" t="n">
        <v>2</v>
      </c>
      <c r="F72" s="229" t="n">
        <v>3</v>
      </c>
      <c r="G72" s="230" t="s">
        <v>243</v>
      </c>
      <c r="H72" s="28"/>
      <c r="I72" s="228" t="s">
        <v>240</v>
      </c>
      <c r="J72" s="228" t="s">
        <v>242</v>
      </c>
      <c r="K72" s="216"/>
      <c r="L72" s="216"/>
      <c r="M72" s="216"/>
      <c r="N72" s="216"/>
      <c r="V72" s="215" t="str">
        <f aca="false">T73</f>
        <v>Governance</v>
      </c>
      <c r="W72" s="215" t="str">
        <f aca="false">T76</f>
        <v>Design</v>
      </c>
      <c r="X72" s="215" t="str">
        <f aca="false">T79</f>
        <v>Implementation</v>
      </c>
      <c r="Y72" s="215" t="str">
        <f aca="false">T82</f>
        <v>Verification</v>
      </c>
      <c r="Z72" s="215" t="str">
        <f aca="false">T85</f>
        <v>Operations</v>
      </c>
    </row>
    <row r="73" customFormat="false" ht="24.75" hidden="false" customHeight="true" outlineLevel="0" collapsed="false">
      <c r="A73" s="231" t="str">
        <f aca="false">Interview!$B$16</f>
        <v>Governance</v>
      </c>
      <c r="B73" s="232" t="str">
        <f aca="false">Interview!$D$17</f>
        <v>Strategy &amp; Metrics</v>
      </c>
      <c r="C73" s="233" t="n">
        <f aca="false">Roadmap!U18</f>
        <v>0</v>
      </c>
      <c r="D73" s="233" t="n">
        <f aca="false">Roadmap!T18</f>
        <v>0</v>
      </c>
      <c r="E73" s="233" t="n">
        <f aca="false">Roadmap!T19</f>
        <v>0</v>
      </c>
      <c r="F73" s="233" t="n">
        <f aca="false">Roadmap!T20</f>
        <v>0</v>
      </c>
      <c r="G73" s="234" t="n">
        <f aca="false">(((((IF((C73="0+"),0.5,0)+IF((C73=1),1,0))+IF((C73="1+"),1.5,0))+IF((C73=2),2,0))+IF((C73="2+"),2.5,0))+IF((C73=3),3,0))+IF((C73="3+"),3.5,0)</f>
        <v>0</v>
      </c>
      <c r="H73" s="235"/>
      <c r="I73" s="231" t="str">
        <f aca="false">A73</f>
        <v>Governance</v>
      </c>
      <c r="J73" s="233" t="n">
        <f aca="false">AVERAGE(C73:C75)</f>
        <v>0</v>
      </c>
      <c r="K73" s="216"/>
      <c r="L73" s="216"/>
      <c r="M73" s="216"/>
      <c r="N73" s="216"/>
      <c r="T73" s="231" t="str">
        <f aca="false">Interview!$B$16</f>
        <v>Governance</v>
      </c>
      <c r="U73" s="232" t="str">
        <f aca="false">Interview!$D$17</f>
        <v>Strategy &amp; Metrics</v>
      </c>
      <c r="V73" s="233" t="n">
        <f aca="false">C73</f>
        <v>0</v>
      </c>
      <c r="W73" s="233" t="n">
        <v>0</v>
      </c>
      <c r="X73" s="233" t="n">
        <v>0</v>
      </c>
      <c r="Y73" s="233" t="n">
        <v>0</v>
      </c>
      <c r="Z73" s="233" t="n">
        <v>0</v>
      </c>
    </row>
    <row r="74" customFormat="false" ht="24.75" hidden="false" customHeight="true" outlineLevel="0" collapsed="false">
      <c r="A74" s="231" t="str">
        <f aca="false">Interview!$B$16</f>
        <v>Governance</v>
      </c>
      <c r="B74" s="232" t="str">
        <f aca="false">Interview!$B$31</f>
        <v>Policy &amp; Compliance</v>
      </c>
      <c r="C74" s="233" t="n">
        <f aca="false">Roadmap!U27</f>
        <v>0</v>
      </c>
      <c r="D74" s="233" t="n">
        <f aca="false">Roadmap!T27</f>
        <v>0</v>
      </c>
      <c r="E74" s="233" t="n">
        <f aca="false">Roadmap!T28</f>
        <v>0</v>
      </c>
      <c r="F74" s="233" t="n">
        <f aca="false">Roadmap!T29</f>
        <v>0</v>
      </c>
      <c r="G74" s="234" t="n">
        <f aca="false">(((((IF((C74="0+"),0.5,0)+IF((C74=1),1,0))+IF((C74="1+"),1.5,0))+IF((C74=2),2,0))+IF((C74="2+"),2.5,0))+IF((C74=3),3,0))+IF((C74="3+"),3.5,0)</f>
        <v>0</v>
      </c>
      <c r="H74" s="235"/>
      <c r="I74" s="236" t="str">
        <f aca="false">A76</f>
        <v>Design</v>
      </c>
      <c r="J74" s="233" t="n">
        <f aca="false">AVERAGE(C76:C78)</f>
        <v>0</v>
      </c>
      <c r="K74" s="216"/>
      <c r="L74" s="216"/>
      <c r="M74" s="216"/>
      <c r="N74" s="216"/>
      <c r="T74" s="231" t="str">
        <f aca="false">Interview!$B$16</f>
        <v>Governance</v>
      </c>
      <c r="U74" s="232" t="str">
        <f aca="false">Interview!$B$31</f>
        <v>Policy &amp; Compliance</v>
      </c>
      <c r="V74" s="233" t="n">
        <f aca="false">C74</f>
        <v>0</v>
      </c>
      <c r="W74" s="233" t="n">
        <v>0</v>
      </c>
      <c r="X74" s="233" t="n">
        <v>0</v>
      </c>
      <c r="Y74" s="233" t="n">
        <v>0</v>
      </c>
      <c r="Z74" s="233" t="n">
        <v>0</v>
      </c>
    </row>
    <row r="75" customFormat="false" ht="24.75" hidden="false" customHeight="true" outlineLevel="0" collapsed="false">
      <c r="A75" s="231" t="str">
        <f aca="false">Interview!$B$16</f>
        <v>Governance</v>
      </c>
      <c r="B75" s="232" t="str">
        <f aca="false">Interview!$B$45</f>
        <v>Education &amp; Guidance</v>
      </c>
      <c r="C75" s="233" t="n">
        <f aca="false">Roadmap!U36</f>
        <v>0</v>
      </c>
      <c r="D75" s="233" t="n">
        <f aca="false">Roadmap!T36</f>
        <v>0</v>
      </c>
      <c r="E75" s="233" t="n">
        <f aca="false">Roadmap!T37</f>
        <v>0</v>
      </c>
      <c r="F75" s="233" t="n">
        <f aca="false">Roadmap!T38</f>
        <v>0</v>
      </c>
      <c r="G75" s="234" t="n">
        <f aca="false">(((((IF((C75="0+"),0.5,0)+IF((C75=1),1,0))+IF((C75="1+"),1.5,0))+IF((C75=2),2,0))+IF((C75="2+"),2.5,0))+IF((C75=3),3,0))+IF((C75="3+"),3.5,0)</f>
        <v>0</v>
      </c>
      <c r="H75" s="235"/>
      <c r="I75" s="237" t="str">
        <f aca="false">A79</f>
        <v>Implementation</v>
      </c>
      <c r="J75" s="233" t="n">
        <f aca="false">AVERAGE(C79:C81)</f>
        <v>0</v>
      </c>
      <c r="K75" s="216"/>
      <c r="L75" s="216"/>
      <c r="M75" s="216"/>
      <c r="N75" s="216"/>
      <c r="T75" s="231" t="str">
        <f aca="false">Interview!$B$16</f>
        <v>Governance</v>
      </c>
      <c r="U75" s="232" t="str">
        <f aca="false">Interview!$B$45</f>
        <v>Education &amp; Guidance</v>
      </c>
      <c r="V75" s="233" t="n">
        <f aca="false">C75</f>
        <v>0</v>
      </c>
      <c r="W75" s="233" t="n">
        <v>0</v>
      </c>
      <c r="X75" s="233" t="n">
        <v>0</v>
      </c>
      <c r="Y75" s="233" t="n">
        <v>0</v>
      </c>
      <c r="Z75" s="233" t="n">
        <v>0</v>
      </c>
    </row>
    <row r="76" customFormat="false" ht="24.75" hidden="false" customHeight="true" outlineLevel="0" collapsed="false">
      <c r="A76" s="236" t="str">
        <f aca="false">Interview!$B$59</f>
        <v>Design</v>
      </c>
      <c r="B76" s="238" t="str">
        <f aca="false">Interview!$B$60</f>
        <v>Threat Assessment</v>
      </c>
      <c r="C76" s="233" t="n">
        <f aca="false">Roadmap!U46</f>
        <v>0</v>
      </c>
      <c r="D76" s="233" t="n">
        <f aca="false">Roadmap!T46</f>
        <v>0</v>
      </c>
      <c r="E76" s="233" t="n">
        <f aca="false">Roadmap!T47</f>
        <v>0</v>
      </c>
      <c r="F76" s="233" t="n">
        <f aca="false">Roadmap!T48</f>
        <v>0</v>
      </c>
      <c r="G76" s="234" t="n">
        <f aca="false">(((((IF((C76="0+"),0.5,0)+IF((C76=1),1,0))+IF((C76="1+"),1.5,0))+IF((C76=2),2,0))+IF((C76="2+"),2.5,0))+IF((C76=3),3,0))+IF((C76="3+"),3.5,0)</f>
        <v>0</v>
      </c>
      <c r="H76" s="235"/>
      <c r="I76" s="239" t="str">
        <f aca="false">A82</f>
        <v>Verification</v>
      </c>
      <c r="J76" s="233" t="n">
        <f aca="false">AVERAGE(C82:C84)</f>
        <v>0</v>
      </c>
      <c r="K76" s="216"/>
      <c r="L76" s="216"/>
      <c r="M76" s="216"/>
      <c r="N76" s="216"/>
      <c r="T76" s="236" t="str">
        <f aca="false">Interview!$B$59</f>
        <v>Design</v>
      </c>
      <c r="U76" s="238" t="str">
        <f aca="false">Interview!$B$60</f>
        <v>Threat Assessment</v>
      </c>
      <c r="V76" s="233" t="n">
        <v>0</v>
      </c>
      <c r="W76" s="233" t="n">
        <f aca="false">C76</f>
        <v>0</v>
      </c>
      <c r="X76" s="233" t="n">
        <v>0</v>
      </c>
      <c r="Y76" s="233" t="n">
        <v>0</v>
      </c>
      <c r="Z76" s="233" t="n">
        <v>0</v>
      </c>
    </row>
    <row r="77" customFormat="false" ht="24.75" hidden="false" customHeight="true" outlineLevel="0" collapsed="false">
      <c r="A77" s="236" t="str">
        <f aca="false">Interview!$B$59</f>
        <v>Design</v>
      </c>
      <c r="B77" s="238" t="str">
        <f aca="false">Interview!$B$74</f>
        <v>Security Requirements</v>
      </c>
      <c r="C77" s="233" t="n">
        <f aca="false">Roadmap!U55</f>
        <v>0</v>
      </c>
      <c r="D77" s="233" t="n">
        <f aca="false">Roadmap!T55</f>
        <v>0</v>
      </c>
      <c r="E77" s="233" t="n">
        <f aca="false">Roadmap!T56</f>
        <v>0</v>
      </c>
      <c r="F77" s="233" t="n">
        <f aca="false">Roadmap!T57</f>
        <v>0</v>
      </c>
      <c r="G77" s="234" t="n">
        <f aca="false">(((((IF((C77="0+"),0.5,0)+IF((C77=1),1,0))+IF((C77="1+"),1.5,0))+IF((C77=2),2,0))+IF((C77="2+"),2.5,0))+IF((C77=3),3,0))+IF((C77="3+"),3.5,0)</f>
        <v>0</v>
      </c>
      <c r="H77" s="235"/>
      <c r="I77" s="240" t="str">
        <f aca="false">A85</f>
        <v>Operations</v>
      </c>
      <c r="J77" s="233" t="n">
        <f aca="false">AVERAGE(C85:C87)</f>
        <v>0</v>
      </c>
      <c r="K77" s="216"/>
      <c r="L77" s="245"/>
      <c r="M77" s="216"/>
      <c r="N77" s="216"/>
      <c r="T77" s="236" t="str">
        <f aca="false">Interview!$B$59</f>
        <v>Design</v>
      </c>
      <c r="U77" s="238" t="str">
        <f aca="false">Interview!$B$74</f>
        <v>Security Requirements</v>
      </c>
      <c r="V77" s="233" t="n">
        <v>0</v>
      </c>
      <c r="W77" s="233" t="n">
        <f aca="false">C77</f>
        <v>0</v>
      </c>
      <c r="X77" s="233" t="n">
        <v>0</v>
      </c>
      <c r="Y77" s="233" t="n">
        <v>0</v>
      </c>
      <c r="Z77" s="233" t="n">
        <v>0</v>
      </c>
    </row>
    <row r="78" customFormat="false" ht="24.75" hidden="false" customHeight="true" outlineLevel="0" collapsed="false">
      <c r="A78" s="236" t="str">
        <f aca="false">Interview!$B$59</f>
        <v>Design</v>
      </c>
      <c r="B78" s="238" t="str">
        <f aca="false">Interview!$B$88</f>
        <v>Secure Architecture</v>
      </c>
      <c r="C78" s="233" t="n">
        <f aca="false">Roadmap!U64</f>
        <v>0</v>
      </c>
      <c r="D78" s="233" t="n">
        <f aca="false">Roadmap!T64</f>
        <v>0</v>
      </c>
      <c r="E78" s="233" t="n">
        <f aca="false">Roadmap!T65</f>
        <v>0</v>
      </c>
      <c r="F78" s="233" t="n">
        <f aca="false">Roadmap!T66</f>
        <v>0</v>
      </c>
      <c r="G78" s="234" t="n">
        <f aca="false">(((((IF((C78="0+"),0.5,0)+IF((C78=1),1,0))+IF((C78="1+"),1.5,0))+IF((C78=2),2,0))+IF((C78="2+"),2.5,0))+IF((C78=3),3,0))+IF((C78="3+"),3.5,0)</f>
        <v>0</v>
      </c>
      <c r="H78" s="235"/>
      <c r="I78" s="241" t="s">
        <v>244</v>
      </c>
      <c r="J78" s="233" t="n">
        <f aca="false">AVERAGE(J73:J77)</f>
        <v>0</v>
      </c>
      <c r="K78" s="216"/>
      <c r="L78" s="245"/>
      <c r="M78" s="216"/>
      <c r="N78" s="216"/>
      <c r="T78" s="236" t="str">
        <f aca="false">Interview!$B$59</f>
        <v>Design</v>
      </c>
      <c r="U78" s="238" t="str">
        <f aca="false">Interview!$B$88</f>
        <v>Secure Architecture</v>
      </c>
      <c r="V78" s="233" t="n">
        <v>0</v>
      </c>
      <c r="W78" s="233" t="n">
        <f aca="false">C78</f>
        <v>0</v>
      </c>
      <c r="X78" s="233" t="n">
        <v>0</v>
      </c>
      <c r="Y78" s="233" t="n">
        <v>0</v>
      </c>
      <c r="Z78" s="233" t="n">
        <v>0</v>
      </c>
    </row>
    <row r="79" customFormat="false" ht="24.75" hidden="false" customHeight="true" outlineLevel="0" collapsed="false">
      <c r="A79" s="237" t="str">
        <f aca="false">Interview!$B$102</f>
        <v>Implementation</v>
      </c>
      <c r="B79" s="242" t="str">
        <f aca="false">Interview!$B$103</f>
        <v>Secure Build</v>
      </c>
      <c r="C79" s="233" t="n">
        <f aca="false">Roadmap!U74</f>
        <v>0</v>
      </c>
      <c r="D79" s="233" t="n">
        <f aca="false">Roadmap!T74</f>
        <v>0</v>
      </c>
      <c r="E79" s="233" t="n">
        <f aca="false">Roadmap!T75</f>
        <v>0</v>
      </c>
      <c r="F79" s="233" t="n">
        <f aca="false">Roadmap!T76</f>
        <v>0</v>
      </c>
      <c r="G79" s="234"/>
      <c r="H79" s="235"/>
      <c r="I79" s="216"/>
      <c r="J79" s="216"/>
      <c r="K79" s="216"/>
      <c r="L79" s="245"/>
      <c r="M79" s="216"/>
      <c r="N79" s="216"/>
      <c r="T79" s="237" t="str">
        <f aca="false">Interview!$B$102</f>
        <v>Implementation</v>
      </c>
      <c r="U79" s="242" t="str">
        <f aca="false">Interview!$B$103</f>
        <v>Secure Build</v>
      </c>
      <c r="V79" s="233" t="n">
        <v>0</v>
      </c>
      <c r="W79" s="233" t="n">
        <v>0</v>
      </c>
      <c r="X79" s="233" t="n">
        <f aca="false">C79</f>
        <v>0</v>
      </c>
      <c r="Y79" s="233" t="n">
        <v>0</v>
      </c>
      <c r="Z79" s="233" t="n">
        <v>0</v>
      </c>
    </row>
    <row r="80" customFormat="false" ht="24.75" hidden="false" customHeight="true" outlineLevel="0" collapsed="false">
      <c r="A80" s="237" t="str">
        <f aca="false">Interview!$B$102</f>
        <v>Implementation</v>
      </c>
      <c r="B80" s="242" t="str">
        <f aca="false">Interview!$B$117</f>
        <v>Secure Deployment</v>
      </c>
      <c r="C80" s="233" t="n">
        <f aca="false">Roadmap!U83</f>
        <v>0</v>
      </c>
      <c r="D80" s="233" t="n">
        <f aca="false">Roadmap!T83</f>
        <v>0</v>
      </c>
      <c r="E80" s="233" t="n">
        <f aca="false">Roadmap!T84</f>
        <v>0</v>
      </c>
      <c r="F80" s="233" t="n">
        <f aca="false">Roadmap!T85</f>
        <v>0</v>
      </c>
      <c r="G80" s="234"/>
      <c r="H80" s="235"/>
      <c r="I80" s="216"/>
      <c r="J80" s="216"/>
      <c r="K80" s="216"/>
      <c r="L80" s="216"/>
      <c r="M80" s="216"/>
      <c r="N80" s="216"/>
      <c r="T80" s="237" t="str">
        <f aca="false">Interview!$B$102</f>
        <v>Implementation</v>
      </c>
      <c r="U80" s="242" t="str">
        <f aca="false">Interview!$B$117</f>
        <v>Secure Deployment</v>
      </c>
      <c r="V80" s="233" t="n">
        <v>0</v>
      </c>
      <c r="W80" s="233" t="n">
        <v>0</v>
      </c>
      <c r="X80" s="233" t="n">
        <f aca="false">C80</f>
        <v>0</v>
      </c>
      <c r="Y80" s="233" t="n">
        <v>0</v>
      </c>
      <c r="Z80" s="233" t="n">
        <v>0</v>
      </c>
    </row>
    <row r="81" customFormat="false" ht="24.75" hidden="false" customHeight="true" outlineLevel="0" collapsed="false">
      <c r="A81" s="237" t="str">
        <f aca="false">Interview!$B$102</f>
        <v>Implementation</v>
      </c>
      <c r="B81" s="242" t="str">
        <f aca="false">Interview!$B$131</f>
        <v>Defect Management</v>
      </c>
      <c r="C81" s="233" t="n">
        <f aca="false">Roadmap!U92</f>
        <v>0</v>
      </c>
      <c r="D81" s="233" t="n">
        <f aca="false">Roadmap!T92</f>
        <v>0</v>
      </c>
      <c r="E81" s="233" t="n">
        <f aca="false">Roadmap!T93</f>
        <v>0</v>
      </c>
      <c r="F81" s="233" t="n">
        <f aca="false">Roadmap!T94</f>
        <v>0</v>
      </c>
      <c r="G81" s="234"/>
      <c r="H81" s="235"/>
      <c r="I81" s="216"/>
      <c r="J81" s="216"/>
      <c r="K81" s="216"/>
      <c r="L81" s="216"/>
      <c r="M81" s="216"/>
      <c r="N81" s="216"/>
      <c r="T81" s="237" t="str">
        <f aca="false">Interview!$B$102</f>
        <v>Implementation</v>
      </c>
      <c r="U81" s="242" t="str">
        <f aca="false">Interview!$B$131</f>
        <v>Defect Management</v>
      </c>
      <c r="V81" s="233" t="n">
        <v>0</v>
      </c>
      <c r="W81" s="233" t="n">
        <v>0</v>
      </c>
      <c r="X81" s="233" t="n">
        <f aca="false">C81</f>
        <v>0</v>
      </c>
      <c r="Y81" s="233" t="n">
        <v>0</v>
      </c>
      <c r="Z81" s="233" t="n">
        <v>0</v>
      </c>
    </row>
    <row r="82" customFormat="false" ht="24.75" hidden="false" customHeight="true" outlineLevel="0" collapsed="false">
      <c r="A82" s="239" t="str">
        <f aca="false">Interview!$B$145</f>
        <v>Verification</v>
      </c>
      <c r="B82" s="243" t="str">
        <f aca="false">Interview!$B$146</f>
        <v>Architecture Assessment</v>
      </c>
      <c r="C82" s="233" t="n">
        <f aca="false">Roadmap!U102</f>
        <v>0</v>
      </c>
      <c r="D82" s="233" t="n">
        <f aca="false">Roadmap!T102</f>
        <v>0</v>
      </c>
      <c r="E82" s="233" t="n">
        <f aca="false">Roadmap!T103</f>
        <v>0</v>
      </c>
      <c r="F82" s="233" t="n">
        <f aca="false">Roadmap!T104</f>
        <v>0</v>
      </c>
      <c r="G82" s="234" t="n">
        <f aca="false">(((((IF((C82="0+"),0.5,0)+IF((C82=1),1,0))+IF((C82="1+"),1.5,0))+IF((C82=2),2,0))+IF((C82="2+"),2.5,0))+IF((C82=3),3,0))+IF((C82="3+"),3.5,0)</f>
        <v>0</v>
      </c>
      <c r="H82" s="235"/>
      <c r="I82" s="216"/>
      <c r="J82" s="216"/>
      <c r="K82" s="216"/>
      <c r="L82" s="216"/>
      <c r="M82" s="216"/>
      <c r="N82" s="216"/>
      <c r="T82" s="239" t="str">
        <f aca="false">Interview!$B$145</f>
        <v>Verification</v>
      </c>
      <c r="U82" s="243" t="str">
        <f aca="false">Interview!$B$146</f>
        <v>Architecture Assessment</v>
      </c>
      <c r="V82" s="233" t="n">
        <v>0</v>
      </c>
      <c r="W82" s="233" t="n">
        <v>0</v>
      </c>
      <c r="X82" s="233" t="n">
        <v>0</v>
      </c>
      <c r="Y82" s="233" t="n">
        <f aca="false">C82</f>
        <v>0</v>
      </c>
      <c r="Z82" s="233" t="n">
        <v>0</v>
      </c>
    </row>
    <row r="83" customFormat="false" ht="24.75" hidden="false" customHeight="true" outlineLevel="0" collapsed="false">
      <c r="A83" s="239" t="str">
        <f aca="false">Interview!$B$145</f>
        <v>Verification</v>
      </c>
      <c r="B83" s="243" t="str">
        <f aca="false">Interview!$B$160</f>
        <v>Requirements Testing</v>
      </c>
      <c r="C83" s="233" t="n">
        <f aca="false">Roadmap!U111</f>
        <v>0</v>
      </c>
      <c r="D83" s="233" t="n">
        <f aca="false">Roadmap!T111</f>
        <v>0</v>
      </c>
      <c r="E83" s="233" t="n">
        <f aca="false">Roadmap!T112</f>
        <v>0</v>
      </c>
      <c r="F83" s="233" t="n">
        <f aca="false">Roadmap!T113</f>
        <v>0</v>
      </c>
      <c r="G83" s="234" t="n">
        <f aca="false">(((((IF((C83="0+"),0.5,0)+IF((C83=1),1,0))+IF((C83="1+"),1.5,0))+IF((C83=2),2,0))+IF((C83="2+"),2.5,0))+IF((C83=3),3,0))+IF((C83="3+"),3.5,0)</f>
        <v>0</v>
      </c>
      <c r="H83" s="235"/>
      <c r="I83" s="216"/>
      <c r="J83" s="216"/>
      <c r="K83" s="216"/>
      <c r="L83" s="216"/>
      <c r="M83" s="216"/>
      <c r="N83" s="216"/>
      <c r="T83" s="239" t="str">
        <f aca="false">Interview!$B$145</f>
        <v>Verification</v>
      </c>
      <c r="U83" s="243" t="str">
        <f aca="false">Interview!$B$160</f>
        <v>Requirements Testing</v>
      </c>
      <c r="V83" s="233" t="n">
        <v>0</v>
      </c>
      <c r="W83" s="233" t="n">
        <v>0</v>
      </c>
      <c r="X83" s="233" t="n">
        <v>0</v>
      </c>
      <c r="Y83" s="233" t="n">
        <f aca="false">C83</f>
        <v>0</v>
      </c>
      <c r="Z83" s="233" t="n">
        <v>0</v>
      </c>
    </row>
    <row r="84" customFormat="false" ht="24.75" hidden="false" customHeight="true" outlineLevel="0" collapsed="false">
      <c r="A84" s="239" t="str">
        <f aca="false">Interview!$B$145</f>
        <v>Verification</v>
      </c>
      <c r="B84" s="243" t="str">
        <f aca="false">Interview!$B$174</f>
        <v>Security Testing</v>
      </c>
      <c r="C84" s="233" t="n">
        <f aca="false">Roadmap!U120</f>
        <v>0</v>
      </c>
      <c r="D84" s="233" t="n">
        <f aca="false">Roadmap!T120</f>
        <v>0</v>
      </c>
      <c r="E84" s="233" t="n">
        <f aca="false">Roadmap!T121</f>
        <v>0</v>
      </c>
      <c r="F84" s="233" t="n">
        <f aca="false">Roadmap!T122</f>
        <v>0</v>
      </c>
      <c r="G84" s="234" t="n">
        <f aca="false">(((((IF((C84="0+"),0.5,0)+IF((C84=1),1,0))+IF((C84="1+"),1.5,0))+IF((C84=2),2,0))+IF((C84="2+"),2.5,0))+IF((C84=3),3,0))+IF((C84="3+"),3.5,0)</f>
        <v>0</v>
      </c>
      <c r="H84" s="235"/>
      <c r="I84" s="216"/>
      <c r="J84" s="216"/>
      <c r="K84" s="216"/>
      <c r="L84" s="216"/>
      <c r="M84" s="216"/>
      <c r="N84" s="216"/>
      <c r="T84" s="239" t="str">
        <f aca="false">Interview!$B$145</f>
        <v>Verification</v>
      </c>
      <c r="U84" s="243" t="str">
        <f aca="false">Interview!$B$174</f>
        <v>Security Testing</v>
      </c>
      <c r="V84" s="233" t="n">
        <v>0</v>
      </c>
      <c r="W84" s="233" t="n">
        <v>0</v>
      </c>
      <c r="X84" s="233" t="n">
        <v>0</v>
      </c>
      <c r="Y84" s="233" t="n">
        <f aca="false">C84</f>
        <v>0</v>
      </c>
      <c r="Z84" s="233" t="n">
        <v>0</v>
      </c>
    </row>
    <row r="85" customFormat="false" ht="24.75" hidden="false" customHeight="true" outlineLevel="0" collapsed="false">
      <c r="A85" s="240" t="str">
        <f aca="false">Interview!$B$188</f>
        <v>Operations</v>
      </c>
      <c r="B85" s="244" t="str">
        <f aca="false">Interview!$B$189</f>
        <v>Incident Management</v>
      </c>
      <c r="C85" s="233" t="n">
        <f aca="false">Roadmap!U130</f>
        <v>0</v>
      </c>
      <c r="D85" s="233" t="n">
        <f aca="false">Roadmap!T130</f>
        <v>0</v>
      </c>
      <c r="E85" s="233" t="n">
        <f aca="false">Roadmap!T131</f>
        <v>0</v>
      </c>
      <c r="F85" s="233" t="n">
        <f aca="false">Roadmap!T132</f>
        <v>0</v>
      </c>
      <c r="G85" s="234" t="n">
        <f aca="false">(((((IF((C85="0+"),0.5,0)+IF((C85=1),1,0))+IF((C85="1+"),1.5,0))+IF((C85=2),2,0))+IF((C85="2+"),2.5,0))+IF((C85=3),3,0))+IF((C85="3+"),3.5,0)</f>
        <v>0</v>
      </c>
      <c r="H85" s="235"/>
      <c r="I85" s="216"/>
      <c r="J85" s="216"/>
      <c r="K85" s="216"/>
      <c r="L85" s="216"/>
      <c r="M85" s="216"/>
      <c r="N85" s="216"/>
      <c r="T85" s="240" t="str">
        <f aca="false">Interview!$B$188</f>
        <v>Operations</v>
      </c>
      <c r="U85" s="244" t="str">
        <f aca="false">Interview!$B$189</f>
        <v>Incident Management</v>
      </c>
      <c r="V85" s="233" t="n">
        <v>0</v>
      </c>
      <c r="W85" s="233" t="n">
        <v>0</v>
      </c>
      <c r="X85" s="233" t="n">
        <v>0</v>
      </c>
      <c r="Y85" s="233" t="n">
        <v>0</v>
      </c>
      <c r="Z85" s="233" t="n">
        <f aca="false">C85</f>
        <v>0</v>
      </c>
    </row>
    <row r="86" customFormat="false" ht="24.75" hidden="false" customHeight="true" outlineLevel="0" collapsed="false">
      <c r="A86" s="240" t="str">
        <f aca="false">Interview!$B$188</f>
        <v>Operations</v>
      </c>
      <c r="B86" s="244" t="str">
        <f aca="false">Interview!$B$203</f>
        <v>Environment Management</v>
      </c>
      <c r="C86" s="233" t="n">
        <f aca="false">Roadmap!U139</f>
        <v>0</v>
      </c>
      <c r="D86" s="233" t="n">
        <f aca="false">Roadmap!T139</f>
        <v>0</v>
      </c>
      <c r="E86" s="233" t="n">
        <f aca="false">Roadmap!T140</f>
        <v>0</v>
      </c>
      <c r="F86" s="233" t="n">
        <f aca="false">Roadmap!T141</f>
        <v>0</v>
      </c>
      <c r="G86" s="234" t="n">
        <f aca="false">(((((IF((C86="0+"),0.5,0)+IF((C86=1),1,0))+IF((C86="1+"),1.5,0))+IF((C86=2),2,0))+IF((C86="2+"),2.5,0))+IF((C86=3),3,0))+IF((C86="3+"),3.5,0)</f>
        <v>0</v>
      </c>
      <c r="H86" s="235"/>
      <c r="I86" s="216"/>
      <c r="J86" s="216"/>
      <c r="K86" s="216"/>
      <c r="L86" s="216"/>
      <c r="M86" s="216"/>
      <c r="N86" s="216"/>
      <c r="T86" s="240" t="str">
        <f aca="false">Interview!$B$188</f>
        <v>Operations</v>
      </c>
      <c r="U86" s="244" t="str">
        <f aca="false">Interview!$B$203</f>
        <v>Environment Management</v>
      </c>
      <c r="V86" s="233" t="n">
        <v>0</v>
      </c>
      <c r="W86" s="233" t="n">
        <v>0</v>
      </c>
      <c r="X86" s="233" t="n">
        <v>0</v>
      </c>
      <c r="Y86" s="233" t="n">
        <v>0</v>
      </c>
      <c r="Z86" s="233" t="n">
        <f aca="false">C86</f>
        <v>0</v>
      </c>
    </row>
    <row r="87" customFormat="false" ht="24.75" hidden="false" customHeight="true" outlineLevel="0" collapsed="false">
      <c r="A87" s="240" t="str">
        <f aca="false">Interview!$B$188</f>
        <v>Operations</v>
      </c>
      <c r="B87" s="244" t="str">
        <f aca="false">Interview!$B$217</f>
        <v>Operational Management</v>
      </c>
      <c r="C87" s="233" t="n">
        <f aca="false">Roadmap!U148</f>
        <v>0</v>
      </c>
      <c r="D87" s="233" t="n">
        <f aca="false">Roadmap!T148</f>
        <v>0</v>
      </c>
      <c r="E87" s="233" t="n">
        <f aca="false">Roadmap!T149</f>
        <v>0</v>
      </c>
      <c r="F87" s="233" t="n">
        <f aca="false">Roadmap!T150</f>
        <v>0</v>
      </c>
      <c r="G87" s="234" t="n">
        <f aca="false">(((((IF((C87="0+"),0.5,0)+IF((C87=1),1,0))+IF((C87="1+"),1.5,0))+IF((C87=2),2,0))+IF((C87="2+"),2.5,0))+IF((C87=3),3,0))+IF((C87="3+"),3.5,0)</f>
        <v>0</v>
      </c>
      <c r="H87" s="235"/>
      <c r="I87" s="216"/>
      <c r="J87" s="216"/>
      <c r="K87" s="216"/>
      <c r="L87" s="216"/>
      <c r="M87" s="216"/>
      <c r="N87" s="216"/>
      <c r="T87" s="240" t="str">
        <f aca="false">Interview!$B$188</f>
        <v>Operations</v>
      </c>
      <c r="U87" s="244" t="str">
        <f aca="false">Interview!$B$217</f>
        <v>Operational Management</v>
      </c>
      <c r="V87" s="233" t="n">
        <v>0</v>
      </c>
      <c r="W87" s="233" t="n">
        <v>0</v>
      </c>
      <c r="X87" s="233" t="n">
        <v>0</v>
      </c>
      <c r="Y87" s="233" t="n">
        <v>0</v>
      </c>
      <c r="Z87" s="233" t="n">
        <f aca="false">C87</f>
        <v>0</v>
      </c>
    </row>
    <row r="88" customFormat="false" ht="12.75" hidden="false" customHeight="true" outlineLevel="0" collapsed="false">
      <c r="A88" s="216"/>
      <c r="B88" s="216"/>
      <c r="C88" s="216"/>
      <c r="D88" s="216"/>
      <c r="E88" s="216"/>
      <c r="F88" s="216"/>
      <c r="G88" s="216"/>
      <c r="H88" s="216"/>
      <c r="I88" s="216"/>
      <c r="J88" s="216"/>
      <c r="K88" s="216"/>
      <c r="L88" s="216"/>
      <c r="M88" s="216"/>
      <c r="N88" s="216"/>
    </row>
    <row r="89" customFormat="false" ht="12.75" hidden="false" customHeight="true" outlineLevel="0" collapsed="false">
      <c r="A89" s="216"/>
      <c r="B89" s="216"/>
      <c r="C89" s="216"/>
      <c r="D89" s="216"/>
      <c r="E89" s="216"/>
      <c r="F89" s="216"/>
      <c r="G89" s="216"/>
      <c r="H89" s="216"/>
      <c r="I89" s="216"/>
      <c r="J89" s="216"/>
      <c r="K89" s="216"/>
      <c r="L89" s="216"/>
      <c r="M89" s="216"/>
      <c r="N89" s="216"/>
    </row>
    <row r="90" customFormat="false" ht="12.75" hidden="false" customHeight="true" outlineLevel="0" collapsed="false">
      <c r="K90" s="216"/>
    </row>
    <row r="91" customFormat="false" ht="24.75" hidden="false" customHeight="true" outlineLevel="0" collapsed="false">
      <c r="A91" s="225" t="s">
        <v>248</v>
      </c>
      <c r="B91" s="225"/>
      <c r="C91" s="225"/>
      <c r="D91" s="225"/>
      <c r="E91" s="225"/>
      <c r="F91" s="225"/>
      <c r="G91" s="225"/>
      <c r="H91" s="225"/>
      <c r="I91" s="225"/>
      <c r="J91" s="225"/>
      <c r="K91" s="216"/>
      <c r="L91" s="225" t="s">
        <v>248</v>
      </c>
      <c r="M91" s="225"/>
      <c r="N91" s="225"/>
      <c r="O91" s="225"/>
      <c r="P91" s="225"/>
      <c r="Q91" s="225"/>
      <c r="R91" s="225"/>
      <c r="T91" s="226" t="s">
        <v>248</v>
      </c>
      <c r="U91" s="226"/>
      <c r="V91" s="226"/>
      <c r="W91" s="226"/>
      <c r="X91" s="226"/>
      <c r="Y91" s="226"/>
      <c r="Z91" s="226"/>
    </row>
    <row r="92" customFormat="false" ht="12" hidden="false" customHeight="true" outlineLevel="0" collapsed="false">
      <c r="A92" s="217"/>
      <c r="B92" s="217"/>
      <c r="C92" s="217"/>
      <c r="D92" s="227" t="s">
        <v>239</v>
      </c>
      <c r="E92" s="227"/>
      <c r="F92" s="227"/>
      <c r="G92" s="216"/>
      <c r="H92" s="216"/>
      <c r="I92" s="216"/>
      <c r="J92" s="216"/>
      <c r="K92" s="216"/>
      <c r="L92" s="216"/>
      <c r="M92" s="216"/>
      <c r="N92" s="216"/>
    </row>
    <row r="93" customFormat="false" ht="24.75" hidden="false" customHeight="true" outlineLevel="0" collapsed="false">
      <c r="A93" s="228" t="s">
        <v>240</v>
      </c>
      <c r="B93" s="228" t="s">
        <v>241</v>
      </c>
      <c r="C93" s="228" t="s">
        <v>242</v>
      </c>
      <c r="D93" s="229" t="n">
        <v>1</v>
      </c>
      <c r="E93" s="229" t="n">
        <v>2</v>
      </c>
      <c r="F93" s="229" t="n">
        <v>3</v>
      </c>
      <c r="G93" s="230" t="s">
        <v>243</v>
      </c>
      <c r="H93" s="28"/>
      <c r="I93" s="228" t="s">
        <v>240</v>
      </c>
      <c r="J93" s="228" t="s">
        <v>242</v>
      </c>
      <c r="K93" s="216"/>
      <c r="L93" s="216"/>
      <c r="M93" s="216"/>
      <c r="N93" s="216"/>
      <c r="V93" s="19" t="str">
        <f aca="false">T94</f>
        <v>Governance</v>
      </c>
      <c r="W93" s="19" t="str">
        <f aca="false">T97</f>
        <v>Design</v>
      </c>
      <c r="X93" s="19" t="str">
        <f aca="false">T100</f>
        <v>Implementation</v>
      </c>
      <c r="Y93" s="19" t="str">
        <f aca="false">T103</f>
        <v>Verification</v>
      </c>
      <c r="Z93" s="19" t="str">
        <f aca="false">T106</f>
        <v>Operations</v>
      </c>
    </row>
    <row r="94" customFormat="false" ht="24.75" hidden="false" customHeight="true" outlineLevel="0" collapsed="false">
      <c r="A94" s="231" t="str">
        <f aca="false">Interview!$B$16</f>
        <v>Governance</v>
      </c>
      <c r="B94" s="232" t="str">
        <f aca="false">Interview!$D$17</f>
        <v>Strategy &amp; Metrics</v>
      </c>
      <c r="C94" s="233" t="n">
        <f aca="false">Roadmap!Y18</f>
        <v>0</v>
      </c>
      <c r="D94" s="233" t="n">
        <f aca="false">Roadmap!X18</f>
        <v>0</v>
      </c>
      <c r="E94" s="233" t="n">
        <f aca="false">Roadmap!X19</f>
        <v>0</v>
      </c>
      <c r="F94" s="233" t="n">
        <f aca="false">Roadmap!X20</f>
        <v>0</v>
      </c>
      <c r="G94" s="234" t="n">
        <f aca="false">(((((IF((C94="0+"),0.5,0)+IF((C94=1),1,0))+IF((C94="1+"),1.5,0))+IF((C94=2),2,0))+IF((C94="2+"),2.5,0))+IF((C94=3),3,0))+IF((C94="3+"),3.5,0)</f>
        <v>0</v>
      </c>
      <c r="H94" s="235"/>
      <c r="I94" s="231" t="str">
        <f aca="false">A94</f>
        <v>Governance</v>
      </c>
      <c r="J94" s="233" t="n">
        <f aca="false">AVERAGE(C94:C96)</f>
        <v>0</v>
      </c>
      <c r="K94" s="216"/>
      <c r="L94" s="216"/>
      <c r="M94" s="216"/>
      <c r="N94" s="216"/>
      <c r="T94" s="231" t="str">
        <f aca="false">Interview!$B$16</f>
        <v>Governance</v>
      </c>
      <c r="U94" s="232" t="str">
        <f aca="false">Interview!$D$17</f>
        <v>Strategy &amp; Metrics</v>
      </c>
      <c r="V94" s="233" t="n">
        <f aca="false">C94</f>
        <v>0</v>
      </c>
      <c r="W94" s="233" t="n">
        <v>0</v>
      </c>
      <c r="X94" s="233" t="n">
        <v>0</v>
      </c>
      <c r="Y94" s="233" t="n">
        <v>0</v>
      </c>
      <c r="Z94" s="233" t="n">
        <v>0</v>
      </c>
    </row>
    <row r="95" customFormat="false" ht="24.75" hidden="false" customHeight="true" outlineLevel="0" collapsed="false">
      <c r="A95" s="231" t="str">
        <f aca="false">Interview!$B$16</f>
        <v>Governance</v>
      </c>
      <c r="B95" s="232" t="str">
        <f aca="false">Interview!$B$31</f>
        <v>Policy &amp; Compliance</v>
      </c>
      <c r="C95" s="233" t="n">
        <f aca="false">Roadmap!Y27</f>
        <v>0</v>
      </c>
      <c r="D95" s="233" t="n">
        <f aca="false">Roadmap!X27</f>
        <v>0</v>
      </c>
      <c r="E95" s="233" t="n">
        <f aca="false">Roadmap!X28</f>
        <v>0</v>
      </c>
      <c r="F95" s="233" t="n">
        <f aca="false">Roadmap!X29</f>
        <v>0</v>
      </c>
      <c r="G95" s="234" t="n">
        <f aca="false">(((((IF((C95="0+"),0.5,0)+IF((C95=1),1,0))+IF((C95="1+"),1.5,0))+IF((C95=2),2,0))+IF((C95="2+"),2.5,0))+IF((C95=3),3,0))+IF((C95="3+"),3.5,0)</f>
        <v>0</v>
      </c>
      <c r="H95" s="235"/>
      <c r="I95" s="236" t="str">
        <f aca="false">A97</f>
        <v>Design</v>
      </c>
      <c r="J95" s="233" t="n">
        <f aca="false">AVERAGE(C97:C99)</f>
        <v>0</v>
      </c>
      <c r="K95" s="216"/>
      <c r="L95" s="216"/>
      <c r="M95" s="216"/>
      <c r="N95" s="216"/>
      <c r="T95" s="231" t="str">
        <f aca="false">Interview!$B$16</f>
        <v>Governance</v>
      </c>
      <c r="U95" s="232" t="str">
        <f aca="false">Interview!$B$31</f>
        <v>Policy &amp; Compliance</v>
      </c>
      <c r="V95" s="233" t="n">
        <f aca="false">C95</f>
        <v>0</v>
      </c>
      <c r="W95" s="233" t="n">
        <v>0</v>
      </c>
      <c r="X95" s="233" t="n">
        <v>0</v>
      </c>
      <c r="Y95" s="233" t="n">
        <v>0</v>
      </c>
      <c r="Z95" s="233" t="n">
        <v>0</v>
      </c>
    </row>
    <row r="96" customFormat="false" ht="24.75" hidden="false" customHeight="true" outlineLevel="0" collapsed="false">
      <c r="A96" s="231" t="str">
        <f aca="false">Interview!$B$16</f>
        <v>Governance</v>
      </c>
      <c r="B96" s="232" t="str">
        <f aca="false">Interview!$B$45</f>
        <v>Education &amp; Guidance</v>
      </c>
      <c r="C96" s="233" t="n">
        <f aca="false">Roadmap!Y36</f>
        <v>0</v>
      </c>
      <c r="D96" s="233" t="n">
        <f aca="false">Roadmap!X36</f>
        <v>0</v>
      </c>
      <c r="E96" s="233" t="n">
        <f aca="false">Roadmap!X37</f>
        <v>0</v>
      </c>
      <c r="F96" s="233" t="n">
        <f aca="false">Roadmap!X38</f>
        <v>0</v>
      </c>
      <c r="G96" s="234" t="n">
        <f aca="false">(((((IF((C96="0+"),0.5,0)+IF((C96=1),1,0))+IF((C96="1+"),1.5,0))+IF((C96=2),2,0))+IF((C96="2+"),2.5,0))+IF((C96=3),3,0))+IF((C96="3+"),3.5,0)</f>
        <v>0</v>
      </c>
      <c r="H96" s="235"/>
      <c r="I96" s="237" t="str">
        <f aca="false">A100</f>
        <v>Implementation</v>
      </c>
      <c r="J96" s="233" t="n">
        <f aca="false">AVERAGE(C100:C102)</f>
        <v>0</v>
      </c>
      <c r="K96" s="216"/>
      <c r="L96" s="216"/>
      <c r="M96" s="216"/>
      <c r="N96" s="216"/>
      <c r="T96" s="231" t="str">
        <f aca="false">Interview!$B$16</f>
        <v>Governance</v>
      </c>
      <c r="U96" s="232" t="str">
        <f aca="false">Interview!$B$45</f>
        <v>Education &amp; Guidance</v>
      </c>
      <c r="V96" s="233" t="n">
        <f aca="false">C96</f>
        <v>0</v>
      </c>
      <c r="W96" s="233" t="n">
        <v>0</v>
      </c>
      <c r="X96" s="233" t="n">
        <v>0</v>
      </c>
      <c r="Y96" s="233" t="n">
        <v>0</v>
      </c>
      <c r="Z96" s="233" t="n">
        <v>0</v>
      </c>
    </row>
    <row r="97" customFormat="false" ht="24.75" hidden="false" customHeight="true" outlineLevel="0" collapsed="false">
      <c r="A97" s="236" t="str">
        <f aca="false">Interview!$B$59</f>
        <v>Design</v>
      </c>
      <c r="B97" s="238" t="str">
        <f aca="false">Interview!$B$60</f>
        <v>Threat Assessment</v>
      </c>
      <c r="C97" s="233" t="n">
        <f aca="false">Roadmap!Y46</f>
        <v>0</v>
      </c>
      <c r="D97" s="233" t="n">
        <f aca="false">Roadmap!X46</f>
        <v>0</v>
      </c>
      <c r="E97" s="233" t="n">
        <f aca="false">Roadmap!X47</f>
        <v>0</v>
      </c>
      <c r="F97" s="233" t="n">
        <f aca="false">Roadmap!X48</f>
        <v>0</v>
      </c>
      <c r="G97" s="234" t="n">
        <f aca="false">(((((IF((C97="0+"),0.5,0)+IF((C97=1),1,0))+IF((C97="1+"),1.5,0))+IF((C97=2),2,0))+IF((C97="2+"),2.5,0))+IF((C97=3),3,0))+IF((C97="3+"),3.5,0)</f>
        <v>0</v>
      </c>
      <c r="H97" s="235"/>
      <c r="I97" s="239" t="str">
        <f aca="false">A103</f>
        <v>Verification</v>
      </c>
      <c r="J97" s="233" t="n">
        <f aca="false">AVERAGE(C103:C105)</f>
        <v>0</v>
      </c>
      <c r="K97" s="216"/>
      <c r="L97" s="216"/>
      <c r="M97" s="216"/>
      <c r="N97" s="216"/>
      <c r="T97" s="236" t="str">
        <f aca="false">Interview!$B$59</f>
        <v>Design</v>
      </c>
      <c r="U97" s="238" t="str">
        <f aca="false">Interview!$B$60</f>
        <v>Threat Assessment</v>
      </c>
      <c r="V97" s="233" t="n">
        <v>0</v>
      </c>
      <c r="W97" s="233" t="n">
        <f aca="false">C97</f>
        <v>0</v>
      </c>
      <c r="X97" s="233" t="n">
        <v>0</v>
      </c>
      <c r="Y97" s="233" t="n">
        <v>0</v>
      </c>
      <c r="Z97" s="233" t="n">
        <v>0</v>
      </c>
    </row>
    <row r="98" customFormat="false" ht="24.75" hidden="false" customHeight="true" outlineLevel="0" collapsed="false">
      <c r="A98" s="236" t="str">
        <f aca="false">Interview!$B$59</f>
        <v>Design</v>
      </c>
      <c r="B98" s="238" t="str">
        <f aca="false">Interview!$B$74</f>
        <v>Security Requirements</v>
      </c>
      <c r="C98" s="233" t="n">
        <f aca="false">Roadmap!Y55</f>
        <v>0</v>
      </c>
      <c r="D98" s="233" t="n">
        <f aca="false">Roadmap!X55</f>
        <v>0</v>
      </c>
      <c r="E98" s="233" t="n">
        <f aca="false">Roadmap!X56</f>
        <v>0</v>
      </c>
      <c r="F98" s="233" t="n">
        <f aca="false">Roadmap!X57</f>
        <v>0</v>
      </c>
      <c r="G98" s="234" t="n">
        <f aca="false">(((((IF((C98="0+"),0.5,0)+IF((C98=1),1,0))+IF((C98="1+"),1.5,0))+IF((C98=2),2,0))+IF((C98="2+"),2.5,0))+IF((C98=3),3,0))+IF((C98="3+"),3.5,0)</f>
        <v>0</v>
      </c>
      <c r="H98" s="235"/>
      <c r="I98" s="240" t="str">
        <f aca="false">A106</f>
        <v>Operations</v>
      </c>
      <c r="J98" s="233" t="n">
        <f aca="false">AVERAGE(C106:C108)</f>
        <v>0</v>
      </c>
      <c r="K98" s="216"/>
      <c r="L98" s="216"/>
      <c r="M98" s="216"/>
      <c r="N98" s="216"/>
      <c r="T98" s="236" t="str">
        <f aca="false">Interview!$B$59</f>
        <v>Design</v>
      </c>
      <c r="U98" s="238" t="str">
        <f aca="false">Interview!$B$74</f>
        <v>Security Requirements</v>
      </c>
      <c r="V98" s="233" t="n">
        <v>0</v>
      </c>
      <c r="W98" s="233" t="n">
        <f aca="false">C98</f>
        <v>0</v>
      </c>
      <c r="X98" s="233" t="n">
        <v>0</v>
      </c>
      <c r="Y98" s="233" t="n">
        <v>0</v>
      </c>
      <c r="Z98" s="233" t="n">
        <v>0</v>
      </c>
    </row>
    <row r="99" customFormat="false" ht="24.75" hidden="false" customHeight="true" outlineLevel="0" collapsed="false">
      <c r="A99" s="236" t="str">
        <f aca="false">Interview!$B$59</f>
        <v>Design</v>
      </c>
      <c r="B99" s="238" t="str">
        <f aca="false">Interview!$B$88</f>
        <v>Secure Architecture</v>
      </c>
      <c r="C99" s="233" t="n">
        <f aca="false">Roadmap!Y64</f>
        <v>0</v>
      </c>
      <c r="D99" s="233" t="n">
        <f aca="false">Roadmap!X64</f>
        <v>0</v>
      </c>
      <c r="E99" s="233" t="n">
        <f aca="false">Roadmap!X65</f>
        <v>0</v>
      </c>
      <c r="F99" s="233" t="n">
        <f aca="false">Roadmap!X66</f>
        <v>0</v>
      </c>
      <c r="G99" s="234" t="n">
        <f aca="false">(((((IF((C99="0+"),0.5,0)+IF((C99=1),1,0))+IF((C99="1+"),1.5,0))+IF((C99=2),2,0))+IF((C99="2+"),2.5,0))+IF((C99=3),3,0))+IF((C99="3+"),3.5,0)</f>
        <v>0</v>
      </c>
      <c r="H99" s="235"/>
      <c r="I99" s="241" t="s">
        <v>244</v>
      </c>
      <c r="J99" s="233" t="n">
        <f aca="false">AVERAGE(J94:J98)</f>
        <v>0</v>
      </c>
      <c r="K99" s="216"/>
      <c r="L99" s="216"/>
      <c r="M99" s="216"/>
      <c r="N99" s="216"/>
      <c r="T99" s="236" t="str">
        <f aca="false">Interview!$B$59</f>
        <v>Design</v>
      </c>
      <c r="U99" s="238" t="str">
        <f aca="false">Interview!$B$88</f>
        <v>Secure Architecture</v>
      </c>
      <c r="V99" s="233" t="n">
        <v>0</v>
      </c>
      <c r="W99" s="233" t="n">
        <f aca="false">C99</f>
        <v>0</v>
      </c>
      <c r="X99" s="233" t="n">
        <v>0</v>
      </c>
      <c r="Y99" s="233" t="n">
        <v>0</v>
      </c>
      <c r="Z99" s="233" t="n">
        <v>0</v>
      </c>
    </row>
    <row r="100" customFormat="false" ht="24.75" hidden="false" customHeight="true" outlineLevel="0" collapsed="false">
      <c r="A100" s="237" t="str">
        <f aca="false">Interview!$B$102</f>
        <v>Implementation</v>
      </c>
      <c r="B100" s="242" t="str">
        <f aca="false">Interview!$B$103</f>
        <v>Secure Build</v>
      </c>
      <c r="C100" s="233" t="n">
        <f aca="false">Roadmap!Y74</f>
        <v>0</v>
      </c>
      <c r="D100" s="233" t="n">
        <f aca="false">Roadmap!X74</f>
        <v>0</v>
      </c>
      <c r="E100" s="233" t="n">
        <f aca="false">Roadmap!X75</f>
        <v>0</v>
      </c>
      <c r="F100" s="233" t="n">
        <f aca="false">Roadmap!X76</f>
        <v>0</v>
      </c>
      <c r="G100" s="234"/>
      <c r="H100" s="235"/>
      <c r="I100" s="216"/>
      <c r="J100" s="216"/>
      <c r="K100" s="216"/>
      <c r="L100" s="216"/>
      <c r="M100" s="216"/>
      <c r="N100" s="216"/>
      <c r="T100" s="237" t="str">
        <f aca="false">Interview!$B$102</f>
        <v>Implementation</v>
      </c>
      <c r="U100" s="242" t="str">
        <f aca="false">Interview!$B$103</f>
        <v>Secure Build</v>
      </c>
      <c r="V100" s="233" t="n">
        <v>0</v>
      </c>
      <c r="W100" s="233" t="n">
        <v>0</v>
      </c>
      <c r="X100" s="233" t="n">
        <f aca="false">C100</f>
        <v>0</v>
      </c>
      <c r="Y100" s="233" t="n">
        <v>0</v>
      </c>
      <c r="Z100" s="233" t="n">
        <v>0</v>
      </c>
    </row>
    <row r="101" customFormat="false" ht="24.75" hidden="false" customHeight="true" outlineLevel="0" collapsed="false">
      <c r="A101" s="237" t="str">
        <f aca="false">Interview!$B$102</f>
        <v>Implementation</v>
      </c>
      <c r="B101" s="242" t="str">
        <f aca="false">Interview!$B$117</f>
        <v>Secure Deployment</v>
      </c>
      <c r="C101" s="233" t="n">
        <f aca="false">Roadmap!Y83</f>
        <v>0</v>
      </c>
      <c r="D101" s="233" t="n">
        <f aca="false">Roadmap!X83</f>
        <v>0</v>
      </c>
      <c r="E101" s="233" t="n">
        <f aca="false">Roadmap!X84</f>
        <v>0</v>
      </c>
      <c r="F101" s="233" t="n">
        <f aca="false">Roadmap!X85</f>
        <v>0</v>
      </c>
      <c r="G101" s="234"/>
      <c r="H101" s="235"/>
      <c r="I101" s="216"/>
      <c r="J101" s="216"/>
      <c r="K101" s="216"/>
      <c r="L101" s="216"/>
      <c r="M101" s="216"/>
      <c r="N101" s="216"/>
      <c r="T101" s="237" t="str">
        <f aca="false">Interview!$B$102</f>
        <v>Implementation</v>
      </c>
      <c r="U101" s="242" t="str">
        <f aca="false">Interview!$B$117</f>
        <v>Secure Deployment</v>
      </c>
      <c r="V101" s="233" t="n">
        <v>0</v>
      </c>
      <c r="W101" s="233" t="n">
        <v>0</v>
      </c>
      <c r="X101" s="233" t="n">
        <f aca="false">C101</f>
        <v>0</v>
      </c>
      <c r="Y101" s="233" t="n">
        <v>0</v>
      </c>
      <c r="Z101" s="233" t="n">
        <v>0</v>
      </c>
    </row>
    <row r="102" customFormat="false" ht="24.75" hidden="false" customHeight="true" outlineLevel="0" collapsed="false">
      <c r="A102" s="237" t="str">
        <f aca="false">Interview!$B$102</f>
        <v>Implementation</v>
      </c>
      <c r="B102" s="242" t="str">
        <f aca="false">Interview!$B$131</f>
        <v>Defect Management</v>
      </c>
      <c r="C102" s="233" t="n">
        <f aca="false">Roadmap!Y92</f>
        <v>0</v>
      </c>
      <c r="D102" s="233" t="n">
        <f aca="false">Roadmap!X92</f>
        <v>0</v>
      </c>
      <c r="E102" s="233" t="n">
        <f aca="false">Roadmap!X93</f>
        <v>0</v>
      </c>
      <c r="F102" s="233" t="n">
        <f aca="false">Roadmap!X94</f>
        <v>0</v>
      </c>
      <c r="G102" s="234"/>
      <c r="H102" s="235"/>
      <c r="I102" s="216"/>
      <c r="J102" s="216"/>
      <c r="K102" s="216"/>
      <c r="L102" s="216"/>
      <c r="M102" s="216"/>
      <c r="N102" s="216"/>
      <c r="T102" s="237" t="str">
        <f aca="false">Interview!$B$102</f>
        <v>Implementation</v>
      </c>
      <c r="U102" s="242" t="str">
        <f aca="false">Interview!$B$131</f>
        <v>Defect Management</v>
      </c>
      <c r="V102" s="233" t="n">
        <v>0</v>
      </c>
      <c r="W102" s="233" t="n">
        <v>0</v>
      </c>
      <c r="X102" s="233" t="n">
        <f aca="false">C102</f>
        <v>0</v>
      </c>
      <c r="Y102" s="233" t="n">
        <v>0</v>
      </c>
      <c r="Z102" s="233" t="n">
        <v>0</v>
      </c>
    </row>
    <row r="103" customFormat="false" ht="24.75" hidden="false" customHeight="true" outlineLevel="0" collapsed="false">
      <c r="A103" s="239" t="str">
        <f aca="false">Interview!$B$145</f>
        <v>Verification</v>
      </c>
      <c r="B103" s="243" t="str">
        <f aca="false">Interview!$B$146</f>
        <v>Architecture Assessment</v>
      </c>
      <c r="C103" s="233" t="n">
        <f aca="false">Roadmap!Y102</f>
        <v>0</v>
      </c>
      <c r="D103" s="233" t="n">
        <f aca="false">Roadmap!X102</f>
        <v>0</v>
      </c>
      <c r="E103" s="233" t="n">
        <f aca="false">Roadmap!X103</f>
        <v>0</v>
      </c>
      <c r="F103" s="233" t="n">
        <f aca="false">Roadmap!X104</f>
        <v>0</v>
      </c>
      <c r="G103" s="234" t="n">
        <f aca="false">(((((IF((C103="0+"),0.5,0)+IF((C103=1),1,0))+IF((C103="1+"),1.5,0))+IF((C103=2),2,0))+IF((C103="2+"),2.5,0))+IF((C103=3),3,0))+IF((C103="3+"),3.5,0)</f>
        <v>0</v>
      </c>
      <c r="H103" s="235"/>
      <c r="I103" s="216"/>
      <c r="J103" s="216"/>
      <c r="K103" s="216"/>
      <c r="L103" s="216"/>
      <c r="M103" s="216"/>
      <c r="N103" s="216"/>
      <c r="T103" s="239" t="str">
        <f aca="false">Interview!$B$145</f>
        <v>Verification</v>
      </c>
      <c r="U103" s="243" t="str">
        <f aca="false">Interview!$B$146</f>
        <v>Architecture Assessment</v>
      </c>
      <c r="V103" s="233" t="n">
        <v>0</v>
      </c>
      <c r="W103" s="233" t="n">
        <v>0</v>
      </c>
      <c r="X103" s="233" t="n">
        <v>0</v>
      </c>
      <c r="Y103" s="233" t="n">
        <f aca="false">C103</f>
        <v>0</v>
      </c>
      <c r="Z103" s="233" t="n">
        <v>0</v>
      </c>
    </row>
    <row r="104" customFormat="false" ht="24.75" hidden="false" customHeight="true" outlineLevel="0" collapsed="false">
      <c r="A104" s="239" t="str">
        <f aca="false">Interview!$B$145</f>
        <v>Verification</v>
      </c>
      <c r="B104" s="243" t="str">
        <f aca="false">Interview!$B$160</f>
        <v>Requirements Testing</v>
      </c>
      <c r="C104" s="233" t="n">
        <f aca="false">Roadmap!Y111</f>
        <v>0</v>
      </c>
      <c r="D104" s="233" t="n">
        <f aca="false">Roadmap!X111</f>
        <v>0</v>
      </c>
      <c r="E104" s="233" t="n">
        <f aca="false">Roadmap!X112</f>
        <v>0</v>
      </c>
      <c r="F104" s="233" t="n">
        <f aca="false">Roadmap!X113</f>
        <v>0</v>
      </c>
      <c r="G104" s="234" t="n">
        <f aca="false">(((((IF((C104="0+"),0.5,0)+IF((C104=1),1,0))+IF((C104="1+"),1.5,0))+IF((C104=2),2,0))+IF((C104="2+"),2.5,0))+IF((C104=3),3,0))+IF((C104="3+"),3.5,0)</f>
        <v>0</v>
      </c>
      <c r="H104" s="235"/>
      <c r="I104" s="216"/>
      <c r="J104" s="216"/>
      <c r="K104" s="216"/>
      <c r="L104" s="216"/>
      <c r="M104" s="216"/>
      <c r="N104" s="216"/>
      <c r="T104" s="239" t="str">
        <f aca="false">Interview!$B$145</f>
        <v>Verification</v>
      </c>
      <c r="U104" s="243" t="str">
        <f aca="false">Interview!$B$160</f>
        <v>Requirements Testing</v>
      </c>
      <c r="V104" s="233" t="n">
        <v>0</v>
      </c>
      <c r="W104" s="233" t="n">
        <v>0</v>
      </c>
      <c r="X104" s="233" t="n">
        <v>0</v>
      </c>
      <c r="Y104" s="233" t="n">
        <f aca="false">C104</f>
        <v>0</v>
      </c>
      <c r="Z104" s="233" t="n">
        <v>0</v>
      </c>
    </row>
    <row r="105" customFormat="false" ht="24.75" hidden="false" customHeight="true" outlineLevel="0" collapsed="false">
      <c r="A105" s="239" t="str">
        <f aca="false">Interview!$B$145</f>
        <v>Verification</v>
      </c>
      <c r="B105" s="243" t="str">
        <f aca="false">Interview!$B$174</f>
        <v>Security Testing</v>
      </c>
      <c r="C105" s="233" t="n">
        <f aca="false">Roadmap!Y120</f>
        <v>0</v>
      </c>
      <c r="D105" s="233" t="n">
        <f aca="false">Roadmap!X120</f>
        <v>0</v>
      </c>
      <c r="E105" s="233" t="n">
        <f aca="false">Roadmap!X121</f>
        <v>0</v>
      </c>
      <c r="F105" s="233" t="n">
        <f aca="false">Roadmap!X122</f>
        <v>0</v>
      </c>
      <c r="G105" s="234" t="n">
        <f aca="false">(((((IF((C105="0+"),0.5,0)+IF((C105=1),1,0))+IF((C105="1+"),1.5,0))+IF((C105=2),2,0))+IF((C105="2+"),2.5,0))+IF((C105=3),3,0))+IF((C105="3+"),3.5,0)</f>
        <v>0</v>
      </c>
      <c r="H105" s="235"/>
      <c r="I105" s="216"/>
      <c r="J105" s="216"/>
      <c r="K105" s="216"/>
      <c r="L105" s="216"/>
      <c r="M105" s="216"/>
      <c r="N105" s="216"/>
      <c r="T105" s="239" t="str">
        <f aca="false">Interview!$B$145</f>
        <v>Verification</v>
      </c>
      <c r="U105" s="243" t="str">
        <f aca="false">Interview!$B$174</f>
        <v>Security Testing</v>
      </c>
      <c r="V105" s="233" t="n">
        <v>0</v>
      </c>
      <c r="W105" s="233" t="n">
        <v>0</v>
      </c>
      <c r="X105" s="233" t="n">
        <v>0</v>
      </c>
      <c r="Y105" s="233" t="n">
        <f aca="false">C105</f>
        <v>0</v>
      </c>
      <c r="Z105" s="233" t="n">
        <v>0</v>
      </c>
    </row>
    <row r="106" customFormat="false" ht="24.75" hidden="false" customHeight="true" outlineLevel="0" collapsed="false">
      <c r="A106" s="240" t="str">
        <f aca="false">Interview!$B$188</f>
        <v>Operations</v>
      </c>
      <c r="B106" s="244" t="str">
        <f aca="false">Interview!$B$189</f>
        <v>Incident Management</v>
      </c>
      <c r="C106" s="233" t="n">
        <f aca="false">Roadmap!Y130</f>
        <v>0</v>
      </c>
      <c r="D106" s="233" t="n">
        <f aca="false">Roadmap!X130</f>
        <v>0</v>
      </c>
      <c r="E106" s="233" t="n">
        <f aca="false">Roadmap!X131</f>
        <v>0</v>
      </c>
      <c r="F106" s="233" t="n">
        <f aca="false">Roadmap!X132</f>
        <v>0</v>
      </c>
      <c r="G106" s="234" t="n">
        <f aca="false">(((((IF((C106="0+"),0.5,0)+IF((C106=1),1,0))+IF((C106="1+"),1.5,0))+IF((C106=2),2,0))+IF((C106="2+"),2.5,0))+IF((C106=3),3,0))+IF((C106="3+"),3.5,0)</f>
        <v>0</v>
      </c>
      <c r="H106" s="235"/>
      <c r="I106" s="216"/>
      <c r="J106" s="216"/>
      <c r="K106" s="216"/>
      <c r="L106" s="216"/>
      <c r="M106" s="216"/>
      <c r="N106" s="216"/>
      <c r="T106" s="240" t="str">
        <f aca="false">Interview!$B$188</f>
        <v>Operations</v>
      </c>
      <c r="U106" s="244" t="str">
        <f aca="false">Interview!$B$189</f>
        <v>Incident Management</v>
      </c>
      <c r="V106" s="233" t="n">
        <v>0</v>
      </c>
      <c r="W106" s="233" t="n">
        <v>0</v>
      </c>
      <c r="X106" s="233" t="n">
        <v>0</v>
      </c>
      <c r="Y106" s="233" t="n">
        <v>0</v>
      </c>
      <c r="Z106" s="233" t="n">
        <f aca="false">C106</f>
        <v>0</v>
      </c>
    </row>
    <row r="107" customFormat="false" ht="24.75" hidden="false" customHeight="true" outlineLevel="0" collapsed="false">
      <c r="A107" s="240" t="str">
        <f aca="false">Interview!$B$188</f>
        <v>Operations</v>
      </c>
      <c r="B107" s="244" t="str">
        <f aca="false">Interview!$B$203</f>
        <v>Environment Management</v>
      </c>
      <c r="C107" s="233" t="n">
        <f aca="false">Roadmap!Y139</f>
        <v>0</v>
      </c>
      <c r="D107" s="233" t="n">
        <f aca="false">Roadmap!X139</f>
        <v>0</v>
      </c>
      <c r="E107" s="233" t="n">
        <f aca="false">Roadmap!X140</f>
        <v>0</v>
      </c>
      <c r="F107" s="233" t="n">
        <f aca="false">Roadmap!X141</f>
        <v>0</v>
      </c>
      <c r="G107" s="234" t="n">
        <f aca="false">(((((IF((C107="0+"),0.5,0)+IF((C107=1),1,0))+IF((C107="1+"),1.5,0))+IF((C107=2),2,0))+IF((C107="2+"),2.5,0))+IF((C107=3),3,0))+IF((C107="3+"),3.5,0)</f>
        <v>0</v>
      </c>
      <c r="H107" s="235"/>
      <c r="I107" s="216"/>
      <c r="J107" s="216"/>
      <c r="K107" s="216"/>
      <c r="L107" s="216"/>
      <c r="M107" s="216"/>
      <c r="N107" s="216"/>
      <c r="T107" s="240" t="str">
        <f aca="false">Interview!$B$188</f>
        <v>Operations</v>
      </c>
      <c r="U107" s="244" t="str">
        <f aca="false">Interview!$B$203</f>
        <v>Environment Management</v>
      </c>
      <c r="V107" s="233" t="n">
        <v>0</v>
      </c>
      <c r="W107" s="233" t="n">
        <v>0</v>
      </c>
      <c r="X107" s="233" t="n">
        <v>0</v>
      </c>
      <c r="Y107" s="233" t="n">
        <v>0</v>
      </c>
      <c r="Z107" s="233" t="n">
        <f aca="false">C107</f>
        <v>0</v>
      </c>
    </row>
    <row r="108" customFormat="false" ht="24.75" hidden="false" customHeight="true" outlineLevel="0" collapsed="false">
      <c r="A108" s="240" t="str">
        <f aca="false">Interview!$B$188</f>
        <v>Operations</v>
      </c>
      <c r="B108" s="244" t="str">
        <f aca="false">Interview!$B$217</f>
        <v>Operational Management</v>
      </c>
      <c r="C108" s="233" t="n">
        <f aca="false">Roadmap!Y148</f>
        <v>0</v>
      </c>
      <c r="D108" s="233" t="n">
        <f aca="false">Roadmap!X148</f>
        <v>0</v>
      </c>
      <c r="E108" s="233" t="n">
        <f aca="false">Roadmap!X149</f>
        <v>0</v>
      </c>
      <c r="F108" s="233" t="n">
        <f aca="false">Roadmap!X150</f>
        <v>0</v>
      </c>
      <c r="G108" s="234" t="n">
        <f aca="false">(((((IF((C108="0+"),0.5,0)+IF((C108=1),1,0))+IF((C108="1+"),1.5,0))+IF((C108=2),2,0))+IF((C108="2+"),2.5,0))+IF((C108=3),3,0))+IF((C108="3+"),3.5,0)</f>
        <v>0</v>
      </c>
      <c r="H108" s="235"/>
      <c r="I108" s="216"/>
      <c r="J108" s="216"/>
      <c r="K108" s="216"/>
      <c r="L108" s="216"/>
      <c r="M108" s="216"/>
      <c r="N108" s="216"/>
      <c r="T108" s="240" t="str">
        <f aca="false">Interview!$B$188</f>
        <v>Operations</v>
      </c>
      <c r="U108" s="244" t="str">
        <f aca="false">Interview!$B$217</f>
        <v>Operational Management</v>
      </c>
      <c r="V108" s="233" t="n">
        <v>0</v>
      </c>
      <c r="W108" s="233" t="n">
        <v>0</v>
      </c>
      <c r="X108" s="233" t="n">
        <v>0</v>
      </c>
      <c r="Y108" s="233" t="n">
        <v>0</v>
      </c>
      <c r="Z108" s="233" t="n">
        <f aca="false">C108</f>
        <v>0</v>
      </c>
    </row>
    <row r="109" customFormat="false" ht="12.75" hidden="false" customHeight="true" outlineLevel="0" collapsed="false">
      <c r="A109" s="216"/>
      <c r="B109" s="216"/>
      <c r="C109" s="216"/>
      <c r="D109" s="216"/>
      <c r="E109" s="216"/>
      <c r="F109" s="216"/>
      <c r="G109" s="216"/>
      <c r="H109" s="216"/>
      <c r="I109" s="216"/>
      <c r="J109" s="216"/>
      <c r="K109" s="216"/>
      <c r="L109" s="216"/>
      <c r="M109" s="216"/>
      <c r="N109" s="216"/>
    </row>
    <row r="110" customFormat="false" ht="12.75" hidden="false" customHeight="true" outlineLevel="0" collapsed="false">
      <c r="A110" s="216"/>
      <c r="B110" s="216"/>
      <c r="C110" s="216"/>
      <c r="D110" s="216"/>
      <c r="E110" s="216"/>
      <c r="F110" s="216"/>
      <c r="G110" s="216"/>
      <c r="H110" s="216"/>
      <c r="I110" s="216"/>
      <c r="J110" s="216"/>
      <c r="K110" s="216"/>
      <c r="L110" s="216"/>
      <c r="M110" s="216"/>
      <c r="N110" s="216"/>
    </row>
    <row r="111" customFormat="false" ht="12.75" hidden="false" customHeight="true" outlineLevel="0" collapsed="false">
      <c r="A111" s="216"/>
      <c r="B111" s="216"/>
      <c r="C111" s="216"/>
      <c r="D111" s="216"/>
      <c r="E111" s="216"/>
      <c r="F111" s="216"/>
      <c r="G111" s="216"/>
      <c r="H111" s="216"/>
      <c r="I111" s="216"/>
      <c r="J111" s="216"/>
      <c r="K111" s="216"/>
      <c r="L111" s="216"/>
      <c r="M111" s="216"/>
      <c r="N111" s="216"/>
    </row>
    <row r="112" customFormat="false" ht="12.75" hidden="false" customHeight="true" outlineLevel="0" collapsed="false">
      <c r="A112" s="216"/>
      <c r="B112" s="216"/>
      <c r="C112" s="216"/>
      <c r="D112" s="216"/>
      <c r="E112" s="216"/>
      <c r="F112" s="216"/>
      <c r="G112" s="216"/>
      <c r="H112" s="216"/>
      <c r="I112" s="216"/>
      <c r="J112" s="216"/>
      <c r="K112" s="216"/>
      <c r="L112" s="216"/>
      <c r="M112" s="216"/>
      <c r="N112" s="216"/>
    </row>
    <row r="113" customFormat="false" ht="12.75" hidden="false" customHeight="true" outlineLevel="0" collapsed="false">
      <c r="A113" s="216"/>
      <c r="B113" s="216"/>
      <c r="C113" s="216"/>
      <c r="D113" s="216"/>
      <c r="E113" s="216"/>
      <c r="F113" s="216"/>
      <c r="G113" s="216"/>
      <c r="H113" s="216"/>
      <c r="I113" s="216"/>
      <c r="J113" s="216"/>
      <c r="K113" s="216"/>
      <c r="L113" s="216"/>
      <c r="M113" s="216"/>
      <c r="N113" s="216"/>
    </row>
    <row r="114" customFormat="false" ht="12.75" hidden="false" customHeight="true" outlineLevel="0" collapsed="false">
      <c r="A114" s="216"/>
      <c r="B114" s="216"/>
      <c r="C114" s="216"/>
      <c r="D114" s="216"/>
      <c r="E114" s="216"/>
      <c r="F114" s="216"/>
      <c r="G114" s="216"/>
      <c r="H114" s="216"/>
      <c r="I114" s="216"/>
      <c r="J114" s="216"/>
      <c r="K114" s="216"/>
      <c r="L114" s="216"/>
      <c r="M114" s="216"/>
      <c r="N114" s="216"/>
    </row>
    <row r="115" customFormat="false" ht="12.75" hidden="false" customHeight="true" outlineLevel="0" collapsed="false">
      <c r="A115" s="216"/>
      <c r="B115" s="216"/>
      <c r="C115" s="216"/>
      <c r="D115" s="216"/>
      <c r="E115" s="216"/>
      <c r="F115" s="216"/>
      <c r="G115" s="216"/>
      <c r="H115" s="216"/>
      <c r="I115" s="216"/>
      <c r="J115" s="216"/>
      <c r="K115" s="216"/>
      <c r="L115" s="216"/>
      <c r="M115" s="216"/>
      <c r="N115" s="216"/>
    </row>
    <row r="116" customFormat="false" ht="12.75" hidden="false" customHeight="true" outlineLevel="0" collapsed="false">
      <c r="A116" s="216"/>
      <c r="B116" s="216"/>
      <c r="C116" s="216"/>
      <c r="D116" s="216"/>
      <c r="E116" s="216"/>
      <c r="F116" s="216"/>
      <c r="G116" s="216"/>
      <c r="H116" s="216"/>
      <c r="I116" s="216"/>
      <c r="J116" s="216"/>
      <c r="K116" s="216"/>
      <c r="L116" s="216"/>
      <c r="M116" s="216"/>
      <c r="N116" s="216"/>
    </row>
    <row r="117" customFormat="false" ht="12.75" hidden="false" customHeight="true" outlineLevel="0" collapsed="false">
      <c r="A117" s="216"/>
      <c r="B117" s="216"/>
      <c r="C117" s="216"/>
      <c r="D117" s="216"/>
      <c r="E117" s="216"/>
      <c r="F117" s="216"/>
      <c r="G117" s="216"/>
      <c r="H117" s="216"/>
      <c r="I117" s="216"/>
      <c r="J117" s="216"/>
      <c r="K117" s="216"/>
      <c r="L117" s="216"/>
      <c r="M117" s="216"/>
      <c r="N117" s="216"/>
    </row>
    <row r="118" customFormat="false" ht="12.75" hidden="false" customHeight="true" outlineLevel="0" collapsed="false">
      <c r="A118" s="216"/>
      <c r="B118" s="216"/>
      <c r="C118" s="216"/>
      <c r="D118" s="216"/>
      <c r="E118" s="216"/>
      <c r="F118" s="216"/>
      <c r="G118" s="216"/>
      <c r="H118" s="216"/>
      <c r="I118" s="216"/>
      <c r="J118" s="216"/>
      <c r="K118" s="216"/>
      <c r="L118" s="216"/>
      <c r="M118" s="216"/>
      <c r="N118" s="216"/>
    </row>
    <row r="119" customFormat="false" ht="12.75" hidden="false" customHeight="true" outlineLevel="0" collapsed="false">
      <c r="A119" s="216"/>
      <c r="B119" s="216"/>
      <c r="C119" s="216"/>
      <c r="D119" s="216"/>
      <c r="E119" s="216"/>
      <c r="F119" s="216"/>
      <c r="G119" s="216"/>
      <c r="H119" s="216"/>
      <c r="I119" s="216"/>
      <c r="J119" s="216"/>
      <c r="K119" s="216"/>
      <c r="L119" s="216"/>
      <c r="M119" s="216"/>
      <c r="N119" s="216"/>
    </row>
    <row r="120" customFormat="false" ht="12.75" hidden="false" customHeight="true" outlineLevel="0" collapsed="false">
      <c r="A120" s="216"/>
      <c r="B120" s="216"/>
      <c r="C120" s="216"/>
      <c r="D120" s="216"/>
      <c r="E120" s="216"/>
      <c r="F120" s="216"/>
      <c r="G120" s="216"/>
      <c r="H120" s="216"/>
      <c r="I120" s="216"/>
      <c r="J120" s="216"/>
      <c r="K120" s="216"/>
      <c r="L120" s="216"/>
      <c r="M120" s="216"/>
      <c r="N120" s="216"/>
    </row>
    <row r="121" customFormat="false" ht="12.75" hidden="false" customHeight="true" outlineLevel="0" collapsed="false">
      <c r="A121" s="216"/>
      <c r="B121" s="216"/>
      <c r="C121" s="216"/>
      <c r="D121" s="216"/>
      <c r="E121" s="216"/>
      <c r="F121" s="216"/>
      <c r="G121" s="216"/>
      <c r="H121" s="216"/>
      <c r="I121" s="216"/>
      <c r="J121" s="216"/>
      <c r="K121" s="216"/>
      <c r="L121" s="216"/>
      <c r="M121" s="216"/>
      <c r="N121" s="216"/>
    </row>
    <row r="122" customFormat="false" ht="12.75" hidden="false" customHeight="true" outlineLevel="0" collapsed="false">
      <c r="A122" s="216"/>
      <c r="B122" s="216"/>
      <c r="C122" s="216"/>
      <c r="D122" s="216"/>
      <c r="E122" s="216"/>
      <c r="F122" s="216"/>
      <c r="G122" s="216"/>
      <c r="H122" s="216"/>
      <c r="I122" s="216"/>
      <c r="J122" s="216"/>
      <c r="K122" s="216"/>
      <c r="L122" s="216"/>
      <c r="M122" s="216"/>
      <c r="N122" s="216"/>
    </row>
    <row r="123" customFormat="false" ht="12.75" hidden="false" customHeight="true" outlineLevel="0" collapsed="false">
      <c r="A123" s="216"/>
      <c r="B123" s="216"/>
      <c r="C123" s="216"/>
      <c r="D123" s="216"/>
      <c r="E123" s="216"/>
      <c r="F123" s="216"/>
      <c r="G123" s="216"/>
      <c r="H123" s="216"/>
      <c r="I123" s="216"/>
      <c r="J123" s="216"/>
      <c r="K123" s="216"/>
      <c r="L123" s="216"/>
      <c r="M123" s="216"/>
      <c r="N123" s="216"/>
    </row>
    <row r="124" customFormat="false" ht="12.75" hidden="false" customHeight="true" outlineLevel="0" collapsed="false">
      <c r="A124" s="216"/>
      <c r="B124" s="216"/>
      <c r="C124" s="216"/>
      <c r="D124" s="216"/>
      <c r="E124" s="216"/>
      <c r="F124" s="216"/>
      <c r="G124" s="216"/>
      <c r="H124" s="216"/>
      <c r="I124" s="216"/>
      <c r="J124" s="216"/>
      <c r="K124" s="216"/>
      <c r="L124" s="216"/>
      <c r="M124" s="216"/>
      <c r="N124" s="216"/>
    </row>
    <row r="125" customFormat="false" ht="12.75" hidden="false" customHeight="true" outlineLevel="0" collapsed="false">
      <c r="A125" s="216"/>
      <c r="B125" s="216"/>
      <c r="C125" s="216"/>
      <c r="D125" s="216"/>
      <c r="E125" s="216"/>
      <c r="F125" s="216"/>
      <c r="G125" s="216"/>
      <c r="H125" s="216"/>
      <c r="I125" s="216"/>
      <c r="J125" s="216"/>
      <c r="K125" s="216"/>
      <c r="L125" s="216"/>
      <c r="M125" s="216"/>
      <c r="N125" s="216"/>
    </row>
    <row r="126" customFormat="false" ht="12.75" hidden="false" customHeight="true" outlineLevel="0" collapsed="false">
      <c r="A126" s="216"/>
      <c r="B126" s="216"/>
      <c r="C126" s="216"/>
      <c r="D126" s="216"/>
      <c r="E126" s="216"/>
      <c r="F126" s="216"/>
      <c r="G126" s="216"/>
      <c r="H126" s="216"/>
      <c r="I126" s="216"/>
      <c r="J126" s="216"/>
      <c r="K126" s="216"/>
      <c r="L126" s="216"/>
      <c r="M126" s="216"/>
      <c r="N126" s="216"/>
    </row>
    <row r="127" customFormat="false" ht="12.75" hidden="false" customHeight="true" outlineLevel="0" collapsed="false">
      <c r="A127" s="216"/>
      <c r="B127" s="216"/>
      <c r="C127" s="216"/>
      <c r="D127" s="216"/>
      <c r="E127" s="216"/>
      <c r="F127" s="216"/>
      <c r="G127" s="216"/>
      <c r="H127" s="216"/>
      <c r="I127" s="216"/>
      <c r="J127" s="216"/>
      <c r="K127" s="216"/>
      <c r="L127" s="216"/>
      <c r="M127" s="216"/>
      <c r="N127" s="216"/>
    </row>
    <row r="128" customFormat="false" ht="12.75" hidden="false" customHeight="true" outlineLevel="0" collapsed="false">
      <c r="A128" s="216"/>
      <c r="B128" s="216"/>
      <c r="C128" s="216"/>
      <c r="D128" s="216"/>
      <c r="E128" s="216"/>
      <c r="F128" s="216"/>
      <c r="G128" s="216"/>
      <c r="H128" s="216"/>
      <c r="I128" s="216"/>
      <c r="J128" s="216"/>
      <c r="K128" s="216"/>
      <c r="L128" s="216"/>
      <c r="M128" s="216"/>
      <c r="N128" s="216"/>
    </row>
    <row r="129" customFormat="false" ht="12.75" hidden="false" customHeight="true" outlineLevel="0" collapsed="false">
      <c r="A129" s="216"/>
      <c r="B129" s="216"/>
      <c r="C129" s="216"/>
      <c r="D129" s="216"/>
      <c r="E129" s="216"/>
      <c r="F129" s="216"/>
      <c r="G129" s="216"/>
      <c r="H129" s="216"/>
      <c r="I129" s="216"/>
      <c r="J129" s="216"/>
      <c r="K129" s="216"/>
      <c r="L129" s="216"/>
      <c r="M129" s="216"/>
      <c r="N129" s="216"/>
    </row>
    <row r="130" customFormat="false" ht="12.75" hidden="false" customHeight="true" outlineLevel="0" collapsed="false">
      <c r="A130" s="216"/>
      <c r="B130" s="216"/>
      <c r="C130" s="216"/>
      <c r="D130" s="216"/>
      <c r="E130" s="216"/>
      <c r="F130" s="216"/>
      <c r="G130" s="216"/>
      <c r="H130" s="216"/>
      <c r="I130" s="216"/>
      <c r="J130" s="216"/>
      <c r="K130" s="216"/>
      <c r="L130" s="216"/>
      <c r="M130" s="216"/>
      <c r="N130" s="216"/>
    </row>
    <row r="131" customFormat="false" ht="12.75" hidden="false" customHeight="true" outlineLevel="0" collapsed="false">
      <c r="A131" s="216"/>
      <c r="B131" s="216"/>
      <c r="C131" s="216"/>
      <c r="D131" s="216"/>
      <c r="E131" s="216"/>
      <c r="F131" s="216"/>
      <c r="G131" s="216"/>
      <c r="H131" s="216"/>
      <c r="I131" s="216"/>
      <c r="J131" s="216"/>
      <c r="K131" s="216"/>
      <c r="L131" s="216"/>
      <c r="M131" s="216"/>
      <c r="N131" s="216"/>
    </row>
    <row r="132" customFormat="false" ht="12.75" hidden="false" customHeight="true" outlineLevel="0" collapsed="false">
      <c r="A132" s="216"/>
      <c r="B132" s="216"/>
      <c r="C132" s="216"/>
      <c r="D132" s="216"/>
      <c r="E132" s="216"/>
      <c r="F132" s="216"/>
      <c r="G132" s="216"/>
      <c r="H132" s="216"/>
      <c r="I132" s="216"/>
      <c r="J132" s="216"/>
      <c r="K132" s="216"/>
      <c r="L132" s="216"/>
      <c r="M132" s="216"/>
      <c r="N132" s="216"/>
    </row>
    <row r="133" customFormat="false" ht="12.75" hidden="false" customHeight="true" outlineLevel="0" collapsed="false">
      <c r="A133" s="216"/>
      <c r="B133" s="216"/>
      <c r="C133" s="216"/>
      <c r="D133" s="216"/>
      <c r="E133" s="216"/>
      <c r="F133" s="216"/>
      <c r="G133" s="216"/>
      <c r="H133" s="216"/>
      <c r="I133" s="216"/>
      <c r="J133" s="216"/>
      <c r="K133" s="216"/>
      <c r="L133" s="216"/>
      <c r="M133" s="216"/>
      <c r="N133" s="216"/>
    </row>
    <row r="134" customFormat="false" ht="12.75" hidden="false" customHeight="true" outlineLevel="0" collapsed="false">
      <c r="A134" s="216"/>
      <c r="B134" s="216"/>
      <c r="C134" s="216"/>
      <c r="D134" s="216"/>
      <c r="E134" s="216"/>
      <c r="F134" s="216"/>
      <c r="G134" s="216"/>
      <c r="H134" s="216"/>
      <c r="I134" s="216"/>
      <c r="J134" s="216"/>
      <c r="K134" s="216"/>
      <c r="L134" s="216"/>
      <c r="M134" s="216"/>
      <c r="N134" s="216"/>
    </row>
    <row r="135" customFormat="false" ht="12.75" hidden="false" customHeight="true" outlineLevel="0" collapsed="false">
      <c r="A135" s="216"/>
      <c r="B135" s="216"/>
      <c r="C135" s="216"/>
      <c r="D135" s="216"/>
      <c r="E135" s="216"/>
      <c r="F135" s="216"/>
      <c r="G135" s="216"/>
      <c r="H135" s="216"/>
      <c r="I135" s="216"/>
      <c r="J135" s="216"/>
      <c r="K135" s="216"/>
      <c r="L135" s="216"/>
      <c r="M135" s="216"/>
      <c r="N135" s="216"/>
    </row>
    <row r="136" customFormat="false" ht="12.75" hidden="false" customHeight="true" outlineLevel="0" collapsed="false">
      <c r="A136" s="216"/>
      <c r="B136" s="216"/>
      <c r="C136" s="216"/>
      <c r="D136" s="216"/>
      <c r="E136" s="216"/>
      <c r="F136" s="216"/>
      <c r="G136" s="216"/>
      <c r="H136" s="216"/>
      <c r="I136" s="216"/>
      <c r="J136" s="216"/>
      <c r="K136" s="216"/>
      <c r="L136" s="216"/>
      <c r="M136" s="216"/>
      <c r="N136" s="216"/>
    </row>
    <row r="137" customFormat="false" ht="12.75" hidden="false" customHeight="true" outlineLevel="0" collapsed="false">
      <c r="A137" s="216"/>
      <c r="B137" s="216"/>
      <c r="C137" s="216"/>
      <c r="D137" s="216"/>
      <c r="E137" s="216"/>
      <c r="F137" s="216"/>
      <c r="G137" s="216"/>
      <c r="H137" s="216"/>
      <c r="I137" s="216"/>
      <c r="J137" s="216"/>
      <c r="K137" s="216"/>
      <c r="L137" s="216"/>
      <c r="M137" s="216"/>
      <c r="N137" s="216"/>
    </row>
    <row r="138" customFormat="false" ht="12.75" hidden="false" customHeight="true" outlineLevel="0" collapsed="false">
      <c r="A138" s="216"/>
      <c r="B138" s="216"/>
      <c r="C138" s="216"/>
      <c r="D138" s="216"/>
      <c r="E138" s="216"/>
      <c r="F138" s="216"/>
      <c r="G138" s="216"/>
      <c r="H138" s="216"/>
      <c r="I138" s="216"/>
      <c r="J138" s="216"/>
      <c r="K138" s="216"/>
      <c r="L138" s="216"/>
      <c r="M138" s="216"/>
      <c r="N138" s="216"/>
    </row>
    <row r="139" customFormat="false" ht="12.75" hidden="false" customHeight="true" outlineLevel="0" collapsed="false">
      <c r="A139" s="216"/>
      <c r="B139" s="216"/>
      <c r="C139" s="216"/>
      <c r="D139" s="216"/>
      <c r="E139" s="216"/>
      <c r="F139" s="216"/>
      <c r="G139" s="216"/>
      <c r="H139" s="216"/>
      <c r="I139" s="216"/>
      <c r="J139" s="216"/>
      <c r="K139" s="216"/>
      <c r="L139" s="216"/>
      <c r="M139" s="216"/>
      <c r="N139" s="216"/>
    </row>
    <row r="140" customFormat="false" ht="12.75" hidden="false" customHeight="true" outlineLevel="0" collapsed="false">
      <c r="A140" s="216"/>
      <c r="B140" s="216"/>
      <c r="C140" s="216"/>
      <c r="D140" s="216"/>
      <c r="E140" s="216"/>
      <c r="F140" s="216"/>
      <c r="G140" s="216"/>
      <c r="H140" s="216"/>
      <c r="I140" s="216"/>
      <c r="J140" s="216"/>
      <c r="K140" s="216"/>
      <c r="L140" s="216"/>
      <c r="M140" s="216"/>
      <c r="N140" s="216"/>
    </row>
    <row r="141" customFormat="false" ht="12.75" hidden="false" customHeight="true" outlineLevel="0" collapsed="false">
      <c r="A141" s="216"/>
      <c r="B141" s="216"/>
      <c r="C141" s="216"/>
      <c r="D141" s="216"/>
      <c r="E141" s="216"/>
      <c r="F141" s="216"/>
      <c r="G141" s="216"/>
      <c r="H141" s="216"/>
      <c r="I141" s="216"/>
      <c r="J141" s="216"/>
      <c r="K141" s="216"/>
      <c r="L141" s="216"/>
      <c r="M141" s="216"/>
      <c r="N141" s="216"/>
    </row>
    <row r="142" customFormat="false" ht="12.75" hidden="false" customHeight="true" outlineLevel="0" collapsed="false">
      <c r="A142" s="216"/>
      <c r="B142" s="216"/>
      <c r="C142" s="216"/>
      <c r="D142" s="216"/>
      <c r="E142" s="216"/>
      <c r="F142" s="216"/>
      <c r="G142" s="216"/>
      <c r="H142" s="216"/>
      <c r="I142" s="216"/>
      <c r="J142" s="216"/>
      <c r="K142" s="216"/>
      <c r="L142" s="216"/>
      <c r="M142" s="216"/>
      <c r="N142" s="216"/>
    </row>
    <row r="143" customFormat="false" ht="12.75" hidden="false" customHeight="true" outlineLevel="0" collapsed="false">
      <c r="A143" s="216"/>
      <c r="B143" s="216"/>
      <c r="C143" s="216"/>
      <c r="D143" s="216"/>
      <c r="E143" s="216"/>
      <c r="F143" s="216"/>
      <c r="G143" s="216"/>
      <c r="H143" s="216"/>
      <c r="I143" s="216"/>
      <c r="J143" s="216"/>
      <c r="K143" s="216"/>
      <c r="L143" s="216"/>
      <c r="M143" s="216"/>
      <c r="N143" s="216"/>
    </row>
    <row r="144" customFormat="false" ht="12.75" hidden="false" customHeight="true" outlineLevel="0" collapsed="false">
      <c r="A144" s="216"/>
      <c r="B144" s="216"/>
      <c r="C144" s="216"/>
      <c r="D144" s="216"/>
      <c r="E144" s="216"/>
      <c r="F144" s="216"/>
      <c r="G144" s="216"/>
      <c r="H144" s="216"/>
      <c r="I144" s="216"/>
      <c r="J144" s="216"/>
      <c r="K144" s="216"/>
      <c r="L144" s="216"/>
      <c r="M144" s="216"/>
      <c r="N144" s="216"/>
    </row>
  </sheetData>
  <mergeCells count="32">
    <mergeCell ref="A1:J1"/>
    <mergeCell ref="A3:K3"/>
    <mergeCell ref="A5:B5"/>
    <mergeCell ref="C5:F5"/>
    <mergeCell ref="A6:B6"/>
    <mergeCell ref="C6:F6"/>
    <mergeCell ref="A7:B7"/>
    <mergeCell ref="C7:F7"/>
    <mergeCell ref="A8:B8"/>
    <mergeCell ref="C8:F8"/>
    <mergeCell ref="A9:B9"/>
    <mergeCell ref="C9:I9"/>
    <mergeCell ref="A11:J11"/>
    <mergeCell ref="L11:R11"/>
    <mergeCell ref="T11:Z11"/>
    <mergeCell ref="D12:F12"/>
    <mergeCell ref="A31:J31"/>
    <mergeCell ref="L31:R31"/>
    <mergeCell ref="T31:Z31"/>
    <mergeCell ref="D32:F32"/>
    <mergeCell ref="A51:J51"/>
    <mergeCell ref="L51:R51"/>
    <mergeCell ref="T51:Z51"/>
    <mergeCell ref="D52:F52"/>
    <mergeCell ref="A70:J70"/>
    <mergeCell ref="L70:R70"/>
    <mergeCell ref="T70:Z70"/>
    <mergeCell ref="D71:F71"/>
    <mergeCell ref="A91:J91"/>
    <mergeCell ref="L91:R91"/>
    <mergeCell ref="T91:Z91"/>
    <mergeCell ref="D92:F92"/>
  </mergeCells>
  <conditionalFormatting sqref="J97">
    <cfRule type="dataBar" priority="2">
      <dataBar showValue="1" minLength="10" maxLength="90">
        <cfvo type="num" val="0"/>
        <cfvo type="num" val="1"/>
        <color rgb="FFB18192"/>
      </dataBar>
      <extLst>
        <ext xmlns:x14="http://schemas.microsoft.com/office/spreadsheetml/2009/9/main" uri="{B025F937-C7B1-47D3-B67F-A62EFF666E3E}">
          <x14:id>{E6A47EE8-C237-4D5D-8C39-00B85EE08DE5}</x14:id>
        </ext>
      </extLst>
    </cfRule>
    <cfRule type="dataBar" priority="3">
      <dataBar showValue="1" minLength="10" maxLength="90">
        <cfvo type="num" val="0"/>
        <cfvo type="num" val="1"/>
        <color rgb="FFB68898"/>
      </dataBar>
      <extLst>
        <ext xmlns:x14="http://schemas.microsoft.com/office/spreadsheetml/2009/9/main" uri="{B025F937-C7B1-47D3-B67F-A62EFF666E3E}">
          <x14:id>{F01FACF9-65C8-4DB3-AF38-D17FE4A3C84A}</x14:id>
        </ext>
      </extLst>
    </cfRule>
  </conditionalFormatting>
  <conditionalFormatting sqref="J76">
    <cfRule type="dataBar" priority="4">
      <dataBar showValue="1" minLength="10" maxLength="90">
        <cfvo type="num" val="0"/>
        <cfvo type="num" val="1"/>
        <color rgb="FFB18192"/>
      </dataBar>
      <extLst>
        <ext xmlns:x14="http://schemas.microsoft.com/office/spreadsheetml/2009/9/main" uri="{B025F937-C7B1-47D3-B67F-A62EFF666E3E}">
          <x14:id>{E7F6A86D-E215-4670-9725-793EA08BC500}</x14:id>
        </ext>
      </extLst>
    </cfRule>
    <cfRule type="dataBar" priority="5">
      <dataBar showValue="1" minLength="10" maxLength="90">
        <cfvo type="num" val="0"/>
        <cfvo type="num" val="1"/>
        <color rgb="FFB68898"/>
      </dataBar>
      <extLst>
        <ext xmlns:x14="http://schemas.microsoft.com/office/spreadsheetml/2009/9/main" uri="{B025F937-C7B1-47D3-B67F-A62EFF666E3E}">
          <x14:id>{48A69040-79A4-4E71-A919-1E6DFBE664D9}</x14:id>
        </ext>
      </extLst>
    </cfRule>
  </conditionalFormatting>
  <conditionalFormatting sqref="J57">
    <cfRule type="dataBar" priority="6">
      <dataBar showValue="1" minLength="10" maxLength="90">
        <cfvo type="num" val="0"/>
        <cfvo type="num" val="1"/>
        <color rgb="FFB18192"/>
      </dataBar>
      <extLst>
        <ext xmlns:x14="http://schemas.microsoft.com/office/spreadsheetml/2009/9/main" uri="{B025F937-C7B1-47D3-B67F-A62EFF666E3E}">
          <x14:id>{5F3D1029-16FB-4862-BC10-7E2D401D20E4}</x14:id>
        </ext>
      </extLst>
    </cfRule>
    <cfRule type="dataBar" priority="7">
      <dataBar showValue="1" minLength="10" maxLength="90">
        <cfvo type="num" val="0"/>
        <cfvo type="num" val="1"/>
        <color rgb="FFB68898"/>
      </dataBar>
      <extLst>
        <ext xmlns:x14="http://schemas.microsoft.com/office/spreadsheetml/2009/9/main" uri="{B025F937-C7B1-47D3-B67F-A62EFF666E3E}">
          <x14:id>{D18090F7-8F3D-4F28-8673-CA868D90466F}</x14:id>
        </ext>
      </extLst>
    </cfRule>
  </conditionalFormatting>
  <conditionalFormatting sqref="J37">
    <cfRule type="dataBar" priority="8">
      <dataBar showValue="1" minLength="10" maxLength="90">
        <cfvo type="num" val="0"/>
        <cfvo type="num" val="1"/>
        <color rgb="FFB18192"/>
      </dataBar>
      <extLst>
        <ext xmlns:x14="http://schemas.microsoft.com/office/spreadsheetml/2009/9/main" uri="{B025F937-C7B1-47D3-B67F-A62EFF666E3E}">
          <x14:id>{9260A8C3-8D00-45EB-AEBA-6AF087878116}</x14:id>
        </ext>
      </extLst>
    </cfRule>
    <cfRule type="dataBar" priority="9">
      <dataBar showValue="1" minLength="10" maxLength="90">
        <cfvo type="num" val="0"/>
        <cfvo type="num" val="1"/>
        <color rgb="FFB68898"/>
      </dataBar>
      <extLst>
        <ext xmlns:x14="http://schemas.microsoft.com/office/spreadsheetml/2009/9/main" uri="{B025F937-C7B1-47D3-B67F-A62EFF666E3E}">
          <x14:id>{3A989D7A-2FD8-463E-904E-AB705B59CAEE}</x14:id>
        </ext>
      </extLst>
    </cfRule>
  </conditionalFormatting>
  <conditionalFormatting sqref="J17">
    <cfRule type="dataBar" priority="10">
      <dataBar showValue="1" minLength="10" maxLength="90">
        <cfvo type="num" val="0"/>
        <cfvo type="num" val="1"/>
        <color rgb="FFB18192"/>
      </dataBar>
      <extLst>
        <ext xmlns:x14="http://schemas.microsoft.com/office/spreadsheetml/2009/9/main" uri="{B025F937-C7B1-47D3-B67F-A62EFF666E3E}">
          <x14:id>{C26E4B8F-5EF1-422F-8EBE-CC7639CADC2B}</x14:id>
        </ext>
      </extLst>
    </cfRule>
    <cfRule type="dataBar" priority="11">
      <dataBar showValue="1" minLength="10" maxLength="90">
        <cfvo type="num" val="0"/>
        <cfvo type="num" val="1"/>
        <color rgb="FFB68898"/>
      </dataBar>
      <extLst>
        <ext xmlns:x14="http://schemas.microsoft.com/office/spreadsheetml/2009/9/main" uri="{B025F937-C7B1-47D3-B67F-A62EFF666E3E}">
          <x14:id>{648698CF-CDB0-4D8D-83A4-90ADB5EDC740}</x14:id>
        </ext>
      </extLst>
    </cfRule>
  </conditionalFormatting>
  <conditionalFormatting sqref="D25:F25">
    <cfRule type="dataBar" priority="12">
      <dataBar showValue="1" minLength="10" maxLength="90">
        <cfvo type="num" val="0"/>
        <cfvo type="num" val="1"/>
        <color rgb="FFB68898"/>
      </dataBar>
      <extLst>
        <ext xmlns:x14="http://schemas.microsoft.com/office/spreadsheetml/2009/9/main" uri="{B025F937-C7B1-47D3-B67F-A62EFF666E3E}">
          <x14:id>{E5DE8AA1-E0B2-4C85-983C-26BEF8ABF3A3}</x14:id>
        </ext>
      </extLst>
    </cfRule>
  </conditionalFormatting>
  <conditionalFormatting sqref="D23:F25">
    <cfRule type="dataBar" priority="13">
      <dataBar showValue="1" minLength="10" maxLength="90">
        <cfvo type="num" val="0"/>
        <cfvo type="num" val="1"/>
        <color rgb="FFB18192"/>
      </dataBar>
      <extLst>
        <ext xmlns:x14="http://schemas.microsoft.com/office/spreadsheetml/2009/9/main" uri="{B025F937-C7B1-47D3-B67F-A62EFF666E3E}">
          <x14:id>{147E93C9-AE22-4CC4-9DE5-3885AAD94092}</x14:id>
        </ext>
      </extLst>
    </cfRule>
  </conditionalFormatting>
  <conditionalFormatting sqref="D23:F23">
    <cfRule type="dataBar" priority="14">
      <dataBar showValue="1" minLength="10" maxLength="90">
        <cfvo type="num" val="0"/>
        <cfvo type="num" val="1"/>
        <color rgb="FFB68898"/>
      </dataBar>
      <extLst>
        <ext xmlns:x14="http://schemas.microsoft.com/office/spreadsheetml/2009/9/main" uri="{B025F937-C7B1-47D3-B67F-A62EFF666E3E}">
          <x14:id>{C64C975E-9F1F-4119-9290-5E62D7D8BA2E}</x14:id>
        </ext>
      </extLst>
    </cfRule>
  </conditionalFormatting>
  <conditionalFormatting sqref="D45:F45">
    <cfRule type="dataBar" priority="15">
      <dataBar showValue="1" minLength="10" maxLength="90">
        <cfvo type="num" val="0"/>
        <cfvo type="num" val="1"/>
        <color rgb="FFB68898"/>
      </dataBar>
      <extLst>
        <ext xmlns:x14="http://schemas.microsoft.com/office/spreadsheetml/2009/9/main" uri="{B025F937-C7B1-47D3-B67F-A62EFF666E3E}">
          <x14:id>{91ED9BB4-458E-414F-AB54-B063FBFC2866}</x14:id>
        </ext>
      </extLst>
    </cfRule>
  </conditionalFormatting>
  <conditionalFormatting sqref="D43:F45">
    <cfRule type="dataBar" priority="16">
      <dataBar showValue="1" minLength="10" maxLength="90">
        <cfvo type="num" val="0"/>
        <cfvo type="num" val="1"/>
        <color rgb="FFB18192"/>
      </dataBar>
      <extLst>
        <ext xmlns:x14="http://schemas.microsoft.com/office/spreadsheetml/2009/9/main" uri="{B025F937-C7B1-47D3-B67F-A62EFF666E3E}">
          <x14:id>{D64CE022-105E-459A-AC63-1997A0A86761}</x14:id>
        </ext>
      </extLst>
    </cfRule>
  </conditionalFormatting>
  <conditionalFormatting sqref="D43:F43">
    <cfRule type="dataBar" priority="17">
      <dataBar showValue="1" minLength="10" maxLength="90">
        <cfvo type="num" val="0"/>
        <cfvo type="num" val="1"/>
        <color rgb="FFB68898"/>
      </dataBar>
      <extLst>
        <ext xmlns:x14="http://schemas.microsoft.com/office/spreadsheetml/2009/9/main" uri="{B025F937-C7B1-47D3-B67F-A62EFF666E3E}">
          <x14:id>{94DF5813-1168-4C24-A9E7-307C4CD3788C}</x14:id>
        </ext>
      </extLst>
    </cfRule>
  </conditionalFormatting>
  <conditionalFormatting sqref="D65:F65">
    <cfRule type="dataBar" priority="18">
      <dataBar showValue="1" minLength="10" maxLength="90">
        <cfvo type="num" val="0"/>
        <cfvo type="num" val="1"/>
        <color rgb="FFB68898"/>
      </dataBar>
      <extLst>
        <ext xmlns:x14="http://schemas.microsoft.com/office/spreadsheetml/2009/9/main" uri="{B025F937-C7B1-47D3-B67F-A62EFF666E3E}">
          <x14:id>{82AFBAF7-60A4-4E2B-A873-90ADA8385586}</x14:id>
        </ext>
      </extLst>
    </cfRule>
  </conditionalFormatting>
  <conditionalFormatting sqref="D63:F65">
    <cfRule type="dataBar" priority="19">
      <dataBar showValue="1" minLength="10" maxLength="90">
        <cfvo type="num" val="0"/>
        <cfvo type="num" val="1"/>
        <color rgb="FFB18192"/>
      </dataBar>
      <extLst>
        <ext xmlns:x14="http://schemas.microsoft.com/office/spreadsheetml/2009/9/main" uri="{B025F937-C7B1-47D3-B67F-A62EFF666E3E}">
          <x14:id>{FCB01F92-FA47-4056-BA27-1DDC8EB77F5E}</x14:id>
        </ext>
      </extLst>
    </cfRule>
  </conditionalFormatting>
  <conditionalFormatting sqref="D63:F63">
    <cfRule type="dataBar" priority="20">
      <dataBar showValue="1" minLength="10" maxLength="90">
        <cfvo type="num" val="0"/>
        <cfvo type="num" val="1"/>
        <color rgb="FFB68898"/>
      </dataBar>
      <extLst>
        <ext xmlns:x14="http://schemas.microsoft.com/office/spreadsheetml/2009/9/main" uri="{B025F937-C7B1-47D3-B67F-A62EFF666E3E}">
          <x14:id>{B9E0B1ED-FF97-413E-807B-8CCABBF0AF4A}</x14:id>
        </ext>
      </extLst>
    </cfRule>
  </conditionalFormatting>
  <conditionalFormatting sqref="D84:F84">
    <cfRule type="dataBar" priority="21">
      <dataBar showValue="1" minLength="10" maxLength="90">
        <cfvo type="num" val="0"/>
        <cfvo type="num" val="1"/>
        <color rgb="FFB68898"/>
      </dataBar>
      <extLst>
        <ext xmlns:x14="http://schemas.microsoft.com/office/spreadsheetml/2009/9/main" uri="{B025F937-C7B1-47D3-B67F-A62EFF666E3E}">
          <x14:id>{CBB0C079-20AE-40E5-8318-D6EAD28FDC75}</x14:id>
        </ext>
      </extLst>
    </cfRule>
  </conditionalFormatting>
  <conditionalFormatting sqref="D82:F84">
    <cfRule type="dataBar" priority="22">
      <dataBar showValue="1" minLength="10" maxLength="90">
        <cfvo type="num" val="0"/>
        <cfvo type="num" val="1"/>
        <color rgb="FFB18192"/>
      </dataBar>
      <extLst>
        <ext xmlns:x14="http://schemas.microsoft.com/office/spreadsheetml/2009/9/main" uri="{B025F937-C7B1-47D3-B67F-A62EFF666E3E}">
          <x14:id>{EAB28BF2-A0D5-4BCD-A628-C3FBA8F0B5F6}</x14:id>
        </ext>
      </extLst>
    </cfRule>
  </conditionalFormatting>
  <conditionalFormatting sqref="D82:F82">
    <cfRule type="dataBar" priority="23">
      <dataBar showValue="1" minLength="10" maxLength="90">
        <cfvo type="num" val="0"/>
        <cfvo type="num" val="1"/>
        <color rgb="FFB68898"/>
      </dataBar>
      <extLst>
        <ext xmlns:x14="http://schemas.microsoft.com/office/spreadsheetml/2009/9/main" uri="{B025F937-C7B1-47D3-B67F-A62EFF666E3E}">
          <x14:id>{7E38B61A-5419-4679-AECD-8EE853DB9222}</x14:id>
        </ext>
      </extLst>
    </cfRule>
  </conditionalFormatting>
  <conditionalFormatting sqref="D106:F108">
    <cfRule type="dataBar" priority="24">
      <dataBar showValue="1" minLength="10" maxLength="90">
        <cfvo type="num" val="0"/>
        <cfvo type="num" val="3"/>
        <color rgb="FF929A9A"/>
      </dataBar>
      <extLst>
        <ext xmlns:x14="http://schemas.microsoft.com/office/spreadsheetml/2009/9/main" uri="{B025F937-C7B1-47D3-B67F-A62EFF666E3E}">
          <x14:id>{30C7CF80-406E-4029-94CE-B8F62E9020B8}</x14:id>
        </ext>
      </extLst>
    </cfRule>
  </conditionalFormatting>
  <conditionalFormatting sqref="J98">
    <cfRule type="dataBar" priority="25">
      <dataBar showValue="1" minLength="10" maxLength="90">
        <cfvo type="num" val="0"/>
        <cfvo type="num" val="3"/>
        <color rgb="FF929A9A"/>
      </dataBar>
      <extLst>
        <ext xmlns:x14="http://schemas.microsoft.com/office/spreadsheetml/2009/9/main" uri="{B025F937-C7B1-47D3-B67F-A62EFF666E3E}">
          <x14:id>{A3F87E6B-36B0-4331-BD5F-D48E38E21280}</x14:id>
        </ext>
      </extLst>
    </cfRule>
  </conditionalFormatting>
  <conditionalFormatting sqref="J78">
    <cfRule type="dataBar" priority="26">
      <dataBar showValue="1" minLength="10" maxLength="90">
        <cfvo type="num" val="0"/>
        <cfvo type="num" val="3"/>
        <color rgb="FF929B9B"/>
      </dataBar>
      <extLst>
        <ext xmlns:x14="http://schemas.microsoft.com/office/spreadsheetml/2009/9/main" uri="{B025F937-C7B1-47D3-B67F-A62EFF666E3E}">
          <x14:id>{662558CF-6F1B-4897-B490-FCB4309B32D4}</x14:id>
        </ext>
      </extLst>
    </cfRule>
  </conditionalFormatting>
  <conditionalFormatting sqref="L77:L79 J77">
    <cfRule type="dataBar" priority="27">
      <dataBar showValue="1" minLength="10" maxLength="90">
        <cfvo type="num" val="0"/>
        <cfvo type="num" val="3"/>
        <color rgb="FF929A9A"/>
      </dataBar>
      <extLst>
        <ext xmlns:x14="http://schemas.microsoft.com/office/spreadsheetml/2009/9/main" uri="{B025F937-C7B1-47D3-B67F-A62EFF666E3E}">
          <x14:id>{A68E5A70-DE77-4342-9040-9FDCB9CFD96A}</x14:id>
        </ext>
      </extLst>
    </cfRule>
  </conditionalFormatting>
  <conditionalFormatting sqref="D85:F87">
    <cfRule type="dataBar" priority="28">
      <dataBar showValue="1" minLength="10" maxLength="90">
        <cfvo type="num" val="0"/>
        <cfvo type="num" val="3"/>
        <color rgb="FF929A9A"/>
      </dataBar>
      <extLst>
        <ext xmlns:x14="http://schemas.microsoft.com/office/spreadsheetml/2009/9/main" uri="{B025F937-C7B1-47D3-B67F-A62EFF666E3E}">
          <x14:id>{7718F34A-41C2-47D8-B83D-9AE3D34B23DB}</x14:id>
        </ext>
      </extLst>
    </cfRule>
  </conditionalFormatting>
  <conditionalFormatting sqref="D66:F68">
    <cfRule type="dataBar" priority="29">
      <dataBar showValue="1" minLength="10" maxLength="90">
        <cfvo type="num" val="0"/>
        <cfvo type="num" val="3"/>
        <color rgb="FF929A9A"/>
      </dataBar>
      <extLst>
        <ext xmlns:x14="http://schemas.microsoft.com/office/spreadsheetml/2009/9/main" uri="{B025F937-C7B1-47D3-B67F-A62EFF666E3E}">
          <x14:id>{C956F796-B2A4-4EE5-BA95-E8CC17BBE73C}</x14:id>
        </ext>
      </extLst>
    </cfRule>
  </conditionalFormatting>
  <conditionalFormatting sqref="J58">
    <cfRule type="dataBar" priority="30">
      <dataBar showValue="1" minLength="10" maxLength="90">
        <cfvo type="num" val="0"/>
        <cfvo type="num" val="3"/>
        <color rgb="FF929A9A"/>
      </dataBar>
      <extLst>
        <ext xmlns:x14="http://schemas.microsoft.com/office/spreadsheetml/2009/9/main" uri="{B025F937-C7B1-47D3-B67F-A62EFF666E3E}">
          <x14:id>{A9DC5F7D-4182-45DA-BE83-2ED9F446E080}</x14:id>
        </ext>
      </extLst>
    </cfRule>
  </conditionalFormatting>
  <conditionalFormatting sqref="J39">
    <cfRule type="dataBar" priority="31">
      <dataBar showValue="1" minLength="10" maxLength="90">
        <cfvo type="num" val="0"/>
        <cfvo type="num" val="3"/>
        <color rgb="FF929B9B"/>
      </dataBar>
      <extLst>
        <ext xmlns:x14="http://schemas.microsoft.com/office/spreadsheetml/2009/9/main" uri="{B025F937-C7B1-47D3-B67F-A62EFF666E3E}">
          <x14:id>{C17456CD-286C-4F7C-A24A-3E6772D1A66B}</x14:id>
        </ext>
      </extLst>
    </cfRule>
  </conditionalFormatting>
  <conditionalFormatting sqref="L38:L40 J38">
    <cfRule type="dataBar" priority="32">
      <dataBar showValue="1" minLength="10" maxLength="90">
        <cfvo type="num" val="0"/>
        <cfvo type="num" val="3"/>
        <color rgb="FF929A9A"/>
      </dataBar>
      <extLst>
        <ext xmlns:x14="http://schemas.microsoft.com/office/spreadsheetml/2009/9/main" uri="{B025F937-C7B1-47D3-B67F-A62EFF666E3E}">
          <x14:id>{B713E1F2-AE5E-4BF7-8F22-178D6FF48AD1}</x14:id>
        </ext>
      </extLst>
    </cfRule>
  </conditionalFormatting>
  <conditionalFormatting sqref="D46:F48">
    <cfRule type="dataBar" priority="33">
      <dataBar showValue="1" minLength="10" maxLength="90">
        <cfvo type="num" val="0"/>
        <cfvo type="num" val="3"/>
        <color rgb="FF929A9A"/>
      </dataBar>
      <extLst>
        <ext xmlns:x14="http://schemas.microsoft.com/office/spreadsheetml/2009/9/main" uri="{B025F937-C7B1-47D3-B67F-A62EFF666E3E}">
          <x14:id>{93109AF3-873A-4B67-AB23-6020BD6FFDC0}</x14:id>
        </ext>
      </extLst>
    </cfRule>
  </conditionalFormatting>
  <conditionalFormatting sqref="D26:F28">
    <cfRule type="dataBar" priority="34">
      <dataBar showValue="1" minLength="10" maxLength="90">
        <cfvo type="num" val="0"/>
        <cfvo type="num" val="3"/>
        <color rgb="FF929A9A"/>
      </dataBar>
      <extLst>
        <ext xmlns:x14="http://schemas.microsoft.com/office/spreadsheetml/2009/9/main" uri="{B025F937-C7B1-47D3-B67F-A62EFF666E3E}">
          <x14:id>{3C7FB110-154D-4400-B88D-FB898C3A254C}</x14:id>
        </ext>
      </extLst>
    </cfRule>
  </conditionalFormatting>
  <conditionalFormatting sqref="J99">
    <cfRule type="dataBar" priority="35">
      <dataBar showValue="1" minLength="10" maxLength="90">
        <cfvo type="num" val="0"/>
        <cfvo type="num" val="3"/>
        <color rgb="FF929B9B"/>
      </dataBar>
      <extLst>
        <ext xmlns:x14="http://schemas.microsoft.com/office/spreadsheetml/2009/9/main" uri="{B025F937-C7B1-47D3-B67F-A62EFF666E3E}">
          <x14:id>{E0B9DE6C-60D1-4ED6-8DA4-3E2BF09C9F50}</x14:id>
        </ext>
      </extLst>
    </cfRule>
  </conditionalFormatting>
  <conditionalFormatting sqref="J59">
    <cfRule type="dataBar" priority="36">
      <dataBar showValue="1" minLength="10" maxLength="90">
        <cfvo type="num" val="0"/>
        <cfvo type="num" val="3"/>
        <color rgb="FF929B9B"/>
      </dataBar>
      <extLst>
        <ext xmlns:x14="http://schemas.microsoft.com/office/spreadsheetml/2009/9/main" uri="{B025F937-C7B1-47D3-B67F-A62EFF666E3E}">
          <x14:id>{67C7D546-AB86-4D4B-A6DB-E2E63C8B3354}</x14:id>
        </ext>
      </extLst>
    </cfRule>
  </conditionalFormatting>
  <conditionalFormatting sqref="J18">
    <cfRule type="dataBar" priority="37">
      <dataBar showValue="1" minLength="10" maxLength="90">
        <cfvo type="num" val="0"/>
        <cfvo type="num" val="3"/>
        <color rgb="FF929A9A"/>
      </dataBar>
      <extLst>
        <ext xmlns:x14="http://schemas.microsoft.com/office/spreadsheetml/2009/9/main" uri="{B025F937-C7B1-47D3-B67F-A62EFF666E3E}">
          <x14:id>{67F7F05B-84F6-48EE-A32E-4EBA4B8F7A90}</x14:id>
        </ext>
      </extLst>
    </cfRule>
  </conditionalFormatting>
  <conditionalFormatting sqref="D105:F105">
    <cfRule type="dataBar" priority="38">
      <dataBar showValue="1" minLength="10" maxLength="90">
        <cfvo type="num" val="0"/>
        <cfvo type="num" val="1"/>
        <color rgb="FFB68898"/>
      </dataBar>
      <extLst>
        <ext xmlns:x14="http://schemas.microsoft.com/office/spreadsheetml/2009/9/main" uri="{B025F937-C7B1-47D3-B67F-A62EFF666E3E}">
          <x14:id>{FD19F739-FE13-414C-ADDF-CD4B40D4D042}</x14:id>
        </ext>
      </extLst>
    </cfRule>
  </conditionalFormatting>
  <conditionalFormatting sqref="D103:F105">
    <cfRule type="dataBar" priority="39">
      <dataBar showValue="1" minLength="10" maxLength="90">
        <cfvo type="num" val="0"/>
        <cfvo type="num" val="1"/>
        <color rgb="FFB18192"/>
      </dataBar>
      <extLst>
        <ext xmlns:x14="http://schemas.microsoft.com/office/spreadsheetml/2009/9/main" uri="{B025F937-C7B1-47D3-B67F-A62EFF666E3E}">
          <x14:id>{A9B7CAA0-F0A4-447F-9CEB-D863F77C8024}</x14:id>
        </ext>
      </extLst>
    </cfRule>
  </conditionalFormatting>
  <conditionalFormatting sqref="D103:F103">
    <cfRule type="dataBar" priority="40">
      <dataBar showValue="1" minLength="10" maxLength="90">
        <cfvo type="num" val="0"/>
        <cfvo type="num" val="1"/>
        <color rgb="FFB68898"/>
      </dataBar>
      <extLst>
        <ext xmlns:x14="http://schemas.microsoft.com/office/spreadsheetml/2009/9/main" uri="{B025F937-C7B1-47D3-B67F-A62EFF666E3E}">
          <x14:id>{30205C86-32B8-4FF0-8840-C73AF539BE89}</x14:id>
        </ext>
      </extLst>
    </cfRule>
  </conditionalFormatting>
  <conditionalFormatting sqref="D102:F102">
    <cfRule type="dataBar" priority="41">
      <dataBar showValue="1" minLength="10" maxLength="90">
        <cfvo type="num" val="0"/>
        <cfvo type="num" val="1"/>
        <color rgb="FF7FBE5D"/>
      </dataBar>
      <extLst>
        <ext xmlns:x14="http://schemas.microsoft.com/office/spreadsheetml/2009/9/main" uri="{B025F937-C7B1-47D3-B67F-A62EFF666E3E}">
          <x14:id>{F0324044-C139-4055-BBFE-ADB3B7EB7AE5}</x14:id>
        </ext>
      </extLst>
    </cfRule>
  </conditionalFormatting>
  <conditionalFormatting sqref="D101:F101">
    <cfRule type="dataBar" priority="42">
      <dataBar showValue="1" minLength="10" maxLength="90">
        <cfvo type="num" val="0"/>
        <cfvo type="num" val="1"/>
        <color rgb="FF7FBE5D"/>
      </dataBar>
      <extLst>
        <ext xmlns:x14="http://schemas.microsoft.com/office/spreadsheetml/2009/9/main" uri="{B025F937-C7B1-47D3-B67F-A62EFF666E3E}">
          <x14:id>{4C31BB2D-645A-4098-9C80-A2A459FCF030}</x14:id>
        </ext>
      </extLst>
    </cfRule>
  </conditionalFormatting>
  <conditionalFormatting sqref="D100:F100">
    <cfRule type="dataBar" priority="43">
      <dataBar showValue="1" minLength="10" maxLength="90">
        <cfvo type="num" val="0"/>
        <cfvo type="num" val="1"/>
        <color rgb="FF7FBE5D"/>
      </dataBar>
      <extLst>
        <ext xmlns:x14="http://schemas.microsoft.com/office/spreadsheetml/2009/9/main" uri="{B025F937-C7B1-47D3-B67F-A62EFF666E3E}">
          <x14:id>{7F4DD178-75F2-4895-BCF7-DE2874151D80}</x14:id>
        </ext>
      </extLst>
    </cfRule>
  </conditionalFormatting>
  <conditionalFormatting sqref="D99:F99">
    <cfRule type="dataBar" priority="44">
      <dataBar showValue="1" minLength="10" maxLength="90">
        <cfvo type="num" val="0"/>
        <cfvo type="num" val="1"/>
        <color rgb="FFFF8C35"/>
      </dataBar>
      <extLst>
        <ext xmlns:x14="http://schemas.microsoft.com/office/spreadsheetml/2009/9/main" uri="{B025F937-C7B1-47D3-B67F-A62EFF666E3E}">
          <x14:id>{F4F32090-5BBD-42BA-9A89-CC63D262A3C7}</x14:id>
        </ext>
      </extLst>
    </cfRule>
  </conditionalFormatting>
  <conditionalFormatting sqref="D98:F98">
    <cfRule type="dataBar" priority="45">
      <dataBar showValue="1" minLength="10" maxLength="90">
        <cfvo type="num" val="0"/>
        <cfvo type="num" val="1"/>
        <color rgb="FFFF8C35"/>
      </dataBar>
      <extLst>
        <ext xmlns:x14="http://schemas.microsoft.com/office/spreadsheetml/2009/9/main" uri="{B025F937-C7B1-47D3-B67F-A62EFF666E3E}">
          <x14:id>{ED612989-1036-4830-8893-33DD76E58016}</x14:id>
        </ext>
      </extLst>
    </cfRule>
  </conditionalFormatting>
  <conditionalFormatting sqref="D97:F97">
    <cfRule type="dataBar" priority="46">
      <dataBar showValue="1" minLength="10" maxLength="90">
        <cfvo type="num" val="0"/>
        <cfvo type="num" val="1"/>
        <color rgb="FFFF8C35"/>
      </dataBar>
      <extLst>
        <ext xmlns:x14="http://schemas.microsoft.com/office/spreadsheetml/2009/9/main" uri="{B025F937-C7B1-47D3-B67F-A62EFF666E3E}">
          <x14:id>{EBB42288-A5FC-49AB-85BA-DA6F265E724F}</x14:id>
        </ext>
      </extLst>
    </cfRule>
  </conditionalFormatting>
  <conditionalFormatting sqref="D96:F96">
    <cfRule type="dataBar" priority="47">
      <dataBar showValue="1" minLength="10" maxLength="90">
        <cfvo type="num" val="0"/>
        <cfvo type="num" val="1"/>
        <color rgb="FF839DB5"/>
      </dataBar>
      <extLst>
        <ext xmlns:x14="http://schemas.microsoft.com/office/spreadsheetml/2009/9/main" uri="{B025F937-C7B1-47D3-B67F-A62EFF666E3E}">
          <x14:id>{DB2EF2DB-2BFA-41A7-80D4-F032A41350F1}</x14:id>
        </ext>
      </extLst>
    </cfRule>
  </conditionalFormatting>
  <conditionalFormatting sqref="D81:F81">
    <cfRule type="dataBar" priority="48">
      <dataBar showValue="1" minLength="10" maxLength="90">
        <cfvo type="num" val="0"/>
        <cfvo type="num" val="1"/>
        <color rgb="FF7FBE5D"/>
      </dataBar>
      <extLst>
        <ext xmlns:x14="http://schemas.microsoft.com/office/spreadsheetml/2009/9/main" uri="{B025F937-C7B1-47D3-B67F-A62EFF666E3E}">
          <x14:id>{121C717A-10D6-421D-B2D5-BE2EE0745BD0}</x14:id>
        </ext>
      </extLst>
    </cfRule>
  </conditionalFormatting>
  <conditionalFormatting sqref="D80:F80">
    <cfRule type="dataBar" priority="49">
      <dataBar showValue="1" minLength="10" maxLength="90">
        <cfvo type="num" val="0"/>
        <cfvo type="num" val="1"/>
        <color rgb="FF7FBE5D"/>
      </dataBar>
      <extLst>
        <ext xmlns:x14="http://schemas.microsoft.com/office/spreadsheetml/2009/9/main" uri="{B025F937-C7B1-47D3-B67F-A62EFF666E3E}">
          <x14:id>{1BC11283-6775-4034-98AA-8C534C894EBA}</x14:id>
        </ext>
      </extLst>
    </cfRule>
  </conditionalFormatting>
  <conditionalFormatting sqref="D79:F79">
    <cfRule type="dataBar" priority="50">
      <dataBar showValue="1" minLength="10" maxLength="90">
        <cfvo type="num" val="0"/>
        <cfvo type="num" val="1"/>
        <color rgb="FF7FBE5D"/>
      </dataBar>
      <extLst>
        <ext xmlns:x14="http://schemas.microsoft.com/office/spreadsheetml/2009/9/main" uri="{B025F937-C7B1-47D3-B67F-A62EFF666E3E}">
          <x14:id>{DCEBC2A4-D9A0-4F32-BAFA-90F578805EA1}</x14:id>
        </ext>
      </extLst>
    </cfRule>
  </conditionalFormatting>
  <conditionalFormatting sqref="D78:F78">
    <cfRule type="dataBar" priority="51">
      <dataBar showValue="1" minLength="10" maxLength="90">
        <cfvo type="num" val="0"/>
        <cfvo type="num" val="1"/>
        <color rgb="FFFF8C35"/>
      </dataBar>
      <extLst>
        <ext xmlns:x14="http://schemas.microsoft.com/office/spreadsheetml/2009/9/main" uri="{B025F937-C7B1-47D3-B67F-A62EFF666E3E}">
          <x14:id>{59A34A34-813D-41AE-93E0-AA10863748F3}</x14:id>
        </ext>
      </extLst>
    </cfRule>
  </conditionalFormatting>
  <conditionalFormatting sqref="D77:F77">
    <cfRule type="dataBar" priority="52">
      <dataBar showValue="1" minLength="10" maxLength="90">
        <cfvo type="num" val="0"/>
        <cfvo type="num" val="1"/>
        <color rgb="FFFF8C35"/>
      </dataBar>
      <extLst>
        <ext xmlns:x14="http://schemas.microsoft.com/office/spreadsheetml/2009/9/main" uri="{B025F937-C7B1-47D3-B67F-A62EFF666E3E}">
          <x14:id>{18E96134-C42E-4446-8DEE-2B5242AE3FDF}</x14:id>
        </ext>
      </extLst>
    </cfRule>
  </conditionalFormatting>
  <conditionalFormatting sqref="D76:F76">
    <cfRule type="dataBar" priority="53">
      <dataBar showValue="1" minLength="10" maxLength="90">
        <cfvo type="num" val="0"/>
        <cfvo type="num" val="1"/>
        <color rgb="FFFF8C35"/>
      </dataBar>
      <extLst>
        <ext xmlns:x14="http://schemas.microsoft.com/office/spreadsheetml/2009/9/main" uri="{B025F937-C7B1-47D3-B67F-A62EFF666E3E}">
          <x14:id>{D0386622-6076-4BC7-8B61-BFCF81AB6DFA}</x14:id>
        </ext>
      </extLst>
    </cfRule>
  </conditionalFormatting>
  <conditionalFormatting sqref="D75:F75">
    <cfRule type="dataBar" priority="54">
      <dataBar showValue="1" minLength="10" maxLength="90">
        <cfvo type="num" val="0"/>
        <cfvo type="num" val="1"/>
        <color rgb="FF839DB5"/>
      </dataBar>
      <extLst>
        <ext xmlns:x14="http://schemas.microsoft.com/office/spreadsheetml/2009/9/main" uri="{B025F937-C7B1-47D3-B67F-A62EFF666E3E}">
          <x14:id>{9A8A4C33-5CC4-4627-B87B-646D15EA45FD}</x14:id>
        </ext>
      </extLst>
    </cfRule>
  </conditionalFormatting>
  <conditionalFormatting sqref="D56:F56">
    <cfRule type="dataBar" priority="55">
      <dataBar showValue="1" minLength="10" maxLength="90">
        <cfvo type="num" val="0"/>
        <cfvo type="num" val="1"/>
        <color rgb="FF839DB5"/>
      </dataBar>
      <extLst>
        <ext xmlns:x14="http://schemas.microsoft.com/office/spreadsheetml/2009/9/main" uri="{B025F937-C7B1-47D3-B67F-A62EFF666E3E}">
          <x14:id>{CE8C26F5-73FD-433C-9582-44AEB459C846}</x14:id>
        </ext>
      </extLst>
    </cfRule>
  </conditionalFormatting>
  <conditionalFormatting sqref="D57:F59">
    <cfRule type="dataBar" priority="56">
      <dataBar showValue="1" minLength="10" maxLength="90">
        <cfvo type="num" val="0"/>
        <cfvo type="num" val="1"/>
        <color rgb="FFFF8C35"/>
      </dataBar>
      <extLst>
        <ext xmlns:x14="http://schemas.microsoft.com/office/spreadsheetml/2009/9/main" uri="{B025F937-C7B1-47D3-B67F-A62EFF666E3E}">
          <x14:id>{4C64385F-5DC7-4A38-B13A-CE8FD658151B}</x14:id>
        </ext>
      </extLst>
    </cfRule>
  </conditionalFormatting>
  <conditionalFormatting sqref="D60:F62">
    <cfRule type="dataBar" priority="57">
      <dataBar showValue="1" minLength="10" maxLength="90">
        <cfvo type="num" val="0"/>
        <cfvo type="num" val="1"/>
        <color rgb="FF7FBE5D"/>
      </dataBar>
      <extLst>
        <ext xmlns:x14="http://schemas.microsoft.com/office/spreadsheetml/2009/9/main" uri="{B025F937-C7B1-47D3-B67F-A62EFF666E3E}">
          <x14:id>{4192D550-C3BB-4EDE-B280-9DD2DEC52F50}</x14:id>
        </ext>
      </extLst>
    </cfRule>
  </conditionalFormatting>
  <conditionalFormatting sqref="D54:F55">
    <cfRule type="dataBar" priority="58">
      <dataBar showValue="1" minLength="10" maxLength="90">
        <cfvo type="num" val="0"/>
        <cfvo type="num" val="1"/>
        <color rgb="FF839DB5"/>
      </dataBar>
      <extLst>
        <ext xmlns:x14="http://schemas.microsoft.com/office/spreadsheetml/2009/9/main" uri="{B025F937-C7B1-47D3-B67F-A62EFF666E3E}">
          <x14:id>{A93C702C-F2F9-42B3-912C-AB1CBE8D80E8}</x14:id>
        </ext>
      </extLst>
    </cfRule>
  </conditionalFormatting>
  <conditionalFormatting sqref="J96">
    <cfRule type="dataBar" priority="59">
      <dataBar showValue="1" minLength="10" maxLength="90">
        <cfvo type="num" val="0"/>
        <cfvo type="num" val="3"/>
        <color rgb="FF7FBE5D"/>
      </dataBar>
      <extLst>
        <ext xmlns:x14="http://schemas.microsoft.com/office/spreadsheetml/2009/9/main" uri="{B025F937-C7B1-47D3-B67F-A62EFF666E3E}">
          <x14:id>{47FAF650-E928-4A19-B132-4B2FC46C6265}</x14:id>
        </ext>
      </extLst>
    </cfRule>
  </conditionalFormatting>
  <conditionalFormatting sqref="J95">
    <cfRule type="dataBar" priority="60">
      <dataBar showValue="1" minLength="10" maxLength="90">
        <cfvo type="num" val="0"/>
        <cfvo type="num" val="3"/>
        <color rgb="FFFF8C35"/>
      </dataBar>
      <extLst>
        <ext xmlns:x14="http://schemas.microsoft.com/office/spreadsheetml/2009/9/main" uri="{B025F937-C7B1-47D3-B67F-A62EFF666E3E}">
          <x14:id>{B29229F0-16D4-4739-8A2E-18279839E15A}</x14:id>
        </ext>
      </extLst>
    </cfRule>
  </conditionalFormatting>
  <conditionalFormatting sqref="J94">
    <cfRule type="dataBar" priority="61">
      <dataBar showValue="1" minLength="10" maxLength="90">
        <cfvo type="num" val="0"/>
        <cfvo type="num" val="3"/>
        <color rgb="FF839DB5"/>
      </dataBar>
      <extLst>
        <ext xmlns:x14="http://schemas.microsoft.com/office/spreadsheetml/2009/9/main" uri="{B025F937-C7B1-47D3-B67F-A62EFF666E3E}">
          <x14:id>{D214FD84-8184-422A-96D0-BC5970DC4A1E}</x14:id>
        </ext>
      </extLst>
    </cfRule>
  </conditionalFormatting>
  <conditionalFormatting sqref="J75">
    <cfRule type="dataBar" priority="62">
      <dataBar showValue="1" minLength="10" maxLength="90">
        <cfvo type="num" val="0"/>
        <cfvo type="num" val="3"/>
        <color rgb="FF7FBE5D"/>
      </dataBar>
      <extLst>
        <ext xmlns:x14="http://schemas.microsoft.com/office/spreadsheetml/2009/9/main" uri="{B025F937-C7B1-47D3-B67F-A62EFF666E3E}">
          <x14:id>{2316FE8B-AFB0-4F1A-B347-E97BA1857D9D}</x14:id>
        </ext>
      </extLst>
    </cfRule>
  </conditionalFormatting>
  <conditionalFormatting sqref="J74">
    <cfRule type="dataBar" priority="63">
      <dataBar showValue="1" minLength="10" maxLength="90">
        <cfvo type="num" val="0"/>
        <cfvo type="num" val="3"/>
        <color rgb="FFFF8C35"/>
      </dataBar>
      <extLst>
        <ext xmlns:x14="http://schemas.microsoft.com/office/spreadsheetml/2009/9/main" uri="{B025F937-C7B1-47D3-B67F-A62EFF666E3E}">
          <x14:id>{81227090-A4AE-4E10-9A20-28F53D8EACC6}</x14:id>
        </ext>
      </extLst>
    </cfRule>
  </conditionalFormatting>
  <conditionalFormatting sqref="J73">
    <cfRule type="dataBar" priority="64">
      <dataBar showValue="1" minLength="10" maxLength="90">
        <cfvo type="num" val="0"/>
        <cfvo type="num" val="3"/>
        <color rgb="FF839DB5"/>
      </dataBar>
      <extLst>
        <ext xmlns:x14="http://schemas.microsoft.com/office/spreadsheetml/2009/9/main" uri="{B025F937-C7B1-47D3-B67F-A62EFF666E3E}">
          <x14:id>{BF4BEA1C-C37B-4B3E-98BF-FCC85EE1374D}</x14:id>
        </ext>
      </extLst>
    </cfRule>
  </conditionalFormatting>
  <conditionalFormatting sqref="J56">
    <cfRule type="dataBar" priority="65">
      <dataBar showValue="1" minLength="10" maxLength="90">
        <cfvo type="num" val="0"/>
        <cfvo type="num" val="3"/>
        <color rgb="FF7FBE5D"/>
      </dataBar>
      <extLst>
        <ext xmlns:x14="http://schemas.microsoft.com/office/spreadsheetml/2009/9/main" uri="{B025F937-C7B1-47D3-B67F-A62EFF666E3E}">
          <x14:id>{2ACE648E-1043-45E8-861A-3C29F7BD1462}</x14:id>
        </ext>
      </extLst>
    </cfRule>
  </conditionalFormatting>
  <conditionalFormatting sqref="J55">
    <cfRule type="dataBar" priority="66">
      <dataBar showValue="1" minLength="10" maxLength="90">
        <cfvo type="num" val="0"/>
        <cfvo type="num" val="3"/>
        <color rgb="FFFF8C35"/>
      </dataBar>
      <extLst>
        <ext xmlns:x14="http://schemas.microsoft.com/office/spreadsheetml/2009/9/main" uri="{B025F937-C7B1-47D3-B67F-A62EFF666E3E}">
          <x14:id>{2BFBB110-5276-47E9-9685-A1675CCCED3E}</x14:id>
        </ext>
      </extLst>
    </cfRule>
  </conditionalFormatting>
  <conditionalFormatting sqref="J54">
    <cfRule type="dataBar" priority="67">
      <dataBar showValue="1" minLength="10" maxLength="90">
        <cfvo type="num" val="0"/>
        <cfvo type="num" val="3"/>
        <color rgb="FF839DB5"/>
      </dataBar>
      <extLst>
        <ext xmlns:x14="http://schemas.microsoft.com/office/spreadsheetml/2009/9/main" uri="{B025F937-C7B1-47D3-B67F-A62EFF666E3E}">
          <x14:id>{A2D6D444-8EB8-45FB-926A-C1476798ADB3}</x14:id>
        </ext>
      </extLst>
    </cfRule>
  </conditionalFormatting>
  <conditionalFormatting sqref="D94:F95">
    <cfRule type="dataBar" priority="68">
      <dataBar showValue="1" minLength="10" maxLength="90">
        <cfvo type="num" val="0"/>
        <cfvo type="num" val="1"/>
        <color rgb="FF839DB5"/>
      </dataBar>
      <extLst>
        <ext xmlns:x14="http://schemas.microsoft.com/office/spreadsheetml/2009/9/main" uri="{B025F937-C7B1-47D3-B67F-A62EFF666E3E}">
          <x14:id>{5CD047F3-38BF-47DB-9F1E-A710DFA02D8D}</x14:id>
        </ext>
      </extLst>
    </cfRule>
  </conditionalFormatting>
  <conditionalFormatting sqref="D73:F74">
    <cfRule type="dataBar" priority="69">
      <dataBar showValue="1" minLength="10" maxLength="90">
        <cfvo type="num" val="0"/>
        <cfvo type="num" val="1"/>
        <color rgb="FF839DB5"/>
      </dataBar>
      <extLst>
        <ext xmlns:x14="http://schemas.microsoft.com/office/spreadsheetml/2009/9/main" uri="{B025F937-C7B1-47D3-B67F-A62EFF666E3E}">
          <x14:id>{40E6BF2E-3169-4D38-8456-C890668015D0}</x14:id>
        </ext>
      </extLst>
    </cfRule>
  </conditionalFormatting>
  <conditionalFormatting sqref="D37:F39">
    <cfRule type="dataBar" priority="70">
      <dataBar showValue="1" minLength="10" maxLength="90">
        <cfvo type="num" val="0"/>
        <cfvo type="num" val="1"/>
        <color rgb="FFFF8C35"/>
      </dataBar>
      <extLst>
        <ext xmlns:x14="http://schemas.microsoft.com/office/spreadsheetml/2009/9/main" uri="{B025F937-C7B1-47D3-B67F-A62EFF666E3E}">
          <x14:id>{C1ABBE28-79E5-46D2-A2CC-FA5B2BE020C0}</x14:id>
        </ext>
      </extLst>
    </cfRule>
  </conditionalFormatting>
  <conditionalFormatting sqref="D40:F42">
    <cfRule type="dataBar" priority="71">
      <dataBar showValue="1" minLength="10" maxLength="90">
        <cfvo type="num" val="0"/>
        <cfvo type="num" val="1"/>
        <color rgb="FF7FBE5D"/>
      </dataBar>
      <extLst>
        <ext xmlns:x14="http://schemas.microsoft.com/office/spreadsheetml/2009/9/main" uri="{B025F937-C7B1-47D3-B67F-A62EFF666E3E}">
          <x14:id>{4DE728C6-87E0-43A0-899A-726C14EACBDD}</x14:id>
        </ext>
      </extLst>
    </cfRule>
  </conditionalFormatting>
  <conditionalFormatting sqref="J36">
    <cfRule type="dataBar" priority="72">
      <dataBar showValue="1" minLength="10" maxLength="90">
        <cfvo type="num" val="0"/>
        <cfvo type="num" val="3"/>
        <color rgb="FF7FBE5D"/>
      </dataBar>
      <extLst>
        <ext xmlns:x14="http://schemas.microsoft.com/office/spreadsheetml/2009/9/main" uri="{B025F937-C7B1-47D3-B67F-A62EFF666E3E}">
          <x14:id>{C79B9A50-E5FE-4840-A67C-F044B5607F77}</x14:id>
        </ext>
      </extLst>
    </cfRule>
  </conditionalFormatting>
  <conditionalFormatting sqref="J35">
    <cfRule type="dataBar" priority="73">
      <dataBar showValue="1" minLength="10" maxLength="90">
        <cfvo type="num" val="0"/>
        <cfvo type="num" val="3"/>
        <color rgb="FFFF8C35"/>
      </dataBar>
      <extLst>
        <ext xmlns:x14="http://schemas.microsoft.com/office/spreadsheetml/2009/9/main" uri="{B025F937-C7B1-47D3-B67F-A62EFF666E3E}">
          <x14:id>{27BDDF20-73B1-4290-B695-F71549189E2F}</x14:id>
        </ext>
      </extLst>
    </cfRule>
  </conditionalFormatting>
  <conditionalFormatting sqref="J34">
    <cfRule type="dataBar" priority="74">
      <dataBar showValue="1" minLength="10" maxLength="90">
        <cfvo type="num" val="0"/>
        <cfvo type="num" val="3"/>
        <color rgb="FF839DB5"/>
      </dataBar>
      <extLst>
        <ext xmlns:x14="http://schemas.microsoft.com/office/spreadsheetml/2009/9/main" uri="{B025F937-C7B1-47D3-B67F-A62EFF666E3E}">
          <x14:id>{903F191E-B637-43D0-B184-6B518AE130E3}</x14:id>
        </ext>
      </extLst>
    </cfRule>
  </conditionalFormatting>
  <conditionalFormatting sqref="D36:F36">
    <cfRule type="dataBar" priority="75">
      <dataBar showValue="1" minLength="10" maxLength="90">
        <cfvo type="num" val="0"/>
        <cfvo type="num" val="1"/>
        <color rgb="FF839DB5"/>
      </dataBar>
      <extLst>
        <ext xmlns:x14="http://schemas.microsoft.com/office/spreadsheetml/2009/9/main" uri="{B025F937-C7B1-47D3-B67F-A62EFF666E3E}">
          <x14:id>{A19E8598-A6C6-4181-BA1F-FCB823514071}</x14:id>
        </ext>
      </extLst>
    </cfRule>
  </conditionalFormatting>
  <conditionalFormatting sqref="D34:F35">
    <cfRule type="dataBar" priority="76">
      <dataBar showValue="1" minLength="10" maxLength="90">
        <cfvo type="num" val="0"/>
        <cfvo type="num" val="1"/>
        <color rgb="FF839DB5"/>
      </dataBar>
      <extLst>
        <ext xmlns:x14="http://schemas.microsoft.com/office/spreadsheetml/2009/9/main" uri="{B025F937-C7B1-47D3-B67F-A62EFF666E3E}">
          <x14:id>{6F87576B-51DB-47A6-A366-F01080A178BE}</x14:id>
        </ext>
      </extLst>
    </cfRule>
  </conditionalFormatting>
  <conditionalFormatting sqref="D20:F22">
    <cfRule type="dataBar" priority="77">
      <dataBar showValue="1" minLength="10" maxLength="90">
        <cfvo type="num" val="0"/>
        <cfvo type="num" val="1"/>
        <color rgb="FF7FBE5D"/>
      </dataBar>
      <extLst>
        <ext xmlns:x14="http://schemas.microsoft.com/office/spreadsheetml/2009/9/main" uri="{B025F937-C7B1-47D3-B67F-A62EFF666E3E}">
          <x14:id>{8B88EEA4-D2B8-4BF9-BE19-963B89109DDD}</x14:id>
        </ext>
      </extLst>
    </cfRule>
  </conditionalFormatting>
  <conditionalFormatting sqref="D17:F19">
    <cfRule type="dataBar" priority="78">
      <dataBar showValue="1" minLength="10" maxLength="90">
        <cfvo type="num" val="0"/>
        <cfvo type="num" val="1"/>
        <color rgb="FFFF8C35"/>
      </dataBar>
      <extLst>
        <ext xmlns:x14="http://schemas.microsoft.com/office/spreadsheetml/2009/9/main" uri="{B025F937-C7B1-47D3-B67F-A62EFF666E3E}">
          <x14:id>{ECBF109A-8F50-4AF2-BD84-F4A0B557D265}</x14:id>
        </ext>
      </extLst>
    </cfRule>
  </conditionalFormatting>
  <conditionalFormatting sqref="J16">
    <cfRule type="dataBar" priority="79">
      <dataBar showValue="1" minLength="10" maxLength="90">
        <cfvo type="num" val="0"/>
        <cfvo type="num" val="3"/>
        <color rgb="FF7FBE5D"/>
      </dataBar>
      <extLst>
        <ext xmlns:x14="http://schemas.microsoft.com/office/spreadsheetml/2009/9/main" uri="{B025F937-C7B1-47D3-B67F-A62EFF666E3E}">
          <x14:id>{FDDA4DA0-48DA-4AFB-989C-5D799D996173}</x14:id>
        </ext>
      </extLst>
    </cfRule>
  </conditionalFormatting>
  <conditionalFormatting sqref="J19">
    <cfRule type="dataBar" priority="80">
      <dataBar showValue="1" minLength="10" maxLength="90">
        <cfvo type="num" val="0"/>
        <cfvo type="num" val="3"/>
        <color rgb="FF929B9B"/>
      </dataBar>
      <extLst>
        <ext xmlns:x14="http://schemas.microsoft.com/office/spreadsheetml/2009/9/main" uri="{B025F937-C7B1-47D3-B67F-A62EFF666E3E}">
          <x14:id>{232FF3D4-39B0-4557-A6F0-1D42E19317D8}</x14:id>
        </ext>
      </extLst>
    </cfRule>
  </conditionalFormatting>
  <conditionalFormatting sqref="J15">
    <cfRule type="dataBar" priority="81">
      <dataBar showValue="1" minLength="10" maxLength="90">
        <cfvo type="num" val="0"/>
        <cfvo type="num" val="3"/>
        <color rgb="FFFF8C35"/>
      </dataBar>
      <extLst>
        <ext xmlns:x14="http://schemas.microsoft.com/office/spreadsheetml/2009/9/main" uri="{B025F937-C7B1-47D3-B67F-A62EFF666E3E}">
          <x14:id>{F8DCA3C8-5496-44DE-8A9A-7058E050868C}</x14:id>
        </ext>
      </extLst>
    </cfRule>
  </conditionalFormatting>
  <conditionalFormatting sqref="J14">
    <cfRule type="dataBar" priority="82">
      <dataBar showValue="1" minLength="10" maxLength="90">
        <cfvo type="num" val="0"/>
        <cfvo type="num" val="3"/>
        <color rgb="FF839DB5"/>
      </dataBar>
      <extLst>
        <ext xmlns:x14="http://schemas.microsoft.com/office/spreadsheetml/2009/9/main" uri="{B025F937-C7B1-47D3-B67F-A62EFF666E3E}">
          <x14:id>{50ABD27B-5CE1-42B2-8385-A16A332EE79D}</x14:id>
        </ext>
      </extLst>
    </cfRule>
  </conditionalFormatting>
  <conditionalFormatting sqref="D14:F16">
    <cfRule type="dataBar" priority="83">
      <dataBar showValue="1" minLength="10" maxLength="90">
        <cfvo type="num" val="0"/>
        <cfvo type="num" val="1"/>
        <color rgb="FF839DB5"/>
      </dataBar>
      <extLst>
        <ext xmlns:x14="http://schemas.microsoft.com/office/spreadsheetml/2009/9/main" uri="{B025F937-C7B1-47D3-B67F-A62EFF666E3E}">
          <x14:id>{172AF662-44CF-4AE9-A5D7-6D3C72989D8A}</x14:id>
        </ext>
      </extLst>
    </cfRule>
  </conditionalFormatting>
  <printOptions headings="false" gridLines="false" gridLinesSet="true" horizontalCentered="false" verticalCentered="false"/>
  <pageMargins left="0.75" right="0.75" top="1" bottom="1" header="0.511811023622047" footer="0.511811023622047"/>
  <pageSetup paperSize="9" scale="1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6A47EE8-C237-4D5D-8C39-00B85EE08DE5}">
            <x14:dataBar minLength="10" maxLength="90" axisPosition="none" gradient="true">
              <x14:cfvo type="num">
                <xm:f>0</xm:f>
              </x14:cfvo>
              <x14:cfvo type="num">
                <xm:f>1</xm:f>
              </x14:cfvo>
              <x14:negativeFillColor rgb="FFB18192"/>
              <x14:axisColor rgb="FF000000"/>
            </x14:dataBar>
          </x14:cfRule>
          <x14:cfRule type="dataBar" id="{F01FACF9-65C8-4DB3-AF38-D17FE4A3C84A}">
            <x14:dataBar minLength="10" maxLength="90" axisPosition="none" gradient="true">
              <x14:cfvo type="num">
                <xm:f>0</xm:f>
              </x14:cfvo>
              <x14:cfvo type="num">
                <xm:f>1</xm:f>
              </x14:cfvo>
              <x14:negativeFillColor rgb="FFB68898"/>
              <x14:axisColor rgb="FF000000"/>
            </x14:dataBar>
          </x14:cfRule>
          <xm:sqref>J97</xm:sqref>
        </x14:conditionalFormatting>
        <x14:conditionalFormatting xmlns:xm="http://schemas.microsoft.com/office/excel/2006/main">
          <x14:cfRule type="dataBar" id="{E7F6A86D-E215-4670-9725-793EA08BC500}">
            <x14:dataBar minLength="10" maxLength="90" axisPosition="none" gradient="true">
              <x14:cfvo type="num">
                <xm:f>0</xm:f>
              </x14:cfvo>
              <x14:cfvo type="num">
                <xm:f>1</xm:f>
              </x14:cfvo>
              <x14:negativeFillColor rgb="FFB18192"/>
              <x14:axisColor rgb="FF000000"/>
            </x14:dataBar>
          </x14:cfRule>
          <x14:cfRule type="dataBar" id="{48A69040-79A4-4E71-A919-1E6DFBE664D9}">
            <x14:dataBar minLength="10" maxLength="90" axisPosition="none" gradient="true">
              <x14:cfvo type="num">
                <xm:f>0</xm:f>
              </x14:cfvo>
              <x14:cfvo type="num">
                <xm:f>1</xm:f>
              </x14:cfvo>
              <x14:negativeFillColor rgb="FFB68898"/>
              <x14:axisColor rgb="FF000000"/>
            </x14:dataBar>
          </x14:cfRule>
          <xm:sqref>J76</xm:sqref>
        </x14:conditionalFormatting>
        <x14:conditionalFormatting xmlns:xm="http://schemas.microsoft.com/office/excel/2006/main">
          <x14:cfRule type="dataBar" id="{5F3D1029-16FB-4862-BC10-7E2D401D20E4}">
            <x14:dataBar minLength="10" maxLength="90" axisPosition="none" gradient="true">
              <x14:cfvo type="num">
                <xm:f>0</xm:f>
              </x14:cfvo>
              <x14:cfvo type="num">
                <xm:f>1</xm:f>
              </x14:cfvo>
              <x14:negativeFillColor rgb="FFB18192"/>
              <x14:axisColor rgb="FF000000"/>
            </x14:dataBar>
          </x14:cfRule>
          <x14:cfRule type="dataBar" id="{D18090F7-8F3D-4F28-8673-CA868D90466F}">
            <x14:dataBar minLength="10" maxLength="90" axisPosition="none" gradient="true">
              <x14:cfvo type="num">
                <xm:f>0</xm:f>
              </x14:cfvo>
              <x14:cfvo type="num">
                <xm:f>1</xm:f>
              </x14:cfvo>
              <x14:negativeFillColor rgb="FFB68898"/>
              <x14:axisColor rgb="FF000000"/>
            </x14:dataBar>
          </x14:cfRule>
          <xm:sqref>J57</xm:sqref>
        </x14:conditionalFormatting>
        <x14:conditionalFormatting xmlns:xm="http://schemas.microsoft.com/office/excel/2006/main">
          <x14:cfRule type="dataBar" id="{9260A8C3-8D00-45EB-AEBA-6AF087878116}">
            <x14:dataBar minLength="10" maxLength="90" axisPosition="none" gradient="true">
              <x14:cfvo type="num">
                <xm:f>0</xm:f>
              </x14:cfvo>
              <x14:cfvo type="num">
                <xm:f>1</xm:f>
              </x14:cfvo>
              <x14:negativeFillColor rgb="FFB18192"/>
              <x14:axisColor rgb="FF000000"/>
            </x14:dataBar>
          </x14:cfRule>
          <x14:cfRule type="dataBar" id="{3A989D7A-2FD8-463E-904E-AB705B59CAEE}">
            <x14:dataBar minLength="10" maxLength="90" axisPosition="none" gradient="true">
              <x14:cfvo type="num">
                <xm:f>0</xm:f>
              </x14:cfvo>
              <x14:cfvo type="num">
                <xm:f>1</xm:f>
              </x14:cfvo>
              <x14:negativeFillColor rgb="FFB68898"/>
              <x14:axisColor rgb="FF000000"/>
            </x14:dataBar>
          </x14:cfRule>
          <xm:sqref>J37</xm:sqref>
        </x14:conditionalFormatting>
        <x14:conditionalFormatting xmlns:xm="http://schemas.microsoft.com/office/excel/2006/main">
          <x14:cfRule type="dataBar" id="{C26E4B8F-5EF1-422F-8EBE-CC7639CADC2B}">
            <x14:dataBar minLength="10" maxLength="90" axisPosition="none" gradient="true">
              <x14:cfvo type="num">
                <xm:f>0</xm:f>
              </x14:cfvo>
              <x14:cfvo type="num">
                <xm:f>1</xm:f>
              </x14:cfvo>
              <x14:negativeFillColor rgb="FFB18192"/>
              <x14:axisColor rgb="FF000000"/>
            </x14:dataBar>
          </x14:cfRule>
          <x14:cfRule type="dataBar" id="{648698CF-CDB0-4D8D-83A4-90ADB5EDC740}">
            <x14:dataBar minLength="10" maxLength="90" axisPosition="none" gradient="true">
              <x14:cfvo type="num">
                <xm:f>0</xm:f>
              </x14:cfvo>
              <x14:cfvo type="num">
                <xm:f>1</xm:f>
              </x14:cfvo>
              <x14:negativeFillColor rgb="FFB68898"/>
              <x14:axisColor rgb="FF000000"/>
            </x14:dataBar>
          </x14:cfRule>
          <xm:sqref>J17</xm:sqref>
        </x14:conditionalFormatting>
        <x14:conditionalFormatting xmlns:xm="http://schemas.microsoft.com/office/excel/2006/main">
          <x14:cfRule type="dataBar" id="{E5DE8AA1-E0B2-4C85-983C-26BEF8ABF3A3}">
            <x14:dataBar minLength="10" maxLength="90" axisPosition="none" gradient="true">
              <x14:cfvo type="num">
                <xm:f>0</xm:f>
              </x14:cfvo>
              <x14:cfvo type="num">
                <xm:f>1</xm:f>
              </x14:cfvo>
              <x14:negativeFillColor rgb="FFB68898"/>
              <x14:axisColor rgb="FF000000"/>
            </x14:dataBar>
          </x14:cfRule>
          <xm:sqref>D25:F25</xm:sqref>
        </x14:conditionalFormatting>
        <x14:conditionalFormatting xmlns:xm="http://schemas.microsoft.com/office/excel/2006/main">
          <x14:cfRule type="dataBar" id="{147E93C9-AE22-4CC4-9DE5-3885AAD94092}">
            <x14:dataBar minLength="10" maxLength="90" axisPosition="none" gradient="true">
              <x14:cfvo type="num">
                <xm:f>0</xm:f>
              </x14:cfvo>
              <x14:cfvo type="num">
                <xm:f>1</xm:f>
              </x14:cfvo>
              <x14:negativeFillColor rgb="FFB18192"/>
              <x14:axisColor rgb="FF000000"/>
            </x14:dataBar>
          </x14:cfRule>
          <xm:sqref>D23:F25</xm:sqref>
        </x14:conditionalFormatting>
        <x14:conditionalFormatting xmlns:xm="http://schemas.microsoft.com/office/excel/2006/main">
          <x14:cfRule type="dataBar" id="{C64C975E-9F1F-4119-9290-5E62D7D8BA2E}">
            <x14:dataBar minLength="10" maxLength="90" axisPosition="none" gradient="true">
              <x14:cfvo type="num">
                <xm:f>0</xm:f>
              </x14:cfvo>
              <x14:cfvo type="num">
                <xm:f>1</xm:f>
              </x14:cfvo>
              <x14:negativeFillColor rgb="FFB68898"/>
              <x14:axisColor rgb="FF000000"/>
            </x14:dataBar>
          </x14:cfRule>
          <xm:sqref>D23:F23</xm:sqref>
        </x14:conditionalFormatting>
        <x14:conditionalFormatting xmlns:xm="http://schemas.microsoft.com/office/excel/2006/main">
          <x14:cfRule type="dataBar" id="{91ED9BB4-458E-414F-AB54-B063FBFC2866}">
            <x14:dataBar minLength="10" maxLength="90" axisPosition="none" gradient="true">
              <x14:cfvo type="num">
                <xm:f>0</xm:f>
              </x14:cfvo>
              <x14:cfvo type="num">
                <xm:f>1</xm:f>
              </x14:cfvo>
              <x14:negativeFillColor rgb="FFB68898"/>
              <x14:axisColor rgb="FF000000"/>
            </x14:dataBar>
          </x14:cfRule>
          <xm:sqref>D45:F45</xm:sqref>
        </x14:conditionalFormatting>
        <x14:conditionalFormatting xmlns:xm="http://schemas.microsoft.com/office/excel/2006/main">
          <x14:cfRule type="dataBar" id="{D64CE022-105E-459A-AC63-1997A0A86761}">
            <x14:dataBar minLength="10" maxLength="90" axisPosition="none" gradient="true">
              <x14:cfvo type="num">
                <xm:f>0</xm:f>
              </x14:cfvo>
              <x14:cfvo type="num">
                <xm:f>1</xm:f>
              </x14:cfvo>
              <x14:negativeFillColor rgb="FFB18192"/>
              <x14:axisColor rgb="FF000000"/>
            </x14:dataBar>
          </x14:cfRule>
          <xm:sqref>D43:F45</xm:sqref>
        </x14:conditionalFormatting>
        <x14:conditionalFormatting xmlns:xm="http://schemas.microsoft.com/office/excel/2006/main">
          <x14:cfRule type="dataBar" id="{94DF5813-1168-4C24-A9E7-307C4CD3788C}">
            <x14:dataBar minLength="10" maxLength="90" axisPosition="none" gradient="true">
              <x14:cfvo type="num">
                <xm:f>0</xm:f>
              </x14:cfvo>
              <x14:cfvo type="num">
                <xm:f>1</xm:f>
              </x14:cfvo>
              <x14:negativeFillColor rgb="FFB68898"/>
              <x14:axisColor rgb="FF000000"/>
            </x14:dataBar>
          </x14:cfRule>
          <xm:sqref>D43:F43</xm:sqref>
        </x14:conditionalFormatting>
        <x14:conditionalFormatting xmlns:xm="http://schemas.microsoft.com/office/excel/2006/main">
          <x14:cfRule type="dataBar" id="{82AFBAF7-60A4-4E2B-A873-90ADA8385586}">
            <x14:dataBar minLength="10" maxLength="90" axisPosition="none" gradient="true">
              <x14:cfvo type="num">
                <xm:f>0</xm:f>
              </x14:cfvo>
              <x14:cfvo type="num">
                <xm:f>1</xm:f>
              </x14:cfvo>
              <x14:negativeFillColor rgb="FFB68898"/>
              <x14:axisColor rgb="FF000000"/>
            </x14:dataBar>
          </x14:cfRule>
          <xm:sqref>D65:F65</xm:sqref>
        </x14:conditionalFormatting>
        <x14:conditionalFormatting xmlns:xm="http://schemas.microsoft.com/office/excel/2006/main">
          <x14:cfRule type="dataBar" id="{FCB01F92-FA47-4056-BA27-1DDC8EB77F5E}">
            <x14:dataBar minLength="10" maxLength="90" axisPosition="none" gradient="true">
              <x14:cfvo type="num">
                <xm:f>0</xm:f>
              </x14:cfvo>
              <x14:cfvo type="num">
                <xm:f>1</xm:f>
              </x14:cfvo>
              <x14:negativeFillColor rgb="FFB18192"/>
              <x14:axisColor rgb="FF000000"/>
            </x14:dataBar>
          </x14:cfRule>
          <xm:sqref>D63:F65</xm:sqref>
        </x14:conditionalFormatting>
        <x14:conditionalFormatting xmlns:xm="http://schemas.microsoft.com/office/excel/2006/main">
          <x14:cfRule type="dataBar" id="{B9E0B1ED-FF97-413E-807B-8CCABBF0AF4A}">
            <x14:dataBar minLength="10" maxLength="90" axisPosition="none" gradient="true">
              <x14:cfvo type="num">
                <xm:f>0</xm:f>
              </x14:cfvo>
              <x14:cfvo type="num">
                <xm:f>1</xm:f>
              </x14:cfvo>
              <x14:negativeFillColor rgb="FFB68898"/>
              <x14:axisColor rgb="FF000000"/>
            </x14:dataBar>
          </x14:cfRule>
          <xm:sqref>D63:F63</xm:sqref>
        </x14:conditionalFormatting>
        <x14:conditionalFormatting xmlns:xm="http://schemas.microsoft.com/office/excel/2006/main">
          <x14:cfRule type="dataBar" id="{CBB0C079-20AE-40E5-8318-D6EAD28FDC75}">
            <x14:dataBar minLength="10" maxLength="90" axisPosition="none" gradient="true">
              <x14:cfvo type="num">
                <xm:f>0</xm:f>
              </x14:cfvo>
              <x14:cfvo type="num">
                <xm:f>1</xm:f>
              </x14:cfvo>
              <x14:negativeFillColor rgb="FFB68898"/>
              <x14:axisColor rgb="FF000000"/>
            </x14:dataBar>
          </x14:cfRule>
          <xm:sqref>D84:F84</xm:sqref>
        </x14:conditionalFormatting>
        <x14:conditionalFormatting xmlns:xm="http://schemas.microsoft.com/office/excel/2006/main">
          <x14:cfRule type="dataBar" id="{EAB28BF2-A0D5-4BCD-A628-C3FBA8F0B5F6}">
            <x14:dataBar minLength="10" maxLength="90" axisPosition="none" gradient="true">
              <x14:cfvo type="num">
                <xm:f>0</xm:f>
              </x14:cfvo>
              <x14:cfvo type="num">
                <xm:f>1</xm:f>
              </x14:cfvo>
              <x14:negativeFillColor rgb="FFB18192"/>
              <x14:axisColor rgb="FF000000"/>
            </x14:dataBar>
          </x14:cfRule>
          <xm:sqref>D82:F84</xm:sqref>
        </x14:conditionalFormatting>
        <x14:conditionalFormatting xmlns:xm="http://schemas.microsoft.com/office/excel/2006/main">
          <x14:cfRule type="dataBar" id="{7E38B61A-5419-4679-AECD-8EE853DB9222}">
            <x14:dataBar minLength="10" maxLength="90" axisPosition="none" gradient="true">
              <x14:cfvo type="num">
                <xm:f>0</xm:f>
              </x14:cfvo>
              <x14:cfvo type="num">
                <xm:f>1</xm:f>
              </x14:cfvo>
              <x14:negativeFillColor rgb="FFB68898"/>
              <x14:axisColor rgb="FF000000"/>
            </x14:dataBar>
          </x14:cfRule>
          <xm:sqref>D82:F82</xm:sqref>
        </x14:conditionalFormatting>
        <x14:conditionalFormatting xmlns:xm="http://schemas.microsoft.com/office/excel/2006/main">
          <x14:cfRule type="dataBar" id="{30C7CF80-406E-4029-94CE-B8F62E9020B8}">
            <x14:dataBar minLength="10" maxLength="90" axisPosition="none" gradient="true">
              <x14:cfvo type="num">
                <xm:f>0</xm:f>
              </x14:cfvo>
              <x14:cfvo type="num">
                <xm:f>3</xm:f>
              </x14:cfvo>
              <x14:negativeFillColor rgb="FF929A9A"/>
              <x14:axisColor rgb="FF000000"/>
            </x14:dataBar>
          </x14:cfRule>
          <xm:sqref>D106:F108</xm:sqref>
        </x14:conditionalFormatting>
        <x14:conditionalFormatting xmlns:xm="http://schemas.microsoft.com/office/excel/2006/main">
          <x14:cfRule type="dataBar" id="{A3F87E6B-36B0-4331-BD5F-D48E38E21280}">
            <x14:dataBar minLength="10" maxLength="90" axisPosition="none" gradient="true">
              <x14:cfvo type="num">
                <xm:f>0</xm:f>
              </x14:cfvo>
              <x14:cfvo type="num">
                <xm:f>3</xm:f>
              </x14:cfvo>
              <x14:negativeFillColor rgb="FF929A9A"/>
              <x14:axisColor rgb="FF000000"/>
            </x14:dataBar>
          </x14:cfRule>
          <xm:sqref>J98</xm:sqref>
        </x14:conditionalFormatting>
        <x14:conditionalFormatting xmlns:xm="http://schemas.microsoft.com/office/excel/2006/main">
          <x14:cfRule type="dataBar" id="{662558CF-6F1B-4897-B490-FCB4309B32D4}">
            <x14:dataBar minLength="10" maxLength="90" axisPosition="none" gradient="true">
              <x14:cfvo type="num">
                <xm:f>0</xm:f>
              </x14:cfvo>
              <x14:cfvo type="num">
                <xm:f>3</xm:f>
              </x14:cfvo>
              <x14:negativeFillColor rgb="FF929B9B"/>
              <x14:axisColor rgb="FF000000"/>
            </x14:dataBar>
          </x14:cfRule>
          <xm:sqref>J78</xm:sqref>
        </x14:conditionalFormatting>
        <x14:conditionalFormatting xmlns:xm="http://schemas.microsoft.com/office/excel/2006/main">
          <x14:cfRule type="dataBar" id="{A68E5A70-DE77-4342-9040-9FDCB9CFD96A}">
            <x14:dataBar minLength="10" maxLength="90" axisPosition="none" gradient="true">
              <x14:cfvo type="num">
                <xm:f>0</xm:f>
              </x14:cfvo>
              <x14:cfvo type="num">
                <xm:f>3</xm:f>
              </x14:cfvo>
              <x14:negativeFillColor rgb="FF929A9A"/>
              <x14:axisColor rgb="FF000000"/>
            </x14:dataBar>
          </x14:cfRule>
          <xm:sqref>L77:L79 J77</xm:sqref>
        </x14:conditionalFormatting>
        <x14:conditionalFormatting xmlns:xm="http://schemas.microsoft.com/office/excel/2006/main">
          <x14:cfRule type="dataBar" id="{7718F34A-41C2-47D8-B83D-9AE3D34B23DB}">
            <x14:dataBar minLength="10" maxLength="90" axisPosition="none" gradient="true">
              <x14:cfvo type="num">
                <xm:f>0</xm:f>
              </x14:cfvo>
              <x14:cfvo type="num">
                <xm:f>3</xm:f>
              </x14:cfvo>
              <x14:negativeFillColor rgb="FF929A9A"/>
              <x14:axisColor rgb="FF000000"/>
            </x14:dataBar>
          </x14:cfRule>
          <xm:sqref>D85:F87</xm:sqref>
        </x14:conditionalFormatting>
        <x14:conditionalFormatting xmlns:xm="http://schemas.microsoft.com/office/excel/2006/main">
          <x14:cfRule type="dataBar" id="{C956F796-B2A4-4EE5-BA95-E8CC17BBE73C}">
            <x14:dataBar minLength="10" maxLength="90" axisPosition="none" gradient="true">
              <x14:cfvo type="num">
                <xm:f>0</xm:f>
              </x14:cfvo>
              <x14:cfvo type="num">
                <xm:f>3</xm:f>
              </x14:cfvo>
              <x14:negativeFillColor rgb="FF929A9A"/>
              <x14:axisColor rgb="FF000000"/>
            </x14:dataBar>
          </x14:cfRule>
          <xm:sqref>D66:F68</xm:sqref>
        </x14:conditionalFormatting>
        <x14:conditionalFormatting xmlns:xm="http://schemas.microsoft.com/office/excel/2006/main">
          <x14:cfRule type="dataBar" id="{A9DC5F7D-4182-45DA-BE83-2ED9F446E080}">
            <x14:dataBar minLength="10" maxLength="90" axisPosition="none" gradient="true">
              <x14:cfvo type="num">
                <xm:f>0</xm:f>
              </x14:cfvo>
              <x14:cfvo type="num">
                <xm:f>3</xm:f>
              </x14:cfvo>
              <x14:negativeFillColor rgb="FF929A9A"/>
              <x14:axisColor rgb="FF000000"/>
            </x14:dataBar>
          </x14:cfRule>
          <xm:sqref>J58</xm:sqref>
        </x14:conditionalFormatting>
        <x14:conditionalFormatting xmlns:xm="http://schemas.microsoft.com/office/excel/2006/main">
          <x14:cfRule type="dataBar" id="{C17456CD-286C-4F7C-A24A-3E6772D1A66B}">
            <x14:dataBar minLength="10" maxLength="90" axisPosition="none" gradient="true">
              <x14:cfvo type="num">
                <xm:f>0</xm:f>
              </x14:cfvo>
              <x14:cfvo type="num">
                <xm:f>3</xm:f>
              </x14:cfvo>
              <x14:negativeFillColor rgb="FF929B9B"/>
              <x14:axisColor rgb="FF000000"/>
            </x14:dataBar>
          </x14:cfRule>
          <xm:sqref>J39</xm:sqref>
        </x14:conditionalFormatting>
        <x14:conditionalFormatting xmlns:xm="http://schemas.microsoft.com/office/excel/2006/main">
          <x14:cfRule type="dataBar" id="{B713E1F2-AE5E-4BF7-8F22-178D6FF48AD1}">
            <x14:dataBar minLength="10" maxLength="90" axisPosition="none" gradient="true">
              <x14:cfvo type="num">
                <xm:f>0</xm:f>
              </x14:cfvo>
              <x14:cfvo type="num">
                <xm:f>3</xm:f>
              </x14:cfvo>
              <x14:negativeFillColor rgb="FF929A9A"/>
              <x14:axisColor rgb="FF000000"/>
            </x14:dataBar>
          </x14:cfRule>
          <xm:sqref>L38:L40 J38</xm:sqref>
        </x14:conditionalFormatting>
        <x14:conditionalFormatting xmlns:xm="http://schemas.microsoft.com/office/excel/2006/main">
          <x14:cfRule type="dataBar" id="{93109AF3-873A-4B67-AB23-6020BD6FFDC0}">
            <x14:dataBar minLength="10" maxLength="90" axisPosition="none" gradient="true">
              <x14:cfvo type="num">
                <xm:f>0</xm:f>
              </x14:cfvo>
              <x14:cfvo type="num">
                <xm:f>3</xm:f>
              </x14:cfvo>
              <x14:negativeFillColor rgb="FF929A9A"/>
              <x14:axisColor rgb="FF000000"/>
            </x14:dataBar>
          </x14:cfRule>
          <xm:sqref>D46:F48</xm:sqref>
        </x14:conditionalFormatting>
        <x14:conditionalFormatting xmlns:xm="http://schemas.microsoft.com/office/excel/2006/main">
          <x14:cfRule type="dataBar" id="{3C7FB110-154D-4400-B88D-FB898C3A254C}">
            <x14:dataBar minLength="10" maxLength="90" axisPosition="none" gradient="true">
              <x14:cfvo type="num">
                <xm:f>0</xm:f>
              </x14:cfvo>
              <x14:cfvo type="num">
                <xm:f>3</xm:f>
              </x14:cfvo>
              <x14:negativeFillColor rgb="FF929A9A"/>
              <x14:axisColor rgb="FF000000"/>
            </x14:dataBar>
          </x14:cfRule>
          <xm:sqref>D26:F28</xm:sqref>
        </x14:conditionalFormatting>
        <x14:conditionalFormatting xmlns:xm="http://schemas.microsoft.com/office/excel/2006/main">
          <x14:cfRule type="dataBar" id="{E0B9DE6C-60D1-4ED6-8DA4-3E2BF09C9F50}">
            <x14:dataBar minLength="10" maxLength="90" axisPosition="none" gradient="true">
              <x14:cfvo type="num">
                <xm:f>0</xm:f>
              </x14:cfvo>
              <x14:cfvo type="num">
                <xm:f>3</xm:f>
              </x14:cfvo>
              <x14:negativeFillColor rgb="FF929B9B"/>
              <x14:axisColor rgb="FF000000"/>
            </x14:dataBar>
          </x14:cfRule>
          <xm:sqref>J99</xm:sqref>
        </x14:conditionalFormatting>
        <x14:conditionalFormatting xmlns:xm="http://schemas.microsoft.com/office/excel/2006/main">
          <x14:cfRule type="dataBar" id="{67C7D546-AB86-4D4B-A6DB-E2E63C8B3354}">
            <x14:dataBar minLength="10" maxLength="90" axisPosition="none" gradient="true">
              <x14:cfvo type="num">
                <xm:f>0</xm:f>
              </x14:cfvo>
              <x14:cfvo type="num">
                <xm:f>3</xm:f>
              </x14:cfvo>
              <x14:negativeFillColor rgb="FF929B9B"/>
              <x14:axisColor rgb="FF000000"/>
            </x14:dataBar>
          </x14:cfRule>
          <xm:sqref>J59</xm:sqref>
        </x14:conditionalFormatting>
        <x14:conditionalFormatting xmlns:xm="http://schemas.microsoft.com/office/excel/2006/main">
          <x14:cfRule type="dataBar" id="{67F7F05B-84F6-48EE-A32E-4EBA4B8F7A90}">
            <x14:dataBar minLength="10" maxLength="90" axisPosition="none" gradient="true">
              <x14:cfvo type="num">
                <xm:f>0</xm:f>
              </x14:cfvo>
              <x14:cfvo type="num">
                <xm:f>3</xm:f>
              </x14:cfvo>
              <x14:negativeFillColor rgb="FF929A9A"/>
              <x14:axisColor rgb="FF000000"/>
            </x14:dataBar>
          </x14:cfRule>
          <xm:sqref>J18</xm:sqref>
        </x14:conditionalFormatting>
        <x14:conditionalFormatting xmlns:xm="http://schemas.microsoft.com/office/excel/2006/main">
          <x14:cfRule type="dataBar" id="{FD19F739-FE13-414C-ADDF-CD4B40D4D042}">
            <x14:dataBar minLength="10" maxLength="90" axisPosition="none" gradient="true">
              <x14:cfvo type="num">
                <xm:f>0</xm:f>
              </x14:cfvo>
              <x14:cfvo type="num">
                <xm:f>1</xm:f>
              </x14:cfvo>
              <x14:negativeFillColor rgb="FFB68898"/>
              <x14:axisColor rgb="FF000000"/>
            </x14:dataBar>
          </x14:cfRule>
          <xm:sqref>D105:F105</xm:sqref>
        </x14:conditionalFormatting>
        <x14:conditionalFormatting xmlns:xm="http://schemas.microsoft.com/office/excel/2006/main">
          <x14:cfRule type="dataBar" id="{A9B7CAA0-F0A4-447F-9CEB-D863F77C8024}">
            <x14:dataBar minLength="10" maxLength="90" axisPosition="none" gradient="true">
              <x14:cfvo type="num">
                <xm:f>0</xm:f>
              </x14:cfvo>
              <x14:cfvo type="num">
                <xm:f>1</xm:f>
              </x14:cfvo>
              <x14:negativeFillColor rgb="FFB18192"/>
              <x14:axisColor rgb="FF000000"/>
            </x14:dataBar>
          </x14:cfRule>
          <xm:sqref>D103:F105</xm:sqref>
        </x14:conditionalFormatting>
        <x14:conditionalFormatting xmlns:xm="http://schemas.microsoft.com/office/excel/2006/main">
          <x14:cfRule type="dataBar" id="{30205C86-32B8-4FF0-8840-C73AF539BE89}">
            <x14:dataBar minLength="10" maxLength="90" axisPosition="none" gradient="true">
              <x14:cfvo type="num">
                <xm:f>0</xm:f>
              </x14:cfvo>
              <x14:cfvo type="num">
                <xm:f>1</xm:f>
              </x14:cfvo>
              <x14:negativeFillColor rgb="FFB68898"/>
              <x14:axisColor rgb="FF000000"/>
            </x14:dataBar>
          </x14:cfRule>
          <xm:sqref>D103:F103</xm:sqref>
        </x14:conditionalFormatting>
        <x14:conditionalFormatting xmlns:xm="http://schemas.microsoft.com/office/excel/2006/main">
          <x14:cfRule type="dataBar" id="{F0324044-C139-4055-BBFE-ADB3B7EB7AE5}">
            <x14:dataBar minLength="10" maxLength="90" axisPosition="none" gradient="true">
              <x14:cfvo type="num">
                <xm:f>0</xm:f>
              </x14:cfvo>
              <x14:cfvo type="num">
                <xm:f>1</xm:f>
              </x14:cfvo>
              <x14:negativeFillColor rgb="FF7FBE5D"/>
              <x14:axisColor rgb="FF000000"/>
            </x14:dataBar>
          </x14:cfRule>
          <xm:sqref>D102:F102</xm:sqref>
        </x14:conditionalFormatting>
        <x14:conditionalFormatting xmlns:xm="http://schemas.microsoft.com/office/excel/2006/main">
          <x14:cfRule type="dataBar" id="{4C31BB2D-645A-4098-9C80-A2A459FCF030}">
            <x14:dataBar minLength="10" maxLength="90" axisPosition="none" gradient="true">
              <x14:cfvo type="num">
                <xm:f>0</xm:f>
              </x14:cfvo>
              <x14:cfvo type="num">
                <xm:f>1</xm:f>
              </x14:cfvo>
              <x14:negativeFillColor rgb="FF7FBE5D"/>
              <x14:axisColor rgb="FF000000"/>
            </x14:dataBar>
          </x14:cfRule>
          <xm:sqref>D101:F101</xm:sqref>
        </x14:conditionalFormatting>
        <x14:conditionalFormatting xmlns:xm="http://schemas.microsoft.com/office/excel/2006/main">
          <x14:cfRule type="dataBar" id="{7F4DD178-75F2-4895-BCF7-DE2874151D80}">
            <x14:dataBar minLength="10" maxLength="90" axisPosition="none" gradient="true">
              <x14:cfvo type="num">
                <xm:f>0</xm:f>
              </x14:cfvo>
              <x14:cfvo type="num">
                <xm:f>1</xm:f>
              </x14:cfvo>
              <x14:negativeFillColor rgb="FF7FBE5D"/>
              <x14:axisColor rgb="FF000000"/>
            </x14:dataBar>
          </x14:cfRule>
          <xm:sqref>D100:F100</xm:sqref>
        </x14:conditionalFormatting>
        <x14:conditionalFormatting xmlns:xm="http://schemas.microsoft.com/office/excel/2006/main">
          <x14:cfRule type="dataBar" id="{F4F32090-5BBD-42BA-9A89-CC63D262A3C7}">
            <x14:dataBar minLength="10" maxLength="90" axisPosition="none" gradient="true">
              <x14:cfvo type="num">
                <xm:f>0</xm:f>
              </x14:cfvo>
              <x14:cfvo type="num">
                <xm:f>1</xm:f>
              </x14:cfvo>
              <x14:negativeFillColor rgb="FFFF8C35"/>
              <x14:axisColor rgb="FF000000"/>
            </x14:dataBar>
          </x14:cfRule>
          <xm:sqref>D99:F99</xm:sqref>
        </x14:conditionalFormatting>
        <x14:conditionalFormatting xmlns:xm="http://schemas.microsoft.com/office/excel/2006/main">
          <x14:cfRule type="dataBar" id="{ED612989-1036-4830-8893-33DD76E58016}">
            <x14:dataBar minLength="10" maxLength="90" axisPosition="none" gradient="true">
              <x14:cfvo type="num">
                <xm:f>0</xm:f>
              </x14:cfvo>
              <x14:cfvo type="num">
                <xm:f>1</xm:f>
              </x14:cfvo>
              <x14:negativeFillColor rgb="FFFF8C35"/>
              <x14:axisColor rgb="FF000000"/>
            </x14:dataBar>
          </x14:cfRule>
          <xm:sqref>D98:F98</xm:sqref>
        </x14:conditionalFormatting>
        <x14:conditionalFormatting xmlns:xm="http://schemas.microsoft.com/office/excel/2006/main">
          <x14:cfRule type="dataBar" id="{EBB42288-A5FC-49AB-85BA-DA6F265E724F}">
            <x14:dataBar minLength="10" maxLength="90" axisPosition="none" gradient="true">
              <x14:cfvo type="num">
                <xm:f>0</xm:f>
              </x14:cfvo>
              <x14:cfvo type="num">
                <xm:f>1</xm:f>
              </x14:cfvo>
              <x14:negativeFillColor rgb="FFFF8C35"/>
              <x14:axisColor rgb="FF000000"/>
            </x14:dataBar>
          </x14:cfRule>
          <xm:sqref>D97:F97</xm:sqref>
        </x14:conditionalFormatting>
        <x14:conditionalFormatting xmlns:xm="http://schemas.microsoft.com/office/excel/2006/main">
          <x14:cfRule type="dataBar" id="{DB2EF2DB-2BFA-41A7-80D4-F032A41350F1}">
            <x14:dataBar minLength="10" maxLength="90" axisPosition="none" gradient="true">
              <x14:cfvo type="num">
                <xm:f>0</xm:f>
              </x14:cfvo>
              <x14:cfvo type="num">
                <xm:f>1</xm:f>
              </x14:cfvo>
              <x14:negativeFillColor rgb="FF839DB5"/>
              <x14:axisColor rgb="FF000000"/>
            </x14:dataBar>
          </x14:cfRule>
          <xm:sqref>D96:F96</xm:sqref>
        </x14:conditionalFormatting>
        <x14:conditionalFormatting xmlns:xm="http://schemas.microsoft.com/office/excel/2006/main">
          <x14:cfRule type="dataBar" id="{121C717A-10D6-421D-B2D5-BE2EE0745BD0}">
            <x14:dataBar minLength="10" maxLength="90" axisPosition="none" gradient="true">
              <x14:cfvo type="num">
                <xm:f>0</xm:f>
              </x14:cfvo>
              <x14:cfvo type="num">
                <xm:f>1</xm:f>
              </x14:cfvo>
              <x14:negativeFillColor rgb="FF7FBE5D"/>
              <x14:axisColor rgb="FF000000"/>
            </x14:dataBar>
          </x14:cfRule>
          <xm:sqref>D81:F81</xm:sqref>
        </x14:conditionalFormatting>
        <x14:conditionalFormatting xmlns:xm="http://schemas.microsoft.com/office/excel/2006/main">
          <x14:cfRule type="dataBar" id="{1BC11283-6775-4034-98AA-8C534C894EBA}">
            <x14:dataBar minLength="10" maxLength="90" axisPosition="none" gradient="true">
              <x14:cfvo type="num">
                <xm:f>0</xm:f>
              </x14:cfvo>
              <x14:cfvo type="num">
                <xm:f>1</xm:f>
              </x14:cfvo>
              <x14:negativeFillColor rgb="FF7FBE5D"/>
              <x14:axisColor rgb="FF000000"/>
            </x14:dataBar>
          </x14:cfRule>
          <xm:sqref>D80:F80</xm:sqref>
        </x14:conditionalFormatting>
        <x14:conditionalFormatting xmlns:xm="http://schemas.microsoft.com/office/excel/2006/main">
          <x14:cfRule type="dataBar" id="{DCEBC2A4-D9A0-4F32-BAFA-90F578805EA1}">
            <x14:dataBar minLength="10" maxLength="90" axisPosition="none" gradient="true">
              <x14:cfvo type="num">
                <xm:f>0</xm:f>
              </x14:cfvo>
              <x14:cfvo type="num">
                <xm:f>1</xm:f>
              </x14:cfvo>
              <x14:negativeFillColor rgb="FF7FBE5D"/>
              <x14:axisColor rgb="FF000000"/>
            </x14:dataBar>
          </x14:cfRule>
          <xm:sqref>D79:F79</xm:sqref>
        </x14:conditionalFormatting>
        <x14:conditionalFormatting xmlns:xm="http://schemas.microsoft.com/office/excel/2006/main">
          <x14:cfRule type="dataBar" id="{59A34A34-813D-41AE-93E0-AA10863748F3}">
            <x14:dataBar minLength="10" maxLength="90" axisPosition="none" gradient="true">
              <x14:cfvo type="num">
                <xm:f>0</xm:f>
              </x14:cfvo>
              <x14:cfvo type="num">
                <xm:f>1</xm:f>
              </x14:cfvo>
              <x14:negativeFillColor rgb="FFFF8C35"/>
              <x14:axisColor rgb="FF000000"/>
            </x14:dataBar>
          </x14:cfRule>
          <xm:sqref>D78:F78</xm:sqref>
        </x14:conditionalFormatting>
        <x14:conditionalFormatting xmlns:xm="http://schemas.microsoft.com/office/excel/2006/main">
          <x14:cfRule type="dataBar" id="{18E96134-C42E-4446-8DEE-2B5242AE3FDF}">
            <x14:dataBar minLength="10" maxLength="90" axisPosition="none" gradient="true">
              <x14:cfvo type="num">
                <xm:f>0</xm:f>
              </x14:cfvo>
              <x14:cfvo type="num">
                <xm:f>1</xm:f>
              </x14:cfvo>
              <x14:negativeFillColor rgb="FFFF8C35"/>
              <x14:axisColor rgb="FF000000"/>
            </x14:dataBar>
          </x14:cfRule>
          <xm:sqref>D77:F77</xm:sqref>
        </x14:conditionalFormatting>
        <x14:conditionalFormatting xmlns:xm="http://schemas.microsoft.com/office/excel/2006/main">
          <x14:cfRule type="dataBar" id="{D0386622-6076-4BC7-8B61-BFCF81AB6DFA}">
            <x14:dataBar minLength="10" maxLength="90" axisPosition="none" gradient="true">
              <x14:cfvo type="num">
                <xm:f>0</xm:f>
              </x14:cfvo>
              <x14:cfvo type="num">
                <xm:f>1</xm:f>
              </x14:cfvo>
              <x14:negativeFillColor rgb="FFFF8C35"/>
              <x14:axisColor rgb="FF000000"/>
            </x14:dataBar>
          </x14:cfRule>
          <xm:sqref>D76:F76</xm:sqref>
        </x14:conditionalFormatting>
        <x14:conditionalFormatting xmlns:xm="http://schemas.microsoft.com/office/excel/2006/main">
          <x14:cfRule type="dataBar" id="{9A8A4C33-5CC4-4627-B87B-646D15EA45FD}">
            <x14:dataBar minLength="10" maxLength="90" axisPosition="none" gradient="true">
              <x14:cfvo type="num">
                <xm:f>0</xm:f>
              </x14:cfvo>
              <x14:cfvo type="num">
                <xm:f>1</xm:f>
              </x14:cfvo>
              <x14:negativeFillColor rgb="FF839DB5"/>
              <x14:axisColor rgb="FF000000"/>
            </x14:dataBar>
          </x14:cfRule>
          <xm:sqref>D75:F75</xm:sqref>
        </x14:conditionalFormatting>
        <x14:conditionalFormatting xmlns:xm="http://schemas.microsoft.com/office/excel/2006/main">
          <x14:cfRule type="dataBar" id="{CE8C26F5-73FD-433C-9582-44AEB459C846}">
            <x14:dataBar minLength="10" maxLength="90" axisPosition="none" gradient="true">
              <x14:cfvo type="num">
                <xm:f>0</xm:f>
              </x14:cfvo>
              <x14:cfvo type="num">
                <xm:f>1</xm:f>
              </x14:cfvo>
              <x14:negativeFillColor rgb="FF839DB5"/>
              <x14:axisColor rgb="FF000000"/>
            </x14:dataBar>
          </x14:cfRule>
          <xm:sqref>D56:F56</xm:sqref>
        </x14:conditionalFormatting>
        <x14:conditionalFormatting xmlns:xm="http://schemas.microsoft.com/office/excel/2006/main">
          <x14:cfRule type="dataBar" id="{4C64385F-5DC7-4A38-B13A-CE8FD658151B}">
            <x14:dataBar minLength="10" maxLength="90" axisPosition="none" gradient="true">
              <x14:cfvo type="num">
                <xm:f>0</xm:f>
              </x14:cfvo>
              <x14:cfvo type="num">
                <xm:f>1</xm:f>
              </x14:cfvo>
              <x14:negativeFillColor rgb="FFFF8C35"/>
              <x14:axisColor rgb="FF000000"/>
            </x14:dataBar>
          </x14:cfRule>
          <xm:sqref>D57:F59</xm:sqref>
        </x14:conditionalFormatting>
        <x14:conditionalFormatting xmlns:xm="http://schemas.microsoft.com/office/excel/2006/main">
          <x14:cfRule type="dataBar" id="{4192D550-C3BB-4EDE-B280-9DD2DEC52F50}">
            <x14:dataBar minLength="10" maxLength="90" axisPosition="none" gradient="true">
              <x14:cfvo type="num">
                <xm:f>0</xm:f>
              </x14:cfvo>
              <x14:cfvo type="num">
                <xm:f>1</xm:f>
              </x14:cfvo>
              <x14:negativeFillColor rgb="FF7FBE5D"/>
              <x14:axisColor rgb="FF000000"/>
            </x14:dataBar>
          </x14:cfRule>
          <xm:sqref>D60:F62</xm:sqref>
        </x14:conditionalFormatting>
        <x14:conditionalFormatting xmlns:xm="http://schemas.microsoft.com/office/excel/2006/main">
          <x14:cfRule type="dataBar" id="{A93C702C-F2F9-42B3-912C-AB1CBE8D80E8}">
            <x14:dataBar minLength="10" maxLength="90" axisPosition="none" gradient="true">
              <x14:cfvo type="num">
                <xm:f>0</xm:f>
              </x14:cfvo>
              <x14:cfvo type="num">
                <xm:f>1</xm:f>
              </x14:cfvo>
              <x14:negativeFillColor rgb="FF839DB5"/>
              <x14:axisColor rgb="FF000000"/>
            </x14:dataBar>
          </x14:cfRule>
          <xm:sqref>D54:F55</xm:sqref>
        </x14:conditionalFormatting>
        <x14:conditionalFormatting xmlns:xm="http://schemas.microsoft.com/office/excel/2006/main">
          <x14:cfRule type="dataBar" id="{47FAF650-E928-4A19-B132-4B2FC46C6265}">
            <x14:dataBar minLength="10" maxLength="90" axisPosition="none" gradient="true">
              <x14:cfvo type="num">
                <xm:f>0</xm:f>
              </x14:cfvo>
              <x14:cfvo type="num">
                <xm:f>3</xm:f>
              </x14:cfvo>
              <x14:negativeFillColor rgb="FF7FBE5D"/>
              <x14:axisColor rgb="FF000000"/>
            </x14:dataBar>
          </x14:cfRule>
          <xm:sqref>J96</xm:sqref>
        </x14:conditionalFormatting>
        <x14:conditionalFormatting xmlns:xm="http://schemas.microsoft.com/office/excel/2006/main">
          <x14:cfRule type="dataBar" id="{B29229F0-16D4-4739-8A2E-18279839E15A}">
            <x14:dataBar minLength="10" maxLength="90" axisPosition="none" gradient="true">
              <x14:cfvo type="num">
                <xm:f>0</xm:f>
              </x14:cfvo>
              <x14:cfvo type="num">
                <xm:f>3</xm:f>
              </x14:cfvo>
              <x14:negativeFillColor rgb="FFFF8C35"/>
              <x14:axisColor rgb="FF000000"/>
            </x14:dataBar>
          </x14:cfRule>
          <xm:sqref>J95</xm:sqref>
        </x14:conditionalFormatting>
        <x14:conditionalFormatting xmlns:xm="http://schemas.microsoft.com/office/excel/2006/main">
          <x14:cfRule type="dataBar" id="{D214FD84-8184-422A-96D0-BC5970DC4A1E}">
            <x14:dataBar minLength="10" maxLength="90" axisPosition="none" gradient="true">
              <x14:cfvo type="num">
                <xm:f>0</xm:f>
              </x14:cfvo>
              <x14:cfvo type="num">
                <xm:f>3</xm:f>
              </x14:cfvo>
              <x14:negativeFillColor rgb="FF839DB5"/>
              <x14:axisColor rgb="FF000000"/>
            </x14:dataBar>
          </x14:cfRule>
          <xm:sqref>J94</xm:sqref>
        </x14:conditionalFormatting>
        <x14:conditionalFormatting xmlns:xm="http://schemas.microsoft.com/office/excel/2006/main">
          <x14:cfRule type="dataBar" id="{2316FE8B-AFB0-4F1A-B347-E97BA1857D9D}">
            <x14:dataBar minLength="10" maxLength="90" axisPosition="none" gradient="true">
              <x14:cfvo type="num">
                <xm:f>0</xm:f>
              </x14:cfvo>
              <x14:cfvo type="num">
                <xm:f>3</xm:f>
              </x14:cfvo>
              <x14:negativeFillColor rgb="FF7FBE5D"/>
              <x14:axisColor rgb="FF000000"/>
            </x14:dataBar>
          </x14:cfRule>
          <xm:sqref>J75</xm:sqref>
        </x14:conditionalFormatting>
        <x14:conditionalFormatting xmlns:xm="http://schemas.microsoft.com/office/excel/2006/main">
          <x14:cfRule type="dataBar" id="{81227090-A4AE-4E10-9A20-28F53D8EACC6}">
            <x14:dataBar minLength="10" maxLength="90" axisPosition="none" gradient="true">
              <x14:cfvo type="num">
                <xm:f>0</xm:f>
              </x14:cfvo>
              <x14:cfvo type="num">
                <xm:f>3</xm:f>
              </x14:cfvo>
              <x14:negativeFillColor rgb="FFFF8C35"/>
              <x14:axisColor rgb="FF000000"/>
            </x14:dataBar>
          </x14:cfRule>
          <xm:sqref>J74</xm:sqref>
        </x14:conditionalFormatting>
        <x14:conditionalFormatting xmlns:xm="http://schemas.microsoft.com/office/excel/2006/main">
          <x14:cfRule type="dataBar" id="{BF4BEA1C-C37B-4B3E-98BF-FCC85EE1374D}">
            <x14:dataBar minLength="10" maxLength="90" axisPosition="none" gradient="true">
              <x14:cfvo type="num">
                <xm:f>0</xm:f>
              </x14:cfvo>
              <x14:cfvo type="num">
                <xm:f>3</xm:f>
              </x14:cfvo>
              <x14:negativeFillColor rgb="FF839DB5"/>
              <x14:axisColor rgb="FF000000"/>
            </x14:dataBar>
          </x14:cfRule>
          <xm:sqref>J73</xm:sqref>
        </x14:conditionalFormatting>
        <x14:conditionalFormatting xmlns:xm="http://schemas.microsoft.com/office/excel/2006/main">
          <x14:cfRule type="dataBar" id="{2ACE648E-1043-45E8-861A-3C29F7BD1462}">
            <x14:dataBar minLength="10" maxLength="90" axisPosition="none" gradient="true">
              <x14:cfvo type="num">
                <xm:f>0</xm:f>
              </x14:cfvo>
              <x14:cfvo type="num">
                <xm:f>3</xm:f>
              </x14:cfvo>
              <x14:negativeFillColor rgb="FF7FBE5D"/>
              <x14:axisColor rgb="FF000000"/>
            </x14:dataBar>
          </x14:cfRule>
          <xm:sqref>J56</xm:sqref>
        </x14:conditionalFormatting>
        <x14:conditionalFormatting xmlns:xm="http://schemas.microsoft.com/office/excel/2006/main">
          <x14:cfRule type="dataBar" id="{2BFBB110-5276-47E9-9685-A1675CCCED3E}">
            <x14:dataBar minLength="10" maxLength="90" axisPosition="none" gradient="true">
              <x14:cfvo type="num">
                <xm:f>0</xm:f>
              </x14:cfvo>
              <x14:cfvo type="num">
                <xm:f>3</xm:f>
              </x14:cfvo>
              <x14:negativeFillColor rgb="FFFF8C35"/>
              <x14:axisColor rgb="FF000000"/>
            </x14:dataBar>
          </x14:cfRule>
          <xm:sqref>J55</xm:sqref>
        </x14:conditionalFormatting>
        <x14:conditionalFormatting xmlns:xm="http://schemas.microsoft.com/office/excel/2006/main">
          <x14:cfRule type="dataBar" id="{A2D6D444-8EB8-45FB-926A-C1476798ADB3}">
            <x14:dataBar minLength="10" maxLength="90" axisPosition="none" gradient="true">
              <x14:cfvo type="num">
                <xm:f>0</xm:f>
              </x14:cfvo>
              <x14:cfvo type="num">
                <xm:f>3</xm:f>
              </x14:cfvo>
              <x14:negativeFillColor rgb="FF839DB5"/>
              <x14:axisColor rgb="FF000000"/>
            </x14:dataBar>
          </x14:cfRule>
          <xm:sqref>J54</xm:sqref>
        </x14:conditionalFormatting>
        <x14:conditionalFormatting xmlns:xm="http://schemas.microsoft.com/office/excel/2006/main">
          <x14:cfRule type="dataBar" id="{5CD047F3-38BF-47DB-9F1E-A710DFA02D8D}">
            <x14:dataBar minLength="10" maxLength="90" axisPosition="none" gradient="true">
              <x14:cfvo type="num">
                <xm:f>0</xm:f>
              </x14:cfvo>
              <x14:cfvo type="num">
                <xm:f>1</xm:f>
              </x14:cfvo>
              <x14:negativeFillColor rgb="FF839DB5"/>
              <x14:axisColor rgb="FF000000"/>
            </x14:dataBar>
          </x14:cfRule>
          <xm:sqref>D94:F95</xm:sqref>
        </x14:conditionalFormatting>
        <x14:conditionalFormatting xmlns:xm="http://schemas.microsoft.com/office/excel/2006/main">
          <x14:cfRule type="dataBar" id="{40E6BF2E-3169-4D38-8456-C890668015D0}">
            <x14:dataBar minLength="10" maxLength="90" axisPosition="none" gradient="true">
              <x14:cfvo type="num">
                <xm:f>0</xm:f>
              </x14:cfvo>
              <x14:cfvo type="num">
                <xm:f>1</xm:f>
              </x14:cfvo>
              <x14:negativeFillColor rgb="FF839DB5"/>
              <x14:axisColor rgb="FF000000"/>
            </x14:dataBar>
          </x14:cfRule>
          <xm:sqref>D73:F74</xm:sqref>
        </x14:conditionalFormatting>
        <x14:conditionalFormatting xmlns:xm="http://schemas.microsoft.com/office/excel/2006/main">
          <x14:cfRule type="dataBar" id="{C1ABBE28-79E5-46D2-A2CC-FA5B2BE020C0}">
            <x14:dataBar minLength="10" maxLength="90" axisPosition="none" gradient="true">
              <x14:cfvo type="num">
                <xm:f>0</xm:f>
              </x14:cfvo>
              <x14:cfvo type="num">
                <xm:f>1</xm:f>
              </x14:cfvo>
              <x14:negativeFillColor rgb="FFFF8C35"/>
              <x14:axisColor rgb="FF000000"/>
            </x14:dataBar>
          </x14:cfRule>
          <xm:sqref>D37:F39</xm:sqref>
        </x14:conditionalFormatting>
        <x14:conditionalFormatting xmlns:xm="http://schemas.microsoft.com/office/excel/2006/main">
          <x14:cfRule type="dataBar" id="{4DE728C6-87E0-43A0-899A-726C14EACBDD}">
            <x14:dataBar minLength="10" maxLength="90" axisPosition="none" gradient="true">
              <x14:cfvo type="num">
                <xm:f>0</xm:f>
              </x14:cfvo>
              <x14:cfvo type="num">
                <xm:f>1</xm:f>
              </x14:cfvo>
              <x14:negativeFillColor rgb="FF7FBE5D"/>
              <x14:axisColor rgb="FF000000"/>
            </x14:dataBar>
          </x14:cfRule>
          <xm:sqref>D40:F42</xm:sqref>
        </x14:conditionalFormatting>
        <x14:conditionalFormatting xmlns:xm="http://schemas.microsoft.com/office/excel/2006/main">
          <x14:cfRule type="dataBar" id="{C79B9A50-E5FE-4840-A67C-F044B5607F77}">
            <x14:dataBar minLength="10" maxLength="90" axisPosition="none" gradient="true">
              <x14:cfvo type="num">
                <xm:f>0</xm:f>
              </x14:cfvo>
              <x14:cfvo type="num">
                <xm:f>3</xm:f>
              </x14:cfvo>
              <x14:negativeFillColor rgb="FF7FBE5D"/>
              <x14:axisColor rgb="FF000000"/>
            </x14:dataBar>
          </x14:cfRule>
          <xm:sqref>J36</xm:sqref>
        </x14:conditionalFormatting>
        <x14:conditionalFormatting xmlns:xm="http://schemas.microsoft.com/office/excel/2006/main">
          <x14:cfRule type="dataBar" id="{27BDDF20-73B1-4290-B695-F71549189E2F}">
            <x14:dataBar minLength="10" maxLength="90" axisPosition="none" gradient="true">
              <x14:cfvo type="num">
                <xm:f>0</xm:f>
              </x14:cfvo>
              <x14:cfvo type="num">
                <xm:f>3</xm:f>
              </x14:cfvo>
              <x14:negativeFillColor rgb="FFFF8C35"/>
              <x14:axisColor rgb="FF000000"/>
            </x14:dataBar>
          </x14:cfRule>
          <xm:sqref>J35</xm:sqref>
        </x14:conditionalFormatting>
        <x14:conditionalFormatting xmlns:xm="http://schemas.microsoft.com/office/excel/2006/main">
          <x14:cfRule type="dataBar" id="{903F191E-B637-43D0-B184-6B518AE130E3}">
            <x14:dataBar minLength="10" maxLength="90" axisPosition="none" gradient="true">
              <x14:cfvo type="num">
                <xm:f>0</xm:f>
              </x14:cfvo>
              <x14:cfvo type="num">
                <xm:f>3</xm:f>
              </x14:cfvo>
              <x14:negativeFillColor rgb="FF839DB5"/>
              <x14:axisColor rgb="FF000000"/>
            </x14:dataBar>
          </x14:cfRule>
          <xm:sqref>J34</xm:sqref>
        </x14:conditionalFormatting>
        <x14:conditionalFormatting xmlns:xm="http://schemas.microsoft.com/office/excel/2006/main">
          <x14:cfRule type="dataBar" id="{A19E8598-A6C6-4181-BA1F-FCB823514071}">
            <x14:dataBar minLength="10" maxLength="90" axisPosition="none" gradient="true">
              <x14:cfvo type="num">
                <xm:f>0</xm:f>
              </x14:cfvo>
              <x14:cfvo type="num">
                <xm:f>1</xm:f>
              </x14:cfvo>
              <x14:negativeFillColor rgb="FF839DB5"/>
              <x14:axisColor rgb="FF000000"/>
            </x14:dataBar>
          </x14:cfRule>
          <xm:sqref>D36:F36</xm:sqref>
        </x14:conditionalFormatting>
        <x14:conditionalFormatting xmlns:xm="http://schemas.microsoft.com/office/excel/2006/main">
          <x14:cfRule type="dataBar" id="{6F87576B-51DB-47A6-A366-F01080A178BE}">
            <x14:dataBar minLength="10" maxLength="90" axisPosition="none" gradient="true">
              <x14:cfvo type="num">
                <xm:f>0</xm:f>
              </x14:cfvo>
              <x14:cfvo type="num">
                <xm:f>1</xm:f>
              </x14:cfvo>
              <x14:negativeFillColor rgb="FF839DB5"/>
              <x14:axisColor rgb="FF000000"/>
            </x14:dataBar>
          </x14:cfRule>
          <xm:sqref>D34:F35</xm:sqref>
        </x14:conditionalFormatting>
        <x14:conditionalFormatting xmlns:xm="http://schemas.microsoft.com/office/excel/2006/main">
          <x14:cfRule type="dataBar" id="{8B88EEA4-D2B8-4BF9-BE19-963B89109DDD}">
            <x14:dataBar minLength="10" maxLength="90" axisPosition="none" gradient="true">
              <x14:cfvo type="num">
                <xm:f>0</xm:f>
              </x14:cfvo>
              <x14:cfvo type="num">
                <xm:f>1</xm:f>
              </x14:cfvo>
              <x14:negativeFillColor rgb="FF7FBE5D"/>
              <x14:axisColor rgb="FF000000"/>
            </x14:dataBar>
          </x14:cfRule>
          <xm:sqref>D20:F22</xm:sqref>
        </x14:conditionalFormatting>
        <x14:conditionalFormatting xmlns:xm="http://schemas.microsoft.com/office/excel/2006/main">
          <x14:cfRule type="dataBar" id="{ECBF109A-8F50-4AF2-BD84-F4A0B557D265}">
            <x14:dataBar minLength="10" maxLength="90" axisPosition="none" gradient="true">
              <x14:cfvo type="num">
                <xm:f>0</xm:f>
              </x14:cfvo>
              <x14:cfvo type="num">
                <xm:f>1</xm:f>
              </x14:cfvo>
              <x14:negativeFillColor rgb="FFFF8C35"/>
              <x14:axisColor rgb="FF000000"/>
            </x14:dataBar>
          </x14:cfRule>
          <xm:sqref>D17:F19</xm:sqref>
        </x14:conditionalFormatting>
        <x14:conditionalFormatting xmlns:xm="http://schemas.microsoft.com/office/excel/2006/main">
          <x14:cfRule type="dataBar" id="{FDDA4DA0-48DA-4AFB-989C-5D799D996173}">
            <x14:dataBar minLength="10" maxLength="90" axisPosition="none" gradient="true">
              <x14:cfvo type="num">
                <xm:f>0</xm:f>
              </x14:cfvo>
              <x14:cfvo type="num">
                <xm:f>3</xm:f>
              </x14:cfvo>
              <x14:negativeFillColor rgb="FF7FBE5D"/>
              <x14:axisColor rgb="FF000000"/>
            </x14:dataBar>
          </x14:cfRule>
          <xm:sqref>J16</xm:sqref>
        </x14:conditionalFormatting>
        <x14:conditionalFormatting xmlns:xm="http://schemas.microsoft.com/office/excel/2006/main">
          <x14:cfRule type="dataBar" id="{232FF3D4-39B0-4557-A6F0-1D42E19317D8}">
            <x14:dataBar minLength="10" maxLength="90" axisPosition="none" gradient="true">
              <x14:cfvo type="num">
                <xm:f>0</xm:f>
              </x14:cfvo>
              <x14:cfvo type="num">
                <xm:f>3</xm:f>
              </x14:cfvo>
              <x14:negativeFillColor rgb="FF929B9B"/>
              <x14:axisColor rgb="FF000000"/>
            </x14:dataBar>
          </x14:cfRule>
          <xm:sqref>J19</xm:sqref>
        </x14:conditionalFormatting>
        <x14:conditionalFormatting xmlns:xm="http://schemas.microsoft.com/office/excel/2006/main">
          <x14:cfRule type="dataBar" id="{F8DCA3C8-5496-44DE-8A9A-7058E050868C}">
            <x14:dataBar minLength="10" maxLength="90" axisPosition="none" gradient="true">
              <x14:cfvo type="num">
                <xm:f>0</xm:f>
              </x14:cfvo>
              <x14:cfvo type="num">
                <xm:f>3</xm:f>
              </x14:cfvo>
              <x14:negativeFillColor rgb="FFFF8C35"/>
              <x14:axisColor rgb="FF000000"/>
            </x14:dataBar>
          </x14:cfRule>
          <xm:sqref>J15</xm:sqref>
        </x14:conditionalFormatting>
        <x14:conditionalFormatting xmlns:xm="http://schemas.microsoft.com/office/excel/2006/main">
          <x14:cfRule type="dataBar" id="{50ABD27B-5CE1-42B2-8385-A16A332EE79D}">
            <x14:dataBar minLength="10" maxLength="90" axisPosition="none" gradient="true">
              <x14:cfvo type="num">
                <xm:f>0</xm:f>
              </x14:cfvo>
              <x14:cfvo type="num">
                <xm:f>3</xm:f>
              </x14:cfvo>
              <x14:negativeFillColor rgb="FF839DB5"/>
              <x14:axisColor rgb="FF000000"/>
            </x14:dataBar>
          </x14:cfRule>
          <xm:sqref>J14</xm:sqref>
        </x14:conditionalFormatting>
        <x14:conditionalFormatting xmlns:xm="http://schemas.microsoft.com/office/excel/2006/main">
          <x14:cfRule type="dataBar" id="{172AF662-44CF-4AE9-A5D7-6D3C72989D8A}">
            <x14:dataBar minLength="10" maxLength="90" axisPosition="none" gradient="true">
              <x14:cfvo type="num">
                <xm:f>0</xm:f>
              </x14:cfvo>
              <x14:cfvo type="num">
                <xm:f>1</xm:f>
              </x14:cfvo>
              <x14:negativeFillColor rgb="FF839DB5"/>
              <x14:axisColor rgb="FF000000"/>
            </x14:dataBar>
          </x14:cfRule>
          <xm:sqref>D14:F16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4"/>
  <sheetViews>
    <sheetView showFormulas="false" showGridLines="true" showRowColHeaders="true" showZeros="true" rightToLeft="false" tabSelected="false" showOutlineSymbols="true" defaultGridColor="true" view="normal" topLeftCell="B116" colorId="64" zoomScale="55" zoomScaleNormal="55" zoomScalePageLayoutView="100" workbookViewId="0">
      <selection pane="topLeft" activeCell="R131" activeCellId="0" sqref="R131"/>
    </sheetView>
  </sheetViews>
  <sheetFormatPr defaultColWidth="8.84765625" defaultRowHeight="12.75" customHeight="true" zeroHeight="false" outlineLevelRow="0" outlineLevelCol="0"/>
  <cols>
    <col collapsed="false" customWidth="true" hidden="true" outlineLevel="0" max="1" min="1" style="19" width="11"/>
    <col collapsed="false" customWidth="true" hidden="false" outlineLevel="0" max="2" min="2" style="19" width="15.38"/>
    <col collapsed="false" customWidth="true" hidden="false" outlineLevel="0" max="3" min="3" style="19" width="7.38"/>
    <col collapsed="false" customWidth="true" hidden="false" outlineLevel="0" max="4" min="4" style="21" width="71.69"/>
    <col collapsed="false" customWidth="true" hidden="true" outlineLevel="0" max="5" min="5" style="22" width="5.15"/>
    <col collapsed="false" customWidth="true" hidden="false" outlineLevel="0" max="6" min="6" style="23" width="40.53"/>
    <col collapsed="false" customWidth="true" hidden="true" outlineLevel="0" max="7" min="7" style="19" width="8.53"/>
    <col collapsed="false" customWidth="true" hidden="true" outlineLevel="0" max="8" min="8" style="24" width="8.53"/>
    <col collapsed="false" customWidth="true" hidden="false" outlineLevel="0" max="9" min="9" style="25" width="15"/>
    <col collapsed="false" customWidth="true" hidden="false" outlineLevel="0" max="10" min="10" style="20" width="40.53"/>
    <col collapsed="false" customWidth="true" hidden="true" outlineLevel="0" max="11" min="11" style="20" width="7"/>
    <col collapsed="false" customWidth="true" hidden="true" outlineLevel="0" max="12" min="12" style="20" width="9.15"/>
    <col collapsed="false" customWidth="true" hidden="false" outlineLevel="0" max="13" min="13" style="20" width="16.38"/>
    <col collapsed="false" customWidth="true" hidden="false" outlineLevel="0" max="14" min="14" style="20" width="40.53"/>
    <col collapsed="false" customWidth="true" hidden="true" outlineLevel="0" max="15" min="15" style="20" width="28.53"/>
    <col collapsed="false" customWidth="true" hidden="true" outlineLevel="0" max="16" min="16" style="20" width="15"/>
    <col collapsed="false" customWidth="true" hidden="false" outlineLevel="0" max="17" min="17" style="20" width="15"/>
    <col collapsed="false" customWidth="true" hidden="false" outlineLevel="0" max="18" min="18" style="20" width="40.53"/>
    <col collapsed="false" customWidth="true" hidden="true" outlineLevel="0" max="20" min="19" style="20" width="15"/>
    <col collapsed="false" customWidth="true" hidden="false" outlineLevel="0" max="21" min="21" style="20" width="15"/>
    <col collapsed="false" customWidth="true" hidden="false" outlineLevel="0" max="22" min="22" style="20" width="40.53"/>
    <col collapsed="false" customWidth="true" hidden="true" outlineLevel="0" max="24" min="23" style="20" width="15"/>
    <col collapsed="false" customWidth="true" hidden="false" outlineLevel="0" max="25" min="25" style="20" width="15"/>
    <col collapsed="false" customWidth="true" hidden="false" outlineLevel="0" max="26" min="26" style="20" width="17.38"/>
    <col collapsed="false" customWidth="false" hidden="false" outlineLevel="0" max="16384" min="27" style="20" width="8.85"/>
  </cols>
  <sheetData>
    <row r="1" customFormat="false" ht="18" hidden="false" customHeight="true" outlineLevel="0" collapsed="false">
      <c r="B1" s="246" t="str">
        <f aca="false">CONCATENATE("SAMM Assessment Interview: ",D11," For ",D10)</f>
        <v>SAMM Assessment Interview:  For </v>
      </c>
      <c r="C1" s="30"/>
      <c r="D1" s="247"/>
      <c r="E1" s="247"/>
      <c r="F1" s="247"/>
      <c r="G1" s="247"/>
      <c r="H1" s="247"/>
      <c r="I1" s="27"/>
      <c r="J1" s="28"/>
      <c r="K1" s="28"/>
      <c r="L1" s="28"/>
      <c r="M1" s="28"/>
      <c r="N1" s="28"/>
      <c r="O1" s="28"/>
      <c r="P1" s="28"/>
      <c r="Q1" s="28"/>
      <c r="R1" s="28"/>
      <c r="S1" s="28"/>
      <c r="T1" s="28"/>
      <c r="U1" s="28"/>
      <c r="V1" s="28"/>
      <c r="W1" s="28"/>
      <c r="X1" s="28"/>
      <c r="Y1" s="28"/>
    </row>
    <row r="2" customFormat="false" ht="15" hidden="false" customHeight="true" outlineLevel="0" collapsed="false">
      <c r="B2" s="248"/>
      <c r="C2" s="29"/>
      <c r="D2" s="28"/>
      <c r="E2" s="29"/>
      <c r="F2" s="30"/>
      <c r="G2" s="29"/>
      <c r="H2" s="31"/>
      <c r="I2" s="27"/>
      <c r="J2" s="28"/>
      <c r="K2" s="28"/>
      <c r="L2" s="28"/>
      <c r="M2" s="28"/>
      <c r="N2" s="28"/>
      <c r="O2" s="28"/>
      <c r="P2" s="28"/>
      <c r="Q2" s="28"/>
      <c r="R2" s="28"/>
      <c r="S2" s="28"/>
      <c r="T2" s="28"/>
      <c r="U2" s="28"/>
      <c r="V2" s="28"/>
      <c r="W2" s="28"/>
      <c r="X2" s="28"/>
      <c r="Y2" s="28"/>
    </row>
    <row r="3" customFormat="false" ht="12.75" hidden="false" customHeight="false" outlineLevel="0" collapsed="false">
      <c r="B3" s="249" t="s">
        <v>202</v>
      </c>
      <c r="C3" s="250"/>
      <c r="D3" s="251"/>
      <c r="E3" s="251"/>
      <c r="F3" s="252"/>
      <c r="G3" s="247"/>
      <c r="H3" s="247"/>
      <c r="I3" s="27"/>
      <c r="J3" s="28"/>
      <c r="K3" s="28"/>
      <c r="L3" s="28"/>
      <c r="M3" s="28"/>
      <c r="N3" s="28"/>
      <c r="O3" s="28"/>
      <c r="P3" s="28"/>
      <c r="Q3" s="28"/>
      <c r="R3" s="28"/>
      <c r="S3" s="28"/>
      <c r="T3" s="28"/>
      <c r="U3" s="28"/>
      <c r="V3" s="28"/>
      <c r="W3" s="28"/>
      <c r="X3" s="28"/>
      <c r="Y3" s="28"/>
    </row>
    <row r="4" customFormat="false" ht="12.75" hidden="false" customHeight="false" outlineLevel="0" collapsed="false">
      <c r="B4" s="253" t="s">
        <v>203</v>
      </c>
      <c r="C4" s="254"/>
      <c r="D4" s="255"/>
      <c r="E4" s="255"/>
      <c r="F4" s="256"/>
      <c r="G4" s="28"/>
      <c r="H4" s="28"/>
      <c r="I4" s="27"/>
      <c r="J4" s="28"/>
      <c r="K4" s="28"/>
      <c r="L4" s="28"/>
      <c r="M4" s="28"/>
      <c r="N4" s="28"/>
      <c r="O4" s="28"/>
      <c r="P4" s="28"/>
      <c r="Q4" s="28"/>
      <c r="R4" s="28"/>
      <c r="S4" s="28"/>
      <c r="T4" s="28"/>
      <c r="U4" s="28"/>
      <c r="V4" s="28"/>
      <c r="W4" s="28"/>
      <c r="X4" s="28"/>
      <c r="Y4" s="28"/>
    </row>
    <row r="5" customFormat="false" ht="12.75" hidden="false" customHeight="false" outlineLevel="0" collapsed="false">
      <c r="B5" s="257" t="s">
        <v>204</v>
      </c>
      <c r="C5" s="258"/>
      <c r="D5" s="259"/>
      <c r="E5" s="259"/>
      <c r="F5" s="260"/>
      <c r="G5" s="28"/>
      <c r="H5" s="28"/>
      <c r="I5" s="27"/>
      <c r="J5" s="28"/>
      <c r="K5" s="28"/>
      <c r="L5" s="28"/>
      <c r="M5" s="28"/>
      <c r="N5" s="28"/>
      <c r="O5" s="28"/>
      <c r="P5" s="28"/>
      <c r="Q5" s="28"/>
      <c r="R5" s="28"/>
      <c r="S5" s="28"/>
      <c r="T5" s="28"/>
      <c r="U5" s="28"/>
      <c r="V5" s="28"/>
      <c r="W5" s="28"/>
      <c r="X5" s="28"/>
      <c r="Y5" s="28"/>
    </row>
    <row r="6" customFormat="false" ht="12.75" hidden="false" customHeight="false" outlineLevel="0" collapsed="false">
      <c r="B6" s="257" t="s">
        <v>205</v>
      </c>
      <c r="C6" s="258"/>
      <c r="D6" s="259"/>
      <c r="E6" s="259"/>
      <c r="F6" s="260"/>
      <c r="G6" s="28"/>
      <c r="H6" s="28"/>
      <c r="I6" s="27"/>
      <c r="J6" s="28"/>
      <c r="K6" s="28"/>
      <c r="L6" s="28"/>
      <c r="M6" s="28"/>
      <c r="N6" s="28"/>
      <c r="O6" s="28"/>
      <c r="P6" s="28"/>
      <c r="Q6" s="28"/>
      <c r="R6" s="28"/>
      <c r="S6" s="28"/>
      <c r="T6" s="28"/>
      <c r="U6" s="28"/>
      <c r="V6" s="28"/>
      <c r="W6" s="28"/>
      <c r="X6" s="28"/>
      <c r="Y6" s="28"/>
    </row>
    <row r="7" customFormat="false" ht="12.75" hidden="false" customHeight="false" outlineLevel="0" collapsed="false">
      <c r="B7" s="257" t="s">
        <v>206</v>
      </c>
      <c r="C7" s="258"/>
      <c r="D7" s="259"/>
      <c r="E7" s="259"/>
      <c r="F7" s="260"/>
      <c r="G7" s="28"/>
      <c r="H7" s="28"/>
      <c r="I7" s="27"/>
      <c r="J7" s="28"/>
      <c r="K7" s="28"/>
      <c r="L7" s="28"/>
      <c r="M7" s="28"/>
      <c r="N7" s="28"/>
      <c r="O7" s="28"/>
      <c r="P7" s="28"/>
      <c r="Q7" s="28"/>
      <c r="R7" s="28"/>
      <c r="S7" s="28"/>
      <c r="T7" s="28"/>
      <c r="U7" s="28"/>
      <c r="V7" s="28"/>
      <c r="W7" s="28"/>
      <c r="X7" s="28"/>
      <c r="Y7" s="28"/>
    </row>
    <row r="8" customFormat="false" ht="15" hidden="false" customHeight="true" outlineLevel="0" collapsed="false">
      <c r="B8" s="261" t="s">
        <v>207</v>
      </c>
      <c r="C8" s="262"/>
      <c r="D8" s="263"/>
      <c r="E8" s="263"/>
      <c r="F8" s="264"/>
      <c r="G8" s="28"/>
      <c r="H8" s="28"/>
      <c r="I8" s="27"/>
      <c r="J8" s="28"/>
      <c r="K8" s="28"/>
      <c r="L8" s="28"/>
      <c r="M8" s="28"/>
      <c r="N8" s="28"/>
      <c r="O8" s="28"/>
      <c r="P8" s="28"/>
      <c r="Q8" s="28"/>
      <c r="R8" s="28"/>
      <c r="S8" s="28"/>
      <c r="T8" s="28"/>
      <c r="U8" s="28"/>
      <c r="V8" s="28"/>
      <c r="W8" s="28"/>
      <c r="X8" s="28"/>
      <c r="Y8" s="28"/>
    </row>
    <row r="9" customFormat="false" ht="15" hidden="false" customHeight="true" outlineLevel="0" collapsed="false">
      <c r="B9" s="248"/>
      <c r="C9" s="29"/>
      <c r="D9" s="28"/>
      <c r="E9" s="29"/>
      <c r="F9" s="30"/>
      <c r="G9" s="29"/>
      <c r="H9" s="31"/>
      <c r="I9" s="27"/>
      <c r="J9" s="28"/>
      <c r="K9" s="28"/>
      <c r="L9" s="28"/>
      <c r="M9" s="28"/>
      <c r="N9" s="28"/>
      <c r="O9" s="28"/>
      <c r="P9" s="28"/>
      <c r="Q9" s="28"/>
      <c r="R9" s="28"/>
      <c r="S9" s="28"/>
      <c r="T9" s="28"/>
      <c r="U9" s="28"/>
      <c r="V9" s="28"/>
      <c r="W9" s="28"/>
      <c r="X9" s="28"/>
      <c r="Y9" s="28"/>
    </row>
    <row r="10" customFormat="false" ht="15" hidden="false" customHeight="true" outlineLevel="0" collapsed="false">
      <c r="B10" s="265" t="s">
        <v>208</v>
      </c>
      <c r="C10" s="265"/>
      <c r="D10" s="266" t="str">
        <f aca="false">IF(ISBLANK(Interview!D10),"",Interview!D10)</f>
        <v/>
      </c>
      <c r="E10" s="29"/>
      <c r="F10" s="30"/>
      <c r="G10" s="29"/>
      <c r="H10" s="31"/>
      <c r="I10" s="27"/>
      <c r="J10" s="28"/>
      <c r="K10" s="28"/>
      <c r="L10" s="28"/>
      <c r="M10" s="28"/>
      <c r="N10" s="28"/>
      <c r="O10" s="28"/>
      <c r="P10" s="28"/>
      <c r="Q10" s="28"/>
      <c r="R10" s="28"/>
      <c r="S10" s="28"/>
      <c r="T10" s="28"/>
      <c r="U10" s="28"/>
      <c r="V10" s="28"/>
      <c r="W10" s="28"/>
      <c r="X10" s="28"/>
      <c r="Y10" s="28"/>
    </row>
    <row r="11" customFormat="false" ht="15" hidden="false" customHeight="true" outlineLevel="0" collapsed="false">
      <c r="B11" s="267" t="s">
        <v>209</v>
      </c>
      <c r="C11" s="267"/>
      <c r="D11" s="268" t="str">
        <f aca="false">IF(ISBLANK(Interview!D11),"",Interview!D11)</f>
        <v/>
      </c>
      <c r="E11" s="29"/>
      <c r="F11" s="30"/>
      <c r="G11" s="29"/>
      <c r="H11" s="31"/>
      <c r="I11" s="27"/>
      <c r="J11" s="28"/>
      <c r="K11" s="28"/>
      <c r="L11" s="28"/>
      <c r="M11" s="28"/>
      <c r="N11" s="28"/>
      <c r="O11" s="28"/>
      <c r="P11" s="28"/>
      <c r="Q11" s="28"/>
      <c r="R11" s="28"/>
      <c r="S11" s="28"/>
      <c r="T11" s="28"/>
      <c r="U11" s="28"/>
      <c r="V11" s="28"/>
      <c r="W11" s="28"/>
      <c r="X11" s="28"/>
      <c r="Y11" s="28"/>
    </row>
    <row r="12" customFormat="false" ht="15" hidden="false" customHeight="true" outlineLevel="0" collapsed="false">
      <c r="B12" s="267" t="s">
        <v>210</v>
      </c>
      <c r="C12" s="267"/>
      <c r="D12" s="269" t="str">
        <f aca="false">IF(ISBLANK(Interview!D12),"",Interview!D12)</f>
        <v/>
      </c>
      <c r="E12" s="42"/>
      <c r="F12" s="30"/>
      <c r="G12" s="29"/>
      <c r="H12" s="31"/>
      <c r="I12" s="27"/>
      <c r="J12" s="28"/>
      <c r="K12" s="28"/>
      <c r="L12" s="28"/>
      <c r="M12" s="28"/>
      <c r="N12" s="28"/>
      <c r="O12" s="28"/>
      <c r="P12" s="28"/>
      <c r="Q12" s="28"/>
      <c r="R12" s="28"/>
      <c r="S12" s="28"/>
      <c r="T12" s="28"/>
      <c r="U12" s="28"/>
      <c r="V12" s="28"/>
      <c r="W12" s="28"/>
      <c r="X12" s="28"/>
      <c r="Y12" s="28"/>
    </row>
    <row r="13" customFormat="false" ht="15" hidden="false" customHeight="true" outlineLevel="0" collapsed="false">
      <c r="B13" s="267" t="s">
        <v>211</v>
      </c>
      <c r="C13" s="267"/>
      <c r="D13" s="268" t="str">
        <f aca="false">IF(ISBLANK(Interview!D13),"",Interview!D13)</f>
        <v/>
      </c>
      <c r="E13" s="29"/>
      <c r="F13" s="30"/>
      <c r="G13" s="29"/>
      <c r="H13" s="31"/>
      <c r="I13" s="27"/>
      <c r="J13" s="28"/>
      <c r="K13" s="28"/>
      <c r="L13" s="28"/>
      <c r="M13" s="28"/>
      <c r="N13" s="28"/>
      <c r="O13" s="28"/>
      <c r="P13" s="28"/>
      <c r="Q13" s="28"/>
      <c r="R13" s="28"/>
      <c r="S13" s="28"/>
      <c r="T13" s="28"/>
      <c r="U13" s="28"/>
      <c r="V13" s="28"/>
      <c r="W13" s="28"/>
      <c r="X13" s="28"/>
      <c r="Y13" s="28"/>
    </row>
    <row r="14" customFormat="false" ht="24" hidden="false" customHeight="true" outlineLevel="0" collapsed="false">
      <c r="A14" s="43" t="str">
        <f aca="false">IF(A15=A16,"OK","Problem")</f>
        <v>OK</v>
      </c>
      <c r="B14" s="270" t="s">
        <v>12</v>
      </c>
      <c r="C14" s="270"/>
      <c r="D14" s="271" t="str">
        <f aca="false">IF(ISBLANK(Interview!D14),"",Interview!D14)</f>
        <v/>
      </c>
      <c r="E14" s="29"/>
      <c r="F14" s="30"/>
      <c r="G14" s="29"/>
      <c r="H14" s="31"/>
      <c r="I14" s="27"/>
      <c r="J14" s="28"/>
      <c r="K14" s="28"/>
      <c r="L14" s="28"/>
      <c r="M14" s="28"/>
      <c r="N14" s="28"/>
      <c r="O14" s="28"/>
      <c r="P14" s="28"/>
      <c r="Q14" s="28"/>
      <c r="R14" s="28"/>
      <c r="S14" s="28"/>
      <c r="T14" s="28"/>
      <c r="U14" s="28"/>
      <c r="V14" s="28"/>
      <c r="W14" s="28"/>
      <c r="X14" s="28"/>
      <c r="Y14" s="28"/>
    </row>
    <row r="15" customFormat="false" ht="12.75" hidden="false" customHeight="false" outlineLevel="0" collapsed="false">
      <c r="A15" s="20" t="n">
        <f aca="false">COUNTA('imp-questions'!A2:A300)</f>
        <v>90</v>
      </c>
      <c r="B15" s="29"/>
      <c r="C15" s="29"/>
      <c r="D15" s="28"/>
      <c r="E15" s="29"/>
      <c r="F15" s="30"/>
      <c r="G15" s="29"/>
      <c r="H15" s="31"/>
      <c r="I15" s="27"/>
      <c r="J15" s="28"/>
      <c r="K15" s="28"/>
      <c r="L15" s="28"/>
      <c r="M15" s="28"/>
      <c r="N15" s="28"/>
      <c r="O15" s="28"/>
      <c r="P15" s="28"/>
      <c r="Q15" s="28"/>
      <c r="R15" s="28"/>
      <c r="S15" s="28"/>
      <c r="T15" s="28"/>
      <c r="U15" s="28"/>
      <c r="V15" s="28"/>
      <c r="W15" s="28"/>
      <c r="X15" s="28"/>
      <c r="Y15" s="28"/>
    </row>
    <row r="16" customFormat="false" ht="21.75" hidden="false" customHeight="true" outlineLevel="0" collapsed="false">
      <c r="A16" s="20" t="n">
        <f aca="false">COUNTA(A18:A175)</f>
        <v>90</v>
      </c>
      <c r="B16" s="272" t="s">
        <v>212</v>
      </c>
      <c r="C16" s="272"/>
      <c r="D16" s="272"/>
      <c r="E16" s="273"/>
      <c r="F16" s="274" t="s">
        <v>249</v>
      </c>
      <c r="G16" s="274"/>
      <c r="H16" s="274"/>
      <c r="I16" s="274"/>
      <c r="J16" s="274" t="s">
        <v>250</v>
      </c>
      <c r="K16" s="274"/>
      <c r="L16" s="274"/>
      <c r="M16" s="274"/>
      <c r="N16" s="274" t="s">
        <v>251</v>
      </c>
      <c r="O16" s="274"/>
      <c r="P16" s="274"/>
      <c r="Q16" s="274"/>
      <c r="R16" s="274" t="s">
        <v>252</v>
      </c>
      <c r="S16" s="274"/>
      <c r="T16" s="274"/>
      <c r="U16" s="274"/>
      <c r="V16" s="275" t="s">
        <v>253</v>
      </c>
      <c r="W16" s="275"/>
      <c r="X16" s="275"/>
      <c r="Y16" s="275"/>
      <c r="Z16" s="275"/>
    </row>
    <row r="17" customFormat="false" ht="15.75" hidden="false" customHeight="true" outlineLevel="0" collapsed="false">
      <c r="B17" s="48" t="s">
        <v>213</v>
      </c>
      <c r="C17" s="276" t="s">
        <v>214</v>
      </c>
      <c r="D17" s="48" t="s">
        <v>215</v>
      </c>
      <c r="E17" s="277"/>
      <c r="F17" s="278" t="s">
        <v>216</v>
      </c>
      <c r="G17" s="278"/>
      <c r="H17" s="279"/>
      <c r="I17" s="52" t="s">
        <v>218</v>
      </c>
      <c r="J17" s="50" t="s">
        <v>216</v>
      </c>
      <c r="K17" s="278"/>
      <c r="L17" s="279"/>
      <c r="M17" s="52" t="s">
        <v>218</v>
      </c>
      <c r="N17" s="50" t="s">
        <v>216</v>
      </c>
      <c r="O17" s="278"/>
      <c r="P17" s="279"/>
      <c r="Q17" s="52" t="s">
        <v>218</v>
      </c>
      <c r="R17" s="50" t="s">
        <v>216</v>
      </c>
      <c r="S17" s="278"/>
      <c r="T17" s="279"/>
      <c r="U17" s="52" t="s">
        <v>218</v>
      </c>
      <c r="V17" s="50" t="s">
        <v>216</v>
      </c>
      <c r="W17" s="278"/>
      <c r="X17" s="279"/>
      <c r="Y17" s="52" t="s">
        <v>218</v>
      </c>
      <c r="Z17" s="52" t="s">
        <v>254</v>
      </c>
    </row>
    <row r="18" customFormat="false" ht="27.75" hidden="false" customHeight="true" outlineLevel="0" collapsed="false">
      <c r="A18" s="19" t="str">
        <f aca="false">Interview!A18</f>
        <v>G-SM-A-1-1</v>
      </c>
      <c r="B18" s="280" t="str">
        <f aca="false">INDEX('imp-questions'!D:D, MATCH(A18, 'imp-questions'!A:A, 0))</f>
        <v>Create and Promote</v>
      </c>
      <c r="C18" s="54" t="n">
        <f aca="false">INDEX('imp-questions'!E:E, MATCH(A18, 'imp-questions'!A:A, 0))</f>
        <v>1</v>
      </c>
      <c r="D18" s="281" t="str">
        <f aca="false">INDEX('imp-questions'!F:F, MATCH(A18, 'imp-questions'!A:A, 0))</f>
        <v>Do you understand the enterprise-wide risk appetite for your applications?</v>
      </c>
      <c r="E18" s="282" t="str">
        <f aca="false">CHAR(65+INDEX('imp-questions'!H:H, MATCH(A18, 'imp-questions'!A:A, 0)))</f>
        <v>N</v>
      </c>
      <c r="F18" s="283" t="str">
        <f aca="false">IF(ISBLANK(Interview!F18),"",Interview!F18)</f>
        <v/>
      </c>
      <c r="G18" s="88" t="n">
        <f aca="true">IFERROR(INDEX(INDIRECT("Ans" &amp; E18 &amp; "TBL"), MATCH(F18, INDEX(INDIRECT("Ans" &amp; E18 &amp; "TBL"), 0, 1), 0), 2), 0)</f>
        <v>0</v>
      </c>
      <c r="H18" s="284" t="n">
        <f aca="false">IFERROR(AVERAGE(G18,G22),0)</f>
        <v>0</v>
      </c>
      <c r="I18" s="285" t="n">
        <f aca="false">SUM(H18,H19,H20)</f>
        <v>0</v>
      </c>
      <c r="J18" s="286" t="str">
        <f aca="false">F18</f>
        <v/>
      </c>
      <c r="K18" s="88" t="n">
        <f aca="true">IFERROR(INDEX(INDIRECT("Ans" &amp; E18 &amp; "TBL"), MATCH(J18, INDEX(INDIRECT("Ans" &amp; E18 &amp; "TBL"), 0, 1), 0), 2), 0)</f>
        <v>0</v>
      </c>
      <c r="L18" s="284" t="n">
        <f aca="false">IFERROR(AVERAGE(K18,K22),0)</f>
        <v>0</v>
      </c>
      <c r="M18" s="285" t="n">
        <f aca="false">SUM(L18,L19,L20)</f>
        <v>0</v>
      </c>
      <c r="N18" s="286" t="str">
        <f aca="false">J18</f>
        <v/>
      </c>
      <c r="O18" s="287" t="n">
        <f aca="true">IFERROR(INDEX(INDIRECT("Ans" &amp; E18 &amp; "TBL"), MATCH(N18, INDEX(INDIRECT("Ans" &amp; E18 &amp; "TBL"), 0, 1), 0), 2), 0)</f>
        <v>0</v>
      </c>
      <c r="P18" s="284" t="n">
        <f aca="false">IFERROR(AVERAGE(O18,O22),0)</f>
        <v>0</v>
      </c>
      <c r="Q18" s="285" t="n">
        <f aca="false">SUM(P18,P19,P20)</f>
        <v>0</v>
      </c>
      <c r="R18" s="286" t="str">
        <f aca="false">N18</f>
        <v/>
      </c>
      <c r="S18" s="288" t="n">
        <f aca="true">IFERROR(INDEX(INDIRECT("Ans" &amp; E18 &amp; "TBL"), MATCH(R18, INDEX(INDIRECT("Ans" &amp; E18 &amp; "TBL"), 0, 1), 0), 2), 0)</f>
        <v>0</v>
      </c>
      <c r="T18" s="284" t="n">
        <f aca="false">IFERROR(AVERAGE(S18,S22),0)</f>
        <v>0</v>
      </c>
      <c r="U18" s="285" t="n">
        <f aca="false">SUM(T18,T19,T20)</f>
        <v>0</v>
      </c>
      <c r="V18" s="286" t="str">
        <f aca="false">R18</f>
        <v/>
      </c>
      <c r="W18" s="288" t="n">
        <f aca="true">IFERROR(INDEX(INDIRECT("Ans" &amp; E18 &amp; "TBL"), MATCH(V18, INDEX(INDIRECT("Ans" &amp; E18 &amp; "TBL"), 0, 1), 0), 2), 0)</f>
        <v>0</v>
      </c>
      <c r="X18" s="284" t="n">
        <f aca="false">IFERROR(AVERAGE(W18,W22),0)</f>
        <v>0</v>
      </c>
      <c r="Y18" s="285" t="n">
        <f aca="false">SUM(X18,X19,X20)</f>
        <v>0</v>
      </c>
      <c r="Z18" s="285" t="n">
        <f aca="false">IFERROR(Y18-I18,Y18-LEFT(I18,1))</f>
        <v>0</v>
      </c>
    </row>
    <row r="19" customFormat="false" ht="27.75" hidden="false" customHeight="true" outlineLevel="0" collapsed="false">
      <c r="A19" s="19" t="str">
        <f aca="false">Interview!A20</f>
        <v>G-SM-A-2-1</v>
      </c>
      <c r="B19" s="280"/>
      <c r="C19" s="54" t="n">
        <f aca="false">INDEX('imp-questions'!E:E, MATCH(A19, 'imp-questions'!A:A, 0))</f>
        <v>2</v>
      </c>
      <c r="D19" s="281" t="str">
        <f aca="false">INDEX('imp-questions'!F:F, MATCH(A19, 'imp-questions'!A:A, 0))</f>
        <v>Do you have a strategic plan for application security and use it to make decisions?</v>
      </c>
      <c r="E19" s="282" t="str">
        <f aca="false">CHAR(65+INDEX('imp-questions'!H:H, MATCH(A19, 'imp-questions'!A:A, 0)))</f>
        <v>O</v>
      </c>
      <c r="F19" s="283" t="str">
        <f aca="false">IF(ISBLANK(Interview!F20),"",Interview!F20)</f>
        <v/>
      </c>
      <c r="G19" s="88" t="n">
        <f aca="true">IFERROR(INDEX(INDIRECT("Ans" &amp; E19 &amp; "TBL"), MATCH(F19, INDEX(INDIRECT("Ans" &amp; E19 &amp; "TBL"), 0, 1), 0), 2), 0)</f>
        <v>0</v>
      </c>
      <c r="H19" s="289" t="n">
        <f aca="false">IFERROR(AVERAGE(G19,G23),0)</f>
        <v>0</v>
      </c>
      <c r="I19" s="285"/>
      <c r="J19" s="286" t="str">
        <f aca="false">F19</f>
        <v/>
      </c>
      <c r="K19" s="88" t="n">
        <f aca="true">IFERROR(INDEX(INDIRECT("Ans" &amp; E19 &amp; "TBL"), MATCH(J19, INDEX(INDIRECT("Ans" &amp; E19 &amp; "TBL"), 0, 1), 0), 2), 0)</f>
        <v>0</v>
      </c>
      <c r="L19" s="289" t="n">
        <f aca="false">IFERROR(AVERAGE(K19,K23),0)</f>
        <v>0</v>
      </c>
      <c r="M19" s="285"/>
      <c r="N19" s="286" t="str">
        <f aca="false">J19</f>
        <v/>
      </c>
      <c r="O19" s="290" t="n">
        <f aca="true">IFERROR(INDEX(INDIRECT("Ans" &amp; E19 &amp; "TBL"), MATCH(N19, INDEX(INDIRECT("Ans" &amp; E19 &amp; "TBL"), 0, 1), 0), 2), 0)</f>
        <v>0</v>
      </c>
      <c r="P19" s="289" t="n">
        <f aca="false">IFERROR(AVERAGE(O19,O23),0)</f>
        <v>0</v>
      </c>
      <c r="Q19" s="285"/>
      <c r="R19" s="286" t="str">
        <f aca="false">N19</f>
        <v/>
      </c>
      <c r="S19" s="88" t="n">
        <f aca="true">IFERROR(INDEX(INDIRECT("Ans" &amp; E19 &amp; "TBL"), MATCH(R19, INDEX(INDIRECT("Ans" &amp; E19 &amp; "TBL"), 0, 1), 0), 2), 0)</f>
        <v>0</v>
      </c>
      <c r="T19" s="291" t="n">
        <f aca="false">IFERROR(AVERAGE(S19,S23),0)</f>
        <v>0</v>
      </c>
      <c r="U19" s="285"/>
      <c r="V19" s="286" t="str">
        <f aca="false">R19</f>
        <v/>
      </c>
      <c r="W19" s="292" t="n">
        <f aca="true">IFERROR(INDEX(INDIRECT("Ans" &amp; E19 &amp; "TBL"), MATCH(V19, INDEX(INDIRECT("Ans" &amp; E19 &amp; "TBL"), 0, 1), 0), 2), 0)</f>
        <v>0</v>
      </c>
      <c r="X19" s="289" t="n">
        <f aca="false">IFERROR(AVERAGE(W19,W23),0)</f>
        <v>0</v>
      </c>
      <c r="Y19" s="285"/>
      <c r="Z19" s="285"/>
    </row>
    <row r="20" customFormat="false" ht="27.75" hidden="false" customHeight="true" outlineLevel="0" collapsed="false">
      <c r="A20" s="19" t="str">
        <f aca="false">Interview!A22</f>
        <v>G-SM-A-3-1</v>
      </c>
      <c r="B20" s="280"/>
      <c r="C20" s="54" t="n">
        <f aca="false">INDEX('imp-questions'!E:E, MATCH(A20, 'imp-questions'!A:A, 0))</f>
        <v>3</v>
      </c>
      <c r="D20" s="293" t="str">
        <f aca="false">INDEX('imp-questions'!F:F, MATCH(A20, 'imp-questions'!A:A, 0))</f>
        <v>Do you regularly review and update the Strategic Plan for Application Security?</v>
      </c>
      <c r="E20" s="282" t="str">
        <f aca="false">CHAR(65+INDEX('imp-questions'!H:H, MATCH(A20, 'imp-questions'!A:A, 0)))</f>
        <v>P</v>
      </c>
      <c r="F20" s="294" t="str">
        <f aca="false">IF(ISBLANK(Interview!F22),"",Interview!F22)</f>
        <v/>
      </c>
      <c r="G20" s="88" t="n">
        <f aca="true">IFERROR(INDEX(INDIRECT("Ans" &amp; E20 &amp; "TBL"), MATCH(F20, INDEX(INDIRECT("Ans" &amp; E20 &amp; "TBL"), 0, 1), 0), 2), 0)</f>
        <v>0</v>
      </c>
      <c r="H20" s="289" t="n">
        <f aca="false">IFERROR(AVERAGE(G20,G24),0)</f>
        <v>0</v>
      </c>
      <c r="I20" s="285"/>
      <c r="J20" s="286" t="str">
        <f aca="false">F20</f>
        <v/>
      </c>
      <c r="K20" s="88" t="n">
        <f aca="true">IFERROR(INDEX(INDIRECT("Ans" &amp; E20 &amp; "TBL"), MATCH(J20, INDEX(INDIRECT("Ans" &amp; E20 &amp; "TBL"), 0, 1), 0), 2), 0)</f>
        <v>0</v>
      </c>
      <c r="L20" s="289" t="n">
        <f aca="false">IFERROR(AVERAGE(K20,K24),0)</f>
        <v>0</v>
      </c>
      <c r="M20" s="285"/>
      <c r="N20" s="286" t="str">
        <f aca="false">J20</f>
        <v/>
      </c>
      <c r="O20" s="295" t="n">
        <f aca="true">IFERROR(INDEX(INDIRECT("Ans" &amp; E20 &amp; "TBL"), MATCH(N20, INDEX(INDIRECT("Ans" &amp; E20 &amp; "TBL"), 0, 1), 0), 2), 0)</f>
        <v>0</v>
      </c>
      <c r="P20" s="289" t="n">
        <f aca="false">IFERROR(AVERAGE(O20,O24),0)</f>
        <v>0</v>
      </c>
      <c r="Q20" s="285"/>
      <c r="R20" s="286" t="str">
        <f aca="false">N20</f>
        <v/>
      </c>
      <c r="S20" s="88" t="n">
        <f aca="true">IFERROR(INDEX(INDIRECT("Ans" &amp; E20 &amp; "TBL"), MATCH(R20, INDEX(INDIRECT("Ans" &amp; E20 &amp; "TBL"), 0, 1), 0), 2), 0)</f>
        <v>0</v>
      </c>
      <c r="T20" s="291" t="n">
        <f aca="false">IFERROR(AVERAGE(S20,S24),0)</f>
        <v>0</v>
      </c>
      <c r="U20" s="285"/>
      <c r="V20" s="286" t="str">
        <f aca="false">R20</f>
        <v/>
      </c>
      <c r="W20" s="296" t="n">
        <f aca="true">IFERROR(INDEX(INDIRECT("Ans" &amp; E20 &amp; "TBL"), MATCH(V20, INDEX(INDIRECT("Ans" &amp; E20 &amp; "TBL"), 0, 1), 0), 2), 0)</f>
        <v>0</v>
      </c>
      <c r="X20" s="289" t="n">
        <f aca="false">IFERROR(AVERAGE(W20,W24),0)</f>
        <v>0</v>
      </c>
      <c r="Y20" s="285"/>
      <c r="Z20" s="285"/>
    </row>
    <row r="21" customFormat="false" ht="12.75" hidden="false" customHeight="true" outlineLevel="0" collapsed="false">
      <c r="B21" s="297"/>
      <c r="C21" s="298"/>
      <c r="D21" s="76"/>
      <c r="E21" s="124"/>
      <c r="F21" s="76"/>
      <c r="G21" s="124"/>
      <c r="H21" s="124"/>
      <c r="I21" s="285"/>
      <c r="J21" s="76"/>
      <c r="K21" s="124"/>
      <c r="L21" s="124"/>
      <c r="M21" s="285"/>
      <c r="N21" s="76"/>
      <c r="O21" s="76"/>
      <c r="P21" s="124"/>
      <c r="Q21" s="285"/>
      <c r="R21" s="76"/>
      <c r="S21" s="124"/>
      <c r="T21" s="124"/>
      <c r="U21" s="285"/>
      <c r="V21" s="76"/>
      <c r="W21" s="124"/>
      <c r="X21" s="124"/>
      <c r="Y21" s="285"/>
      <c r="Z21" s="285"/>
    </row>
    <row r="22" customFormat="false" ht="27.75" hidden="false" customHeight="true" outlineLevel="0" collapsed="false">
      <c r="A22" s="19" t="str">
        <f aca="false">Interview!A25</f>
        <v>G-SM-B-1-1</v>
      </c>
      <c r="B22" s="280" t="str">
        <f aca="false">INDEX('imp-questions'!D:D, MATCH(A22, 'imp-questions'!A:A, 0))</f>
        <v>Measure and Improve</v>
      </c>
      <c r="C22" s="54" t="n">
        <f aca="false">INDEX('imp-questions'!E:E, MATCH(A22, 'imp-questions'!A:A, 0))</f>
        <v>1</v>
      </c>
      <c r="D22" s="281" t="str">
        <f aca="false">INDEX('imp-questions'!F:F, MATCH(A22, 'imp-questions'!A:A, 0))</f>
        <v>Do you use a set of metrics to measure the effectiveness and efficiency of the application security program across applications?</v>
      </c>
      <c r="E22" s="299" t="str">
        <f aca="false">CHAR(65+INDEX('imp-questions'!H:H, MATCH(A22, 'imp-questions'!A:A, 0)))</f>
        <v>Q</v>
      </c>
      <c r="F22" s="286" t="str">
        <f aca="false">IF(ISBLANK(Interview!F25),"",Interview!F25)</f>
        <v/>
      </c>
      <c r="G22" s="300" t="n">
        <f aca="true">IFERROR(INDEX(INDIRECT("Ans" &amp; E22 &amp; "TBL"), MATCH(F22, INDEX(INDIRECT("Ans" &amp; E22 &amp; "TBL"), 0, 1), 0), 2), 0)</f>
        <v>0</v>
      </c>
      <c r="H22" s="301"/>
      <c r="I22" s="285"/>
      <c r="J22" s="286" t="str">
        <f aca="false">F22</f>
        <v/>
      </c>
      <c r="K22" s="88" t="n">
        <f aca="true">IFERROR(INDEX(INDIRECT("Ans" &amp; E22 &amp; "TBL"), MATCH(J22, INDEX(INDIRECT("Ans" &amp; E22 &amp; "TBL"), 0, 1), 0), 2), 0)</f>
        <v>0</v>
      </c>
      <c r="L22" s="301"/>
      <c r="M22" s="285"/>
      <c r="N22" s="286" t="str">
        <f aca="false">J22</f>
        <v/>
      </c>
      <c r="O22" s="302" t="n">
        <f aca="true">IFERROR(INDEX(INDIRECT("Ans" &amp; E22 &amp; "TBL"), MATCH(N22, INDEX(INDIRECT("Ans" &amp; E22 &amp; "TBL"), 0, 1), 0), 2), 0)</f>
        <v>0</v>
      </c>
      <c r="P22" s="301"/>
      <c r="Q22" s="285"/>
      <c r="R22" s="286" t="str">
        <f aca="false">N22</f>
        <v/>
      </c>
      <c r="S22" s="88" t="n">
        <f aca="true">IFERROR(INDEX(INDIRECT("Ans" &amp; E22 &amp; "TBL"), MATCH(R22, INDEX(INDIRECT("Ans" &amp; E22 &amp; "TBL"), 0, 1), 0), 2), 0)</f>
        <v>0</v>
      </c>
      <c r="T22" s="303"/>
      <c r="U22" s="285"/>
      <c r="V22" s="286" t="str">
        <f aca="false">R22</f>
        <v/>
      </c>
      <c r="W22" s="288" t="n">
        <f aca="true">IFERROR(INDEX(INDIRECT("Ans" &amp; E22 &amp; "TBL"), MATCH(V22, INDEX(INDIRECT("Ans" &amp; E22 &amp; "TBL"), 0, 1), 0), 2), 0)</f>
        <v>0</v>
      </c>
      <c r="X22" s="301"/>
      <c r="Y22" s="285"/>
      <c r="Z22" s="285"/>
    </row>
    <row r="23" customFormat="false" ht="27.75" hidden="false" customHeight="true" outlineLevel="0" collapsed="false">
      <c r="A23" s="19" t="str">
        <f aca="false">Interview!A27</f>
        <v>G-SM-B-2-1</v>
      </c>
      <c r="B23" s="280"/>
      <c r="C23" s="54" t="n">
        <f aca="false">INDEX('imp-questions'!E:E, MATCH(A23, 'imp-questions'!A:A, 0))</f>
        <v>2</v>
      </c>
      <c r="D23" s="281" t="str">
        <f aca="false">INDEX('imp-questions'!F:F, MATCH(A23, 'imp-questions'!A:A, 0))</f>
        <v>Did you define Key Performance Indicators (KPI) from available application security metrics?</v>
      </c>
      <c r="E23" s="304" t="str">
        <f aca="false">CHAR(65+INDEX('imp-questions'!H:H, MATCH(A23, 'imp-questions'!A:A, 0)))</f>
        <v>S</v>
      </c>
      <c r="F23" s="283" t="str">
        <f aca="false">IF(ISBLANK(Interview!F27),"",Interview!F27)</f>
        <v/>
      </c>
      <c r="G23" s="300" t="n">
        <f aca="true">IFERROR(INDEX(INDIRECT("Ans" &amp; E23 &amp; "TBL"), MATCH(F23, INDEX(INDIRECT("Ans" &amp; E23 &amp; "TBL"), 0, 1), 0), 2), 0)</f>
        <v>0</v>
      </c>
      <c r="H23" s="305"/>
      <c r="I23" s="285"/>
      <c r="J23" s="286" t="str">
        <f aca="false">F23</f>
        <v/>
      </c>
      <c r="K23" s="88" t="n">
        <f aca="true">IFERROR(INDEX(INDIRECT("Ans" &amp; E23 &amp; "TBL"), MATCH(J23, INDEX(INDIRECT("Ans" &amp; E23 &amp; "TBL"), 0, 1), 0), 2), 0)</f>
        <v>0</v>
      </c>
      <c r="L23" s="305"/>
      <c r="M23" s="285"/>
      <c r="N23" s="286" t="str">
        <f aca="false">J23</f>
        <v/>
      </c>
      <c r="O23" s="302" t="n">
        <f aca="true">IFERROR(INDEX(INDIRECT("Ans" &amp; E23 &amp; "TBL"), MATCH(N23, INDEX(INDIRECT("Ans" &amp; E23 &amp; "TBL"), 0, 1), 0), 2), 0)</f>
        <v>0</v>
      </c>
      <c r="P23" s="305"/>
      <c r="Q23" s="285"/>
      <c r="R23" s="286" t="str">
        <f aca="false">N23</f>
        <v/>
      </c>
      <c r="S23" s="88" t="n">
        <f aca="true">IFERROR(INDEX(INDIRECT("Ans" &amp; E23 &amp; "TBL"), MATCH(R23, INDEX(INDIRECT("Ans" &amp; E23 &amp; "TBL"), 0, 1), 0), 2), 0)</f>
        <v>0</v>
      </c>
      <c r="T23" s="306"/>
      <c r="U23" s="285"/>
      <c r="V23" s="286" t="str">
        <f aca="false">R23</f>
        <v/>
      </c>
      <c r="W23" s="292" t="n">
        <f aca="true">IFERROR(INDEX(INDIRECT("Ans" &amp; E23 &amp; "TBL"), MATCH(V23, INDEX(INDIRECT("Ans" &amp; E23 &amp; "TBL"), 0, 1), 0), 2), 0)</f>
        <v>0</v>
      </c>
      <c r="X23" s="305"/>
      <c r="Y23" s="285"/>
      <c r="Z23" s="285"/>
    </row>
    <row r="24" customFormat="false" ht="27.75" hidden="false" customHeight="true" outlineLevel="0" collapsed="false">
      <c r="A24" s="19" t="str">
        <f aca="false">Interview!A29</f>
        <v>G-SM-B-3-1</v>
      </c>
      <c r="B24" s="280"/>
      <c r="C24" s="54" t="n">
        <f aca="false">INDEX('imp-questions'!E:E, MATCH(A24, 'imp-questions'!A:A, 0))</f>
        <v>3</v>
      </c>
      <c r="D24" s="293" t="str">
        <f aca="false">INDEX('imp-questions'!F:F, MATCH(A24, 'imp-questions'!A:A, 0))</f>
        <v>Do you update the Application Security strategy and roadmap based on application security metrics and KPIs?</v>
      </c>
      <c r="E24" s="307" t="str">
        <f aca="false">CHAR(65+INDEX('imp-questions'!H:H, MATCH(A24, 'imp-questions'!A:A, 0)))</f>
        <v>P</v>
      </c>
      <c r="F24" s="283" t="str">
        <f aca="false">IF(ISBLANK(Interview!F29),"",Interview!F29)</f>
        <v/>
      </c>
      <c r="G24" s="300" t="n">
        <f aca="true">IFERROR(INDEX(INDIRECT("Ans" &amp; E24 &amp; "TBL"), MATCH(F24, INDEX(INDIRECT("Ans" &amp; E24 &amp; "TBL"), 0, 1), 0), 2), 0)</f>
        <v>0</v>
      </c>
      <c r="H24" s="308"/>
      <c r="I24" s="285"/>
      <c r="J24" s="286" t="str">
        <f aca="false">F24</f>
        <v/>
      </c>
      <c r="K24" s="88" t="n">
        <f aca="true">IFERROR(INDEX(INDIRECT("Ans" &amp; E24 &amp; "TBL"), MATCH(J24, INDEX(INDIRECT("Ans" &amp; E24 &amp; "TBL"), 0, 1), 0), 2), 0)</f>
        <v>0</v>
      </c>
      <c r="L24" s="308"/>
      <c r="M24" s="285"/>
      <c r="N24" s="286" t="str">
        <f aca="false">J24</f>
        <v/>
      </c>
      <c r="O24" s="88" t="n">
        <f aca="true">IFERROR(INDEX(INDIRECT("Ans" &amp; E24 &amp; "TBL"), MATCH(N24, INDEX(INDIRECT("Ans" &amp; E24 &amp; "TBL"), 0, 1), 0), 2), 0)</f>
        <v>0</v>
      </c>
      <c r="P24" s="308"/>
      <c r="Q24" s="285"/>
      <c r="R24" s="286" t="str">
        <f aca="false">N24</f>
        <v/>
      </c>
      <c r="S24" s="88" t="n">
        <f aca="true">IFERROR(INDEX(INDIRECT("Ans" &amp; E24 &amp; "TBL"), MATCH(R24, INDEX(INDIRECT("Ans" &amp; E24 &amp; "TBL"), 0, 1), 0), 2), 0)</f>
        <v>0</v>
      </c>
      <c r="T24" s="309"/>
      <c r="U24" s="285"/>
      <c r="V24" s="286" t="str">
        <f aca="false">R24</f>
        <v/>
      </c>
      <c r="W24" s="296" t="n">
        <f aca="true">IFERROR(INDEX(INDIRECT("Ans" &amp; E24 &amp; "TBL"), MATCH(V24, INDEX(INDIRECT("Ans" &amp; E24 &amp; "TBL"), 0, 1), 0), 2), 0)</f>
        <v>0</v>
      </c>
      <c r="X24" s="308"/>
      <c r="Y24" s="285"/>
      <c r="Z24" s="285"/>
    </row>
    <row r="25" customFormat="false" ht="12.75" hidden="false" customHeight="true" outlineLevel="0" collapsed="false">
      <c r="B25" s="297"/>
      <c r="C25" s="298"/>
      <c r="D25" s="76"/>
      <c r="E25" s="76"/>
      <c r="F25" s="76"/>
      <c r="G25" s="76"/>
      <c r="H25" s="76"/>
      <c r="I25" s="76"/>
      <c r="J25" s="76"/>
      <c r="K25" s="76"/>
      <c r="L25" s="76"/>
      <c r="M25" s="76"/>
      <c r="N25" s="76"/>
      <c r="O25" s="76"/>
      <c r="P25" s="76"/>
      <c r="Q25" s="76"/>
      <c r="R25" s="76"/>
      <c r="S25" s="76"/>
      <c r="T25" s="76"/>
      <c r="U25" s="76"/>
      <c r="V25" s="76"/>
      <c r="W25" s="76"/>
      <c r="X25" s="76"/>
      <c r="Y25" s="76"/>
      <c r="Z25" s="76"/>
    </row>
    <row r="26" customFormat="false" ht="15.75" hidden="false" customHeight="true" outlineLevel="0" collapsed="false">
      <c r="B26" s="48" t="s">
        <v>213</v>
      </c>
      <c r="C26" s="276" t="s">
        <v>214</v>
      </c>
      <c r="D26" s="310" t="s">
        <v>219</v>
      </c>
      <c r="E26" s="311"/>
      <c r="F26" s="312" t="s">
        <v>216</v>
      </c>
      <c r="G26" s="313"/>
      <c r="H26" s="314"/>
      <c r="I26" s="52" t="s">
        <v>218</v>
      </c>
      <c r="J26" s="312" t="s">
        <v>216</v>
      </c>
      <c r="K26" s="312"/>
      <c r="L26" s="314"/>
      <c r="M26" s="52" t="s">
        <v>218</v>
      </c>
      <c r="N26" s="312" t="s">
        <v>216</v>
      </c>
      <c r="O26" s="312"/>
      <c r="P26" s="314"/>
      <c r="Q26" s="52" t="s">
        <v>218</v>
      </c>
      <c r="R26" s="312" t="s">
        <v>216</v>
      </c>
      <c r="S26" s="312"/>
      <c r="T26" s="314"/>
      <c r="U26" s="52" t="s">
        <v>218</v>
      </c>
      <c r="V26" s="312" t="s">
        <v>216</v>
      </c>
      <c r="W26" s="312"/>
      <c r="X26" s="314"/>
      <c r="Y26" s="52" t="s">
        <v>218</v>
      </c>
      <c r="Z26" s="52" t="s">
        <v>254</v>
      </c>
    </row>
    <row r="27" customFormat="false" ht="27.75" hidden="false" customHeight="true" outlineLevel="0" collapsed="false">
      <c r="A27" s="19" t="str">
        <f aca="false">Interview!A32</f>
        <v>G-PC-A-1-1</v>
      </c>
      <c r="B27" s="280" t="str">
        <f aca="false">INDEX('imp-questions'!D:D, MATCH(A27, 'imp-questions'!A:A, 0))</f>
        <v>Policy and Standards</v>
      </c>
      <c r="C27" s="54" t="n">
        <f aca="false">INDEX('imp-questions'!E:E, MATCH(A27, 'imp-questions'!A:A, 0))</f>
        <v>1</v>
      </c>
      <c r="D27" s="281" t="str">
        <f aca="false">INDEX('imp-questions'!F:F, MATCH(A27, 'imp-questions'!A:A, 0))</f>
        <v>Do you have and apply a common set of policies and standards throughout your organization?</v>
      </c>
      <c r="E27" s="56" t="str">
        <f aca="false">CHAR(65+INDEX('imp-questions'!H:H, MATCH(A27, 'imp-questions'!A:A, 0)))</f>
        <v>A</v>
      </c>
      <c r="F27" s="283" t="str">
        <f aca="false">IF(ISBLANK(Interview!F32),"",Interview!F32)</f>
        <v/>
      </c>
      <c r="G27" s="88" t="n">
        <f aca="true">IFERROR(INDEX(INDIRECT("Ans" &amp; E27 &amp; "TBL"), MATCH(F27, INDEX(INDIRECT("Ans" &amp; E27 &amp; "TBL"), 0, 1), 0), 2), 0)</f>
        <v>0</v>
      </c>
      <c r="H27" s="284" t="n">
        <f aca="false">IFERROR(AVERAGE(G27,G31),0)</f>
        <v>0</v>
      </c>
      <c r="I27" s="315" t="n">
        <f aca="false">SUM(H27,H28,H29)</f>
        <v>0</v>
      </c>
      <c r="J27" s="286" t="str">
        <f aca="false">F27</f>
        <v/>
      </c>
      <c r="K27" s="302" t="n">
        <f aca="true">IFERROR(INDEX(INDIRECT("Ans" &amp; E27 &amp; "TBL"), MATCH(J27, INDEX(INDIRECT("Ans" &amp; E27 &amp; "TBL"), 0, 1), 0), 2), 0)</f>
        <v>0</v>
      </c>
      <c r="L27" s="284" t="n">
        <f aca="false">IFERROR(AVERAGE(K27,K31),0)</f>
        <v>0</v>
      </c>
      <c r="M27" s="315" t="n">
        <f aca="false">SUM(L27,L28,L29)</f>
        <v>0</v>
      </c>
      <c r="N27" s="286" t="str">
        <f aca="false">J27</f>
        <v/>
      </c>
      <c r="O27" s="302" t="n">
        <f aca="true">IFERROR(INDEX(INDIRECT("Ans" &amp; E27 &amp; "TBL"), MATCH(N27, INDEX(INDIRECT("Ans" &amp; E27 &amp; "TBL"), 0, 1), 0), 2), 0)</f>
        <v>0</v>
      </c>
      <c r="P27" s="284" t="n">
        <f aca="false">IFERROR(AVERAGE(O27,O31),0)</f>
        <v>0</v>
      </c>
      <c r="Q27" s="315" t="n">
        <f aca="false">SUM(P27,P28,P29)</f>
        <v>0</v>
      </c>
      <c r="R27" s="286" t="str">
        <f aca="false">N27</f>
        <v/>
      </c>
      <c r="S27" s="88" t="n">
        <f aca="true">IFERROR(INDEX(INDIRECT("Ans" &amp; E27 &amp; "TBL"), MATCH(R27, INDEX(INDIRECT("Ans" &amp; E27 &amp; "TBL"), 0, 1), 0), 2), 0)</f>
        <v>0</v>
      </c>
      <c r="T27" s="316" t="n">
        <f aca="false">IFERROR(AVERAGE(S27,S31),0)</f>
        <v>0</v>
      </c>
      <c r="U27" s="315" t="n">
        <f aca="false">SUM(T27,T28,T29)</f>
        <v>0</v>
      </c>
      <c r="V27" s="286" t="str">
        <f aca="false">R27</f>
        <v/>
      </c>
      <c r="W27" s="302" t="n">
        <f aca="true">IFERROR(INDEX(INDIRECT("Ans" &amp; E27 &amp; "TBL"), MATCH(V27, INDEX(INDIRECT("Ans" &amp; E27 &amp; "TBL"), 0, 1), 0), 2), 0)</f>
        <v>0</v>
      </c>
      <c r="X27" s="284" t="n">
        <f aca="false">IFERROR(AVERAGE(W27,W31),0)</f>
        <v>0</v>
      </c>
      <c r="Y27" s="315" t="n">
        <f aca="false">SUM(X27,X28,X29)</f>
        <v>0</v>
      </c>
      <c r="Z27" s="315" t="n">
        <f aca="false">SUM(Y27,Y28,Y29)</f>
        <v>0</v>
      </c>
    </row>
    <row r="28" customFormat="false" ht="27.75" hidden="false" customHeight="true" outlineLevel="0" collapsed="false">
      <c r="A28" s="19" t="str">
        <f aca="false">Interview!A34</f>
        <v>G-PC-A-2-1</v>
      </c>
      <c r="B28" s="280"/>
      <c r="C28" s="54" t="n">
        <f aca="false">INDEX('imp-questions'!E:E, MATCH(A28, 'imp-questions'!A:A, 0))</f>
        <v>2</v>
      </c>
      <c r="D28" s="281" t="str">
        <f aca="false">INDEX('imp-questions'!F:F, MATCH(A28, 'imp-questions'!A:A, 0))</f>
        <v>Do you publish the organization's policies as test scripts or run-books for easy interpretation by development teams?</v>
      </c>
      <c r="E28" s="56" t="str">
        <f aca="false">CHAR(65+INDEX('imp-questions'!H:H, MATCH(A28, 'imp-questions'!A:A, 0)))</f>
        <v>C</v>
      </c>
      <c r="F28" s="283" t="str">
        <f aca="false">IF(ISBLANK(Interview!F34),"",Interview!F34)</f>
        <v/>
      </c>
      <c r="G28" s="88" t="n">
        <f aca="true">IFERROR(INDEX(INDIRECT("Ans" &amp; E28 &amp; "TBL"), MATCH(F28, INDEX(INDIRECT("Ans" &amp; E28 &amp; "TBL"), 0, 1), 0), 2), 0)</f>
        <v>0</v>
      </c>
      <c r="H28" s="289" t="n">
        <f aca="false">IFERROR(AVERAGE(G28,G32),0)</f>
        <v>0</v>
      </c>
      <c r="I28" s="315"/>
      <c r="J28" s="286" t="str">
        <f aca="false">F28</f>
        <v/>
      </c>
      <c r="K28" s="302" t="n">
        <f aca="true">IFERROR(INDEX(INDIRECT("Ans" &amp; E28 &amp; "TBL"), MATCH(J28, INDEX(INDIRECT("Ans" &amp; E28 &amp; "TBL"), 0, 1), 0), 2), 0)</f>
        <v>0</v>
      </c>
      <c r="L28" s="289" t="n">
        <f aca="false">IFERROR(AVERAGE(K28,K32),0)</f>
        <v>0</v>
      </c>
      <c r="M28" s="315"/>
      <c r="N28" s="286" t="str">
        <f aca="false">J28</f>
        <v/>
      </c>
      <c r="O28" s="302" t="n">
        <f aca="true">IFERROR(INDEX(INDIRECT("Ans" &amp; E28 &amp; "TBL"), MATCH(N28, INDEX(INDIRECT("Ans" &amp; E28 &amp; "TBL"), 0, 1), 0), 2), 0)</f>
        <v>0</v>
      </c>
      <c r="P28" s="289" t="n">
        <f aca="false">IFERROR(AVERAGE(O28,O32),0)</f>
        <v>0</v>
      </c>
      <c r="Q28" s="315"/>
      <c r="R28" s="286" t="str">
        <f aca="false">N28</f>
        <v/>
      </c>
      <c r="S28" s="88" t="n">
        <f aca="true">IFERROR(INDEX(INDIRECT("Ans" &amp; E28 &amp; "TBL"), MATCH(R28, INDEX(INDIRECT("Ans" &amp; E28 &amp; "TBL"), 0, 1), 0), 2), 0)</f>
        <v>0</v>
      </c>
      <c r="T28" s="291" t="n">
        <f aca="false">IFERROR(AVERAGE(S28,S32),0)</f>
        <v>0</v>
      </c>
      <c r="U28" s="315"/>
      <c r="V28" s="286" t="str">
        <f aca="false">R28</f>
        <v/>
      </c>
      <c r="W28" s="302" t="n">
        <f aca="true">IFERROR(INDEX(INDIRECT("Ans" &amp; E28 &amp; "TBL"), MATCH(V28, INDEX(INDIRECT("Ans" &amp; E28 &amp; "TBL"), 0, 1), 0), 2), 0)</f>
        <v>0</v>
      </c>
      <c r="X28" s="289" t="n">
        <f aca="false">IFERROR(AVERAGE(W28,W32),0)</f>
        <v>0</v>
      </c>
      <c r="Y28" s="315"/>
      <c r="Z28" s="315"/>
    </row>
    <row r="29" customFormat="false" ht="27.75" hidden="false" customHeight="true" outlineLevel="0" collapsed="false">
      <c r="A29" s="19" t="str">
        <f aca="false">Interview!A36</f>
        <v>G-PC-A-3-1</v>
      </c>
      <c r="B29" s="280"/>
      <c r="C29" s="54" t="n">
        <f aca="false">INDEX('imp-questions'!E:E, MATCH(A29, 'imp-questions'!A:A, 0))</f>
        <v>3</v>
      </c>
      <c r="D29" s="293" t="str">
        <f aca="false">INDEX('imp-questions'!F:F, MATCH(A29, 'imp-questions'!A:A, 0))</f>
        <v>Do you regularly report on policy and standard compliance, and use that information to guide compliance improvement efforts?</v>
      </c>
      <c r="E29" s="56" t="str">
        <f aca="false">CHAR(65+INDEX('imp-questions'!H:H, MATCH(A29, 'imp-questions'!A:A, 0)))</f>
        <v>T</v>
      </c>
      <c r="F29" s="283" t="str">
        <f aca="false">IF(ISBLANK(Interview!F36),"",Interview!F36)</f>
        <v/>
      </c>
      <c r="G29" s="88" t="n">
        <f aca="true">IFERROR(INDEX(INDIRECT("Ans" &amp; E29 &amp; "TBL"), MATCH(F29, INDEX(INDIRECT("Ans" &amp; E29 &amp; "TBL"), 0, 1), 0), 2), 0)</f>
        <v>0</v>
      </c>
      <c r="H29" s="289" t="n">
        <f aca="false">IFERROR(AVERAGE(G29,G33),0)</f>
        <v>0</v>
      </c>
      <c r="I29" s="315"/>
      <c r="J29" s="286" t="str">
        <f aca="false">F29</f>
        <v/>
      </c>
      <c r="K29" s="302" t="n">
        <f aca="true">IFERROR(INDEX(INDIRECT("Ans" &amp; E29 &amp; "TBL"), MATCH(J29, INDEX(INDIRECT("Ans" &amp; E29 &amp; "TBL"), 0, 1), 0), 2), 0)</f>
        <v>0</v>
      </c>
      <c r="L29" s="289" t="n">
        <f aca="false">IFERROR(AVERAGE(K29,K33),0)</f>
        <v>0</v>
      </c>
      <c r="M29" s="315"/>
      <c r="N29" s="286" t="str">
        <f aca="false">J29</f>
        <v/>
      </c>
      <c r="O29" s="302" t="n">
        <f aca="true">IFERROR(INDEX(INDIRECT("Ans" &amp; E29 &amp; "TBL"), MATCH(N29, INDEX(INDIRECT("Ans" &amp; E29 &amp; "TBL"), 0, 1), 0), 2), 0)</f>
        <v>0</v>
      </c>
      <c r="P29" s="289" t="n">
        <f aca="false">IFERROR(AVERAGE(O29,O33),0)</f>
        <v>0</v>
      </c>
      <c r="Q29" s="315"/>
      <c r="R29" s="286" t="str">
        <f aca="false">N29</f>
        <v/>
      </c>
      <c r="S29" s="88" t="n">
        <f aca="true">IFERROR(INDEX(INDIRECT("Ans" &amp; E29 &amp; "TBL"), MATCH(R29, INDEX(INDIRECT("Ans" &amp; E29 &amp; "TBL"), 0, 1), 0), 2), 0)</f>
        <v>0</v>
      </c>
      <c r="T29" s="291" t="n">
        <f aca="false">IFERROR(AVERAGE(S29,S33),0)</f>
        <v>0</v>
      </c>
      <c r="U29" s="315"/>
      <c r="V29" s="286" t="str">
        <f aca="false">R29</f>
        <v/>
      </c>
      <c r="W29" s="302" t="n">
        <f aca="true">IFERROR(INDEX(INDIRECT("Ans" &amp; E29 &amp; "TBL"), MATCH(V29, INDEX(INDIRECT("Ans" &amp; E29 &amp; "TBL"), 0, 1), 0), 2), 0)</f>
        <v>0</v>
      </c>
      <c r="X29" s="289" t="n">
        <f aca="false">IFERROR(AVERAGE(W29,W33),0)</f>
        <v>0</v>
      </c>
      <c r="Y29" s="315"/>
      <c r="Z29" s="315"/>
    </row>
    <row r="30" customFormat="false" ht="12.75" hidden="false" customHeight="true" outlineLevel="0" collapsed="false">
      <c r="B30" s="317"/>
      <c r="C30" s="318"/>
      <c r="D30" s="75"/>
      <c r="E30" s="75"/>
      <c r="F30" s="75"/>
      <c r="G30" s="75"/>
      <c r="H30" s="319"/>
      <c r="I30" s="315"/>
      <c r="J30" s="75"/>
      <c r="K30" s="75"/>
      <c r="L30" s="319"/>
      <c r="M30" s="315"/>
      <c r="N30" s="75"/>
      <c r="O30" s="75"/>
      <c r="P30" s="75"/>
      <c r="Q30" s="315"/>
      <c r="R30" s="75"/>
      <c r="S30" s="320"/>
      <c r="T30" s="319"/>
      <c r="U30" s="315"/>
      <c r="V30" s="75"/>
      <c r="W30" s="75"/>
      <c r="X30" s="319"/>
      <c r="Y30" s="315"/>
      <c r="Z30" s="315"/>
    </row>
    <row r="31" customFormat="false" ht="27.75" hidden="false" customHeight="true" outlineLevel="0" collapsed="false">
      <c r="A31" s="19" t="str">
        <f aca="false">Interview!A39</f>
        <v>G-PC-B-1-1</v>
      </c>
      <c r="B31" s="280" t="str">
        <f aca="false">INDEX('imp-questions'!D:D, MATCH(A31, 'imp-questions'!A:A, 0))</f>
        <v>Compliance Management</v>
      </c>
      <c r="C31" s="54" t="n">
        <f aca="false">INDEX('imp-questions'!E:E, MATCH(A31, 'imp-questions'!A:A, 0))</f>
        <v>1</v>
      </c>
      <c r="D31" s="281" t="str">
        <f aca="false">INDEX('imp-questions'!F:F, MATCH(A31, 'imp-questions'!A:A, 0))</f>
        <v>Do you have a complete picture of your external compliance obligations?</v>
      </c>
      <c r="E31" s="56" t="str">
        <f aca="false">CHAR(65+INDEX('imp-questions'!H:H, MATCH(A31, 'imp-questions'!A:A, 0)))</f>
        <v>A</v>
      </c>
      <c r="F31" s="286" t="str">
        <f aca="false">IF(ISBLANK(Interview!F39),"",Interview!F39)</f>
        <v/>
      </c>
      <c r="G31" s="302" t="n">
        <f aca="true">IFERROR(INDEX(INDIRECT("Ans" &amp; E31 &amp; "TBL"), MATCH(F31, INDEX(INDIRECT("Ans" &amp; E31 &amp; "TBL"), 0, 1), 0), 2), 0)</f>
        <v>0</v>
      </c>
      <c r="H31" s="321"/>
      <c r="I31" s="315"/>
      <c r="J31" s="286" t="str">
        <f aca="false">F31</f>
        <v/>
      </c>
      <c r="K31" s="302" t="n">
        <f aca="true">IFERROR(INDEX(INDIRECT("Ans" &amp; E31 &amp; "TBL"), MATCH(J31, INDEX(INDIRECT("Ans" &amp; E31 &amp; "TBL"), 0, 1), 0), 2), 0)</f>
        <v>0</v>
      </c>
      <c r="L31" s="321"/>
      <c r="M31" s="315"/>
      <c r="N31" s="286" t="str">
        <f aca="false">J31</f>
        <v/>
      </c>
      <c r="O31" s="322" t="n">
        <f aca="true">IFERROR(INDEX(INDIRECT("Ans" &amp; E31 &amp; "TBL"), MATCH(N31, INDEX(INDIRECT("Ans" &amp; E31 &amp; "TBL"), 0, 1), 0), 2), 0)</f>
        <v>0</v>
      </c>
      <c r="P31" s="323"/>
      <c r="Q31" s="315"/>
      <c r="R31" s="286" t="str">
        <f aca="false">N31</f>
        <v/>
      </c>
      <c r="S31" s="88" t="n">
        <f aca="true">IFERROR(INDEX(INDIRECT("Ans" &amp; E31 &amp; "TBL"), MATCH(R31, INDEX(INDIRECT("Ans" &amp; E31 &amp; "TBL"), 0, 1), 0), 2), 0)</f>
        <v>0</v>
      </c>
      <c r="T31" s="324"/>
      <c r="U31" s="315"/>
      <c r="V31" s="286" t="str">
        <f aca="false">R31</f>
        <v/>
      </c>
      <c r="W31" s="302" t="n">
        <f aca="true">IFERROR(INDEX(INDIRECT("Ans" &amp; E31 &amp; "TBL"), MATCH(V31, INDEX(INDIRECT("Ans" &amp; E31 &amp; "TBL"), 0, 1), 0), 2), 0)</f>
        <v>0</v>
      </c>
      <c r="X31" s="321"/>
      <c r="Y31" s="315"/>
      <c r="Z31" s="315"/>
    </row>
    <row r="32" customFormat="false" ht="27.75" hidden="false" customHeight="true" outlineLevel="0" collapsed="false">
      <c r="A32" s="19" t="str">
        <f aca="false">Interview!A41</f>
        <v>G-PC-B-2-1</v>
      </c>
      <c r="B32" s="280"/>
      <c r="C32" s="54" t="n">
        <f aca="false">INDEX('imp-questions'!E:E, MATCH(A32, 'imp-questions'!A:A, 0))</f>
        <v>2</v>
      </c>
      <c r="D32" s="281" t="str">
        <f aca="false">INDEX('imp-questions'!F:F, MATCH(A32, 'imp-questions'!A:A, 0))</f>
        <v>Do you have a standard set of security requirements and verification procedures addressing the organization's external compliance obligations?</v>
      </c>
      <c r="E32" s="56" t="str">
        <f aca="false">CHAR(65+INDEX('imp-questions'!H:H, MATCH(A32, 'imp-questions'!A:A, 0)))</f>
        <v>U</v>
      </c>
      <c r="F32" s="283" t="str">
        <f aca="false">IF(ISBLANK(Interview!F41),"",Interview!F41)</f>
        <v/>
      </c>
      <c r="G32" s="302" t="n">
        <f aca="true">IFERROR(INDEX(INDIRECT("Ans" &amp; E32 &amp; "TBL"), MATCH(F32, INDEX(INDIRECT("Ans" &amp; E32 &amp; "TBL"), 0, 1), 0), 2), 0)</f>
        <v>0</v>
      </c>
      <c r="H32" s="305"/>
      <c r="I32" s="315"/>
      <c r="J32" s="286" t="str">
        <f aca="false">F32</f>
        <v/>
      </c>
      <c r="K32" s="302" t="n">
        <f aca="true">IFERROR(INDEX(INDIRECT("Ans" &amp; E32 &amp; "TBL"), MATCH(J32, INDEX(INDIRECT("Ans" &amp; E32 &amp; "TBL"), 0, 1), 0), 2), 0)</f>
        <v>0</v>
      </c>
      <c r="L32" s="305"/>
      <c r="M32" s="315"/>
      <c r="N32" s="286" t="str">
        <f aca="false">J32</f>
        <v/>
      </c>
      <c r="O32" s="322" t="n">
        <f aca="true">IFERROR(INDEX(INDIRECT("Ans" &amp; E32 &amp; "TBL"), MATCH(N32, INDEX(INDIRECT("Ans" &amp; E32 &amp; "TBL"), 0, 1), 0), 2), 0)</f>
        <v>0</v>
      </c>
      <c r="P32" s="323"/>
      <c r="Q32" s="315"/>
      <c r="R32" s="286" t="str">
        <f aca="false">N32</f>
        <v/>
      </c>
      <c r="S32" s="88" t="n">
        <f aca="true">IFERROR(INDEX(INDIRECT("Ans" &amp; E32 &amp; "TBL"), MATCH(R32, INDEX(INDIRECT("Ans" &amp; E32 &amp; "TBL"), 0, 1), 0), 2), 0)</f>
        <v>0</v>
      </c>
      <c r="T32" s="306"/>
      <c r="U32" s="315"/>
      <c r="V32" s="286" t="str">
        <f aca="false">R32</f>
        <v/>
      </c>
      <c r="W32" s="302" t="n">
        <f aca="true">IFERROR(INDEX(INDIRECT("Ans" &amp; E32 &amp; "TBL"), MATCH(V32, INDEX(INDIRECT("Ans" &amp; E32 &amp; "TBL"), 0, 1), 0), 2), 0)</f>
        <v>0</v>
      </c>
      <c r="X32" s="305"/>
      <c r="Y32" s="315"/>
      <c r="Z32" s="315"/>
    </row>
    <row r="33" customFormat="false" ht="27.75" hidden="false" customHeight="true" outlineLevel="0" collapsed="false">
      <c r="A33" s="19" t="str">
        <f aca="false">Interview!A43</f>
        <v>G-PC-B-3-1</v>
      </c>
      <c r="B33" s="280"/>
      <c r="C33" s="54" t="n">
        <f aca="false">INDEX('imp-questions'!E:E, MATCH(A33, 'imp-questions'!A:A, 0))</f>
        <v>3</v>
      </c>
      <c r="D33" s="293" t="str">
        <f aca="false">INDEX('imp-questions'!F:F, MATCH(A33, 'imp-questions'!A:A, 0))</f>
        <v>Do you regularly report on adherence to external compliance obligations and use that information to guide efforts to close compliance gaps?</v>
      </c>
      <c r="E33" s="56" t="str">
        <f aca="false">CHAR(65+INDEX('imp-questions'!H:H, MATCH(A33, 'imp-questions'!A:A, 0)))</f>
        <v>T</v>
      </c>
      <c r="F33" s="283" t="str">
        <f aca="false">IF(ISBLANK(Interview!F43),"",Interview!F43)</f>
        <v/>
      </c>
      <c r="G33" s="302" t="n">
        <f aca="true">IFERROR(INDEX(INDIRECT("Ans" &amp; E33 &amp; "TBL"), MATCH(F33, INDEX(INDIRECT("Ans" &amp; E33 &amp; "TBL"), 0, 1), 0), 2), 0)</f>
        <v>0</v>
      </c>
      <c r="H33" s="308"/>
      <c r="I33" s="315"/>
      <c r="J33" s="286" t="str">
        <f aca="false">F33</f>
        <v/>
      </c>
      <c r="K33" s="302" t="n">
        <f aca="true">IFERROR(INDEX(INDIRECT("Ans" &amp; E33 &amp; "TBL"), MATCH(J33, INDEX(INDIRECT("Ans" &amp; E33 &amp; "TBL"), 0, 1), 0), 2), 0)</f>
        <v>0</v>
      </c>
      <c r="L33" s="308"/>
      <c r="M33" s="315"/>
      <c r="N33" s="286" t="str">
        <f aca="false">J33</f>
        <v/>
      </c>
      <c r="O33" s="322" t="n">
        <f aca="true">IFERROR(INDEX(INDIRECT("Ans" &amp; E33 &amp; "TBL"), MATCH(N33, INDEX(INDIRECT("Ans" &amp; E33 &amp; "TBL"), 0, 1), 0), 2), 0)</f>
        <v>0</v>
      </c>
      <c r="P33" s="323"/>
      <c r="Q33" s="315"/>
      <c r="R33" s="286" t="str">
        <f aca="false">N33</f>
        <v/>
      </c>
      <c r="S33" s="88" t="n">
        <f aca="true">IFERROR(INDEX(INDIRECT("Ans" &amp; E33 &amp; "TBL"), MATCH(R33, INDEX(INDIRECT("Ans" &amp; E33 &amp; "TBL"), 0, 1), 0), 2), 0)</f>
        <v>0</v>
      </c>
      <c r="T33" s="309"/>
      <c r="U33" s="315"/>
      <c r="V33" s="286" t="str">
        <f aca="false">R33</f>
        <v/>
      </c>
      <c r="W33" s="302" t="n">
        <f aca="true">IFERROR(INDEX(INDIRECT("Ans" &amp; E33 &amp; "TBL"), MATCH(V33, INDEX(INDIRECT("Ans" &amp; E33 &amp; "TBL"), 0, 1), 0), 2), 0)</f>
        <v>0</v>
      </c>
      <c r="X33" s="308"/>
      <c r="Y33" s="315"/>
      <c r="Z33" s="315"/>
    </row>
    <row r="34" customFormat="false" ht="12.75" hidden="false" customHeight="true" outlineLevel="0" collapsed="false">
      <c r="B34" s="317"/>
      <c r="C34" s="318"/>
      <c r="D34" s="75"/>
      <c r="E34" s="75"/>
      <c r="F34" s="75"/>
      <c r="G34" s="75"/>
      <c r="H34" s="320"/>
      <c r="I34" s="76"/>
      <c r="J34" s="75"/>
      <c r="K34" s="75"/>
      <c r="L34" s="320"/>
      <c r="M34" s="76"/>
      <c r="N34" s="75"/>
      <c r="O34" s="75"/>
      <c r="P34" s="75"/>
      <c r="Q34" s="76"/>
      <c r="R34" s="75"/>
      <c r="S34" s="320"/>
      <c r="T34" s="320"/>
      <c r="U34" s="76"/>
      <c r="V34" s="75"/>
      <c r="W34" s="75"/>
      <c r="X34" s="320"/>
      <c r="Y34" s="76"/>
      <c r="Z34" s="76"/>
    </row>
    <row r="35" customFormat="false" ht="15.75" hidden="false" customHeight="true" outlineLevel="0" collapsed="false">
      <c r="B35" s="48" t="s">
        <v>213</v>
      </c>
      <c r="C35" s="276" t="s">
        <v>214</v>
      </c>
      <c r="D35" s="310" t="s">
        <v>220</v>
      </c>
      <c r="E35" s="325"/>
      <c r="F35" s="312" t="s">
        <v>216</v>
      </c>
      <c r="G35" s="312"/>
      <c r="H35" s="326"/>
      <c r="I35" s="52" t="s">
        <v>218</v>
      </c>
      <c r="J35" s="312" t="s">
        <v>216</v>
      </c>
      <c r="K35" s="313"/>
      <c r="L35" s="314"/>
      <c r="M35" s="52" t="s">
        <v>218</v>
      </c>
      <c r="N35" s="312" t="s">
        <v>216</v>
      </c>
      <c r="O35" s="312"/>
      <c r="P35" s="314"/>
      <c r="Q35" s="52" t="s">
        <v>218</v>
      </c>
      <c r="R35" s="312" t="s">
        <v>216</v>
      </c>
      <c r="S35" s="313"/>
      <c r="T35" s="314"/>
      <c r="U35" s="52" t="s">
        <v>218</v>
      </c>
      <c r="V35" s="312" t="s">
        <v>216</v>
      </c>
      <c r="W35" s="313"/>
      <c r="X35" s="314"/>
      <c r="Y35" s="52" t="s">
        <v>218</v>
      </c>
      <c r="Z35" s="52" t="s">
        <v>254</v>
      </c>
    </row>
    <row r="36" customFormat="false" ht="27.75" hidden="false" customHeight="true" outlineLevel="0" collapsed="false">
      <c r="A36" s="19" t="str">
        <f aca="false">Interview!A46</f>
        <v>G-EG-A-1-1</v>
      </c>
      <c r="B36" s="280" t="str">
        <f aca="false">INDEX('imp-questions'!D:D, MATCH(A36, 'imp-questions'!A:A, 0))</f>
        <v>Training and Awareness</v>
      </c>
      <c r="C36" s="54" t="n">
        <f aca="false">INDEX('imp-questions'!E:E, MATCH(A36, 'imp-questions'!A:A, 0))</f>
        <v>1</v>
      </c>
      <c r="D36" s="281" t="str">
        <f aca="false">INDEX('imp-questions'!F:F, MATCH(A36, 'imp-questions'!A:A, 0))</f>
        <v>Do you require employees involved with application development to take SDLC training?</v>
      </c>
      <c r="E36" s="282" t="str">
        <f aca="false">CHAR(65+INDEX('imp-questions'!H:H, MATCH(A36, 'imp-questions'!A:A, 0)))</f>
        <v>B</v>
      </c>
      <c r="F36" s="327" t="str">
        <f aca="false">IF(ISBLANK(Interview!F46),"",Interview!F46)</f>
        <v/>
      </c>
      <c r="G36" s="322" t="n">
        <f aca="true">IFERROR(INDEX(INDIRECT("Ans" &amp; E36 &amp; "TBL"), MATCH(F36, INDEX(INDIRECT("Ans" &amp; E36 &amp; "TBL"), 0, 1), 0), 2), 0)</f>
        <v>0</v>
      </c>
      <c r="H36" s="169" t="n">
        <f aca="false">IFERROR(AVERAGE(G36,G40),0)</f>
        <v>0</v>
      </c>
      <c r="I36" s="328" t="n">
        <f aca="false">SUM(H36,H37,H38)</f>
        <v>0</v>
      </c>
      <c r="J36" s="286" t="str">
        <f aca="false">F36</f>
        <v/>
      </c>
      <c r="K36" s="329" t="n">
        <f aca="true">IFERROR(INDEX(INDIRECT("Ans" &amp; E36 &amp; "TBL"), MATCH(J36, INDEX(INDIRECT("Ans" &amp; E36 &amp; "TBL"), 0, 1), 0), 2), 0)</f>
        <v>0</v>
      </c>
      <c r="L36" s="284" t="n">
        <f aca="false">IFERROR(AVERAGE(K36,K40),0)</f>
        <v>0</v>
      </c>
      <c r="M36" s="328" t="n">
        <f aca="false">SUM(L36,L37,L38)</f>
        <v>0</v>
      </c>
      <c r="N36" s="286" t="str">
        <f aca="false">J36</f>
        <v/>
      </c>
      <c r="O36" s="302" t="n">
        <f aca="true">IFERROR(INDEX(INDIRECT("Ans" &amp; E36 &amp; "TBL"), MATCH(N36, INDEX(INDIRECT("Ans" &amp; E36 &amp; "TBL"), 0, 1), 0), 2), 0)</f>
        <v>0</v>
      </c>
      <c r="P36" s="284" t="n">
        <f aca="false">IFERROR(AVERAGE(O36,O40),0)</f>
        <v>0</v>
      </c>
      <c r="Q36" s="328" t="n">
        <f aca="false">SUM(P36,P37,P38)</f>
        <v>0</v>
      </c>
      <c r="R36" s="286" t="str">
        <f aca="false">N36</f>
        <v/>
      </c>
      <c r="S36" s="88" t="n">
        <f aca="true">IFERROR(INDEX(INDIRECT("Ans" &amp; E36 &amp; "TBL"), MATCH(R36, INDEX(INDIRECT("Ans" &amp; E36 &amp; "TBL"), 0, 1), 0), 2), 0)</f>
        <v>0</v>
      </c>
      <c r="T36" s="316" t="n">
        <f aca="false">IFERROR(AVERAGE(S36,S40),0)</f>
        <v>0</v>
      </c>
      <c r="U36" s="328" t="n">
        <f aca="false">SUM(T36,T37,T38)</f>
        <v>0</v>
      </c>
      <c r="V36" s="286" t="str">
        <f aca="false">R36</f>
        <v/>
      </c>
      <c r="W36" s="288" t="n">
        <f aca="true">IFERROR(INDEX(INDIRECT("Ans" &amp; E36 &amp; "TBL"), MATCH(V36, INDEX(INDIRECT("Ans" &amp; E36 &amp; "TBL"), 0, 1), 0), 2), 0)</f>
        <v>0</v>
      </c>
      <c r="X36" s="284" t="n">
        <f aca="false">IFERROR(AVERAGE(W36,W40),0)</f>
        <v>0</v>
      </c>
      <c r="Y36" s="328" t="n">
        <f aca="false">SUM(X36,X37,X38)</f>
        <v>0</v>
      </c>
      <c r="Z36" s="328" t="n">
        <f aca="false">SUM(Y36,Y37,Y38)</f>
        <v>0</v>
      </c>
    </row>
    <row r="37" customFormat="false" ht="27.75" hidden="false" customHeight="true" outlineLevel="0" collapsed="false">
      <c r="A37" s="19" t="str">
        <f aca="false">Interview!A48</f>
        <v>G-EG-A-2-1</v>
      </c>
      <c r="B37" s="280"/>
      <c r="C37" s="54" t="n">
        <f aca="false">INDEX('imp-questions'!E:E, MATCH(A37, 'imp-questions'!A:A, 0))</f>
        <v>2</v>
      </c>
      <c r="D37" s="281" t="str">
        <f aca="false">INDEX('imp-questions'!F:F, MATCH(A37, 'imp-questions'!A:A, 0))</f>
        <v>Is training customized for individual roles such as developers, testers, or security champions?</v>
      </c>
      <c r="E37" s="282" t="str">
        <f aca="false">CHAR(65+INDEX('imp-questions'!H:H, MATCH(A37, 'imp-questions'!A:A, 0)))</f>
        <v>D</v>
      </c>
      <c r="F37" s="330" t="str">
        <f aca="false">IF(ISBLANK(Interview!F48),"",Interview!F48)</f>
        <v/>
      </c>
      <c r="G37" s="322" t="n">
        <f aca="true">IFERROR(INDEX(INDIRECT("Ans" &amp; E37 &amp; "TBL"), MATCH(F37, INDEX(INDIRECT("Ans" &amp; E37 &amp; "TBL"), 0, 1), 0), 2), 0)</f>
        <v>0</v>
      </c>
      <c r="H37" s="331" t="n">
        <f aca="false">IFERROR(AVERAGE(G37,G41),0)</f>
        <v>0</v>
      </c>
      <c r="I37" s="328"/>
      <c r="J37" s="286" t="str">
        <f aca="false">F37</f>
        <v/>
      </c>
      <c r="K37" s="302" t="n">
        <f aca="true">IFERROR(INDEX(INDIRECT("Ans" &amp; E37 &amp; "TBL"), MATCH(J37, INDEX(INDIRECT("Ans" &amp; E37 &amp; "TBL"), 0, 1), 0), 2), 0)</f>
        <v>0</v>
      </c>
      <c r="L37" s="289" t="n">
        <f aca="false">IFERROR(AVERAGE(K37,K41),0)</f>
        <v>0</v>
      </c>
      <c r="M37" s="328"/>
      <c r="N37" s="286" t="str">
        <f aca="false">J37</f>
        <v/>
      </c>
      <c r="O37" s="302" t="n">
        <f aca="true">IFERROR(INDEX(INDIRECT("Ans" &amp; E37 &amp; "TBL"), MATCH(N37, INDEX(INDIRECT("Ans" &amp; E37 &amp; "TBL"), 0, 1), 0), 2), 0)</f>
        <v>0</v>
      </c>
      <c r="P37" s="289" t="n">
        <f aca="false">IFERROR(AVERAGE(O37,O41),0)</f>
        <v>0</v>
      </c>
      <c r="Q37" s="328"/>
      <c r="R37" s="286" t="str">
        <f aca="false">N37</f>
        <v/>
      </c>
      <c r="S37" s="88" t="n">
        <f aca="true">IFERROR(INDEX(INDIRECT("Ans" &amp; E37 &amp; "TBL"), MATCH(R37, INDEX(INDIRECT("Ans" &amp; E37 &amp; "TBL"), 0, 1), 0), 2), 0)</f>
        <v>0</v>
      </c>
      <c r="T37" s="291" t="n">
        <f aca="false">IFERROR(AVERAGE(S37,S41),0)</f>
        <v>0</v>
      </c>
      <c r="U37" s="328"/>
      <c r="V37" s="286" t="str">
        <f aca="false">R37</f>
        <v/>
      </c>
      <c r="W37" s="292" t="n">
        <f aca="true">IFERROR(INDEX(INDIRECT("Ans" &amp; E37 &amp; "TBL"), MATCH(V37, INDEX(INDIRECT("Ans" &amp; E37 &amp; "TBL"), 0, 1), 0), 2), 0)</f>
        <v>0</v>
      </c>
      <c r="X37" s="289" t="n">
        <f aca="false">IFERROR(AVERAGE(W37,W41),0)</f>
        <v>0</v>
      </c>
      <c r="Y37" s="328"/>
      <c r="Z37" s="328"/>
    </row>
    <row r="38" customFormat="false" ht="27.75" hidden="false" customHeight="true" outlineLevel="0" collapsed="false">
      <c r="A38" s="19" t="str">
        <f aca="false">Interview!A50</f>
        <v>G-EG-A-3-1</v>
      </c>
      <c r="B38" s="280"/>
      <c r="C38" s="54" t="n">
        <f aca="false">INDEX('imp-questions'!E:E, MATCH(A38, 'imp-questions'!A:A, 0))</f>
        <v>3</v>
      </c>
      <c r="D38" s="293" t="str">
        <f aca="false">INDEX('imp-questions'!F:F, MATCH(A38, 'imp-questions'!A:A, 0))</f>
        <v>Have you implemented a Learning Management System or equivalent to track employee training and certification processes?</v>
      </c>
      <c r="E38" s="282" t="str">
        <f aca="false">CHAR(65+INDEX('imp-questions'!H:H, MATCH(A38, 'imp-questions'!A:A, 0)))</f>
        <v>D</v>
      </c>
      <c r="F38" s="330" t="str">
        <f aca="false">IF(ISBLANK(Interview!F50),"",Interview!F50)</f>
        <v/>
      </c>
      <c r="G38" s="322" t="n">
        <f aca="true">IFERROR(INDEX(INDIRECT("Ans" &amp; E38 &amp; "TBL"), MATCH(F38, INDEX(INDIRECT("Ans" &amp; E38 &amp; "TBL"), 0, 1), 0), 2), 0)</f>
        <v>0</v>
      </c>
      <c r="H38" s="331" t="n">
        <f aca="false">IFERROR(AVERAGE(G38,G42),0)</f>
        <v>0</v>
      </c>
      <c r="I38" s="328"/>
      <c r="J38" s="286" t="str">
        <f aca="false">F38</f>
        <v/>
      </c>
      <c r="K38" s="332" t="n">
        <f aca="true">IFERROR(INDEX(INDIRECT("Ans" &amp; E38 &amp; "TBL"), MATCH(J38, INDEX(INDIRECT("Ans" &amp; E38 &amp; "TBL"), 0, 1), 0), 2), 0)</f>
        <v>0</v>
      </c>
      <c r="L38" s="289" t="n">
        <f aca="false">IFERROR(AVERAGE(K38,K42),0)</f>
        <v>0</v>
      </c>
      <c r="M38" s="328"/>
      <c r="N38" s="286" t="str">
        <f aca="false">J38</f>
        <v/>
      </c>
      <c r="O38" s="302" t="n">
        <f aca="true">IFERROR(INDEX(INDIRECT("Ans" &amp; E38 &amp; "TBL"), MATCH(N38, INDEX(INDIRECT("Ans" &amp; E38 &amp; "TBL"), 0, 1), 0), 2), 0)</f>
        <v>0</v>
      </c>
      <c r="P38" s="289" t="n">
        <f aca="false">IFERROR(AVERAGE(O38,O42),0)</f>
        <v>0</v>
      </c>
      <c r="Q38" s="328"/>
      <c r="R38" s="286" t="str">
        <f aca="false">N38</f>
        <v/>
      </c>
      <c r="S38" s="88" t="n">
        <f aca="true">IFERROR(INDEX(INDIRECT("Ans" &amp; E38 &amp; "TBL"), MATCH(R38, INDEX(INDIRECT("Ans" &amp; E38 &amp; "TBL"), 0, 1), 0), 2), 0)</f>
        <v>0</v>
      </c>
      <c r="T38" s="291" t="n">
        <f aca="false">IFERROR(AVERAGE(S38,S42),0)</f>
        <v>0</v>
      </c>
      <c r="U38" s="328"/>
      <c r="V38" s="286" t="str">
        <f aca="false">R38</f>
        <v/>
      </c>
      <c r="W38" s="296" t="n">
        <f aca="true">IFERROR(INDEX(INDIRECT("Ans" &amp; E38 &amp; "TBL"), MATCH(V38, INDEX(INDIRECT("Ans" &amp; E38 &amp; "TBL"), 0, 1), 0), 2), 0)</f>
        <v>0</v>
      </c>
      <c r="X38" s="289" t="n">
        <f aca="false">IFERROR(AVERAGE(W38,W42),0)</f>
        <v>0</v>
      </c>
      <c r="Y38" s="328"/>
      <c r="Z38" s="328"/>
    </row>
    <row r="39" customFormat="false" ht="12.75" hidden="false" customHeight="true" outlineLevel="0" collapsed="false">
      <c r="B39" s="297"/>
      <c r="C39" s="298"/>
      <c r="D39" s="76"/>
      <c r="E39" s="124"/>
      <c r="F39" s="76"/>
      <c r="G39" s="76"/>
      <c r="H39" s="76"/>
      <c r="I39" s="328"/>
      <c r="J39" s="76"/>
      <c r="K39" s="124"/>
      <c r="L39" s="124"/>
      <c r="M39" s="328"/>
      <c r="N39" s="76"/>
      <c r="O39" s="124"/>
      <c r="P39" s="124"/>
      <c r="Q39" s="328"/>
      <c r="R39" s="76"/>
      <c r="S39" s="124"/>
      <c r="T39" s="124"/>
      <c r="U39" s="328"/>
      <c r="V39" s="76"/>
      <c r="W39" s="124"/>
      <c r="X39" s="124"/>
      <c r="Y39" s="328"/>
      <c r="Z39" s="328"/>
    </row>
    <row r="40" customFormat="false" ht="27.75" hidden="false" customHeight="true" outlineLevel="0" collapsed="false">
      <c r="A40" s="19" t="str">
        <f aca="false">Interview!A53</f>
        <v>G-EG-B-1-1</v>
      </c>
      <c r="B40" s="280" t="str">
        <f aca="false">INDEX('imp-questions'!D:D, MATCH(A40, 'imp-questions'!A:A, 0))</f>
        <v>Organization and Culture</v>
      </c>
      <c r="C40" s="54" t="n">
        <f aca="false">INDEX('imp-questions'!E:E, MATCH(A40, 'imp-questions'!A:A, 0))</f>
        <v>1</v>
      </c>
      <c r="D40" s="281" t="str">
        <f aca="false">INDEX('imp-questions'!F:F, MATCH(A40, 'imp-questions'!A:A, 0))</f>
        <v>Have you identified a Security Champion for each development team?</v>
      </c>
      <c r="E40" s="282" t="str">
        <f aca="false">CHAR(65+INDEX('imp-questions'!H:H, MATCH(A40, 'imp-questions'!A:A, 0)))</f>
        <v>V</v>
      </c>
      <c r="F40" s="327" t="str">
        <f aca="false">IF(ISBLANK(Interview!F53),"",Interview!F53)</f>
        <v/>
      </c>
      <c r="G40" s="322" t="n">
        <f aca="true">IFERROR(INDEX(INDIRECT("Ans" &amp; E40 &amp; "TBL"), MATCH(F40, INDEX(INDIRECT("Ans" &amp; E40 &amp; "TBL"), 0, 1), 0), 2), 0)</f>
        <v>0</v>
      </c>
      <c r="H40" s="331"/>
      <c r="I40" s="328"/>
      <c r="J40" s="286" t="str">
        <f aca="false">F40</f>
        <v/>
      </c>
      <c r="K40" s="329" t="n">
        <f aca="true">IFERROR(INDEX(INDIRECT("Ans" &amp; E40 &amp; "TBL"), MATCH(J40, INDEX(INDIRECT("Ans" &amp; E40 &amp; "TBL"), 0, 1), 0), 2), 0)</f>
        <v>0</v>
      </c>
      <c r="L40" s="321"/>
      <c r="M40" s="328"/>
      <c r="N40" s="286" t="str">
        <f aca="false">J40</f>
        <v/>
      </c>
      <c r="O40" s="333" t="n">
        <f aca="true">IFERROR(INDEX(INDIRECT("Ans" &amp; E40 &amp; "TBL"), MATCH(N40, INDEX(INDIRECT("Ans" &amp; E40 &amp; "TBL"), 0, 1), 0), 2), 0)</f>
        <v>0</v>
      </c>
      <c r="P40" s="334"/>
      <c r="Q40" s="328"/>
      <c r="R40" s="286" t="str">
        <f aca="false">N40</f>
        <v/>
      </c>
      <c r="S40" s="88" t="n">
        <f aca="true">IFERROR(INDEX(INDIRECT("Ans" &amp; E40 &amp; "TBL"), MATCH(R40, INDEX(INDIRECT("Ans" &amp; E40 &amp; "TBL"), 0, 1), 0), 2), 0)</f>
        <v>0</v>
      </c>
      <c r="T40" s="324"/>
      <c r="U40" s="328"/>
      <c r="V40" s="286" t="str">
        <f aca="false">R40</f>
        <v/>
      </c>
      <c r="W40" s="335" t="n">
        <f aca="true">IFERROR(INDEX(INDIRECT("Ans" &amp; E40 &amp; "TBL"), MATCH(V40, INDEX(INDIRECT("Ans" &amp; E40 &amp; "TBL"), 0, 1), 0), 2), 0)</f>
        <v>0</v>
      </c>
      <c r="X40" s="334"/>
      <c r="Y40" s="328"/>
      <c r="Z40" s="328"/>
    </row>
    <row r="41" customFormat="false" ht="27.75" hidden="false" customHeight="true" outlineLevel="0" collapsed="false">
      <c r="A41" s="19" t="str">
        <f aca="false">Interview!A55</f>
        <v>G-EG-B-2-1</v>
      </c>
      <c r="B41" s="280"/>
      <c r="C41" s="54" t="n">
        <f aca="false">INDEX('imp-questions'!E:E, MATCH(A41, 'imp-questions'!A:A, 0))</f>
        <v>2</v>
      </c>
      <c r="D41" s="281" t="str">
        <f aca="false">INDEX('imp-questions'!F:F, MATCH(A41, 'imp-questions'!A:A, 0))</f>
        <v>Does the organization have a Secure Software Center of Excellence (SSCE)?</v>
      </c>
      <c r="E41" s="282" t="str">
        <f aca="false">CHAR(65+INDEX('imp-questions'!H:H, MATCH(A41, 'imp-questions'!A:A, 0)))</f>
        <v>F</v>
      </c>
      <c r="F41" s="330" t="str">
        <f aca="false">IF(ISBLANK(Interview!F55),"",Interview!F55)</f>
        <v/>
      </c>
      <c r="G41" s="322" t="n">
        <f aca="true">IFERROR(INDEX(INDIRECT("Ans" &amp; E41 &amp; "TBL"), MATCH(F41, INDEX(INDIRECT("Ans" &amp; E41 &amp; "TBL"), 0, 1), 0), 2), 0)</f>
        <v>0</v>
      </c>
      <c r="H41" s="331"/>
      <c r="I41" s="328"/>
      <c r="J41" s="286" t="str">
        <f aca="false">F41</f>
        <v/>
      </c>
      <c r="K41" s="302" t="n">
        <f aca="true">IFERROR(INDEX(INDIRECT("Ans" &amp; E41 &amp; "TBL"), MATCH(J41, INDEX(INDIRECT("Ans" &amp; E41 &amp; "TBL"), 0, 1), 0), 2), 0)</f>
        <v>0</v>
      </c>
      <c r="L41" s="305"/>
      <c r="M41" s="328"/>
      <c r="N41" s="286" t="str">
        <f aca="false">J41</f>
        <v/>
      </c>
      <c r="O41" s="322" t="n">
        <f aca="true">IFERROR(INDEX(INDIRECT("Ans" &amp; E41 &amp; "TBL"), MATCH(N41, INDEX(INDIRECT("Ans" &amp; E41 &amp; "TBL"), 0, 1), 0), 2), 0)</f>
        <v>0</v>
      </c>
      <c r="P41" s="336"/>
      <c r="Q41" s="328"/>
      <c r="R41" s="286" t="str">
        <f aca="false">N41</f>
        <v/>
      </c>
      <c r="S41" s="88" t="n">
        <f aca="true">IFERROR(INDEX(INDIRECT("Ans" &amp; E41 &amp; "TBL"), MATCH(R41, INDEX(INDIRECT("Ans" &amp; E41 &amp; "TBL"), 0, 1), 0), 2), 0)</f>
        <v>0</v>
      </c>
      <c r="T41" s="306"/>
      <c r="U41" s="328"/>
      <c r="V41" s="286" t="str">
        <f aca="false">R41</f>
        <v/>
      </c>
      <c r="W41" s="337" t="n">
        <f aca="true">IFERROR(INDEX(INDIRECT("Ans" &amp; E41 &amp; "TBL"), MATCH(V41, INDEX(INDIRECT("Ans" &amp; E41 &amp; "TBL"), 0, 1), 0), 2), 0)</f>
        <v>0</v>
      </c>
      <c r="X41" s="336"/>
      <c r="Y41" s="328"/>
      <c r="Z41" s="328"/>
    </row>
    <row r="42" customFormat="false" ht="27.75" hidden="false" customHeight="true" outlineLevel="0" collapsed="false">
      <c r="A42" s="19" t="str">
        <f aca="false">Interview!A57</f>
        <v>G-EG-B-3-1</v>
      </c>
      <c r="B42" s="280"/>
      <c r="C42" s="54" t="n">
        <f aca="false">INDEX('imp-questions'!E:E, MATCH(A42, 'imp-questions'!A:A, 0))</f>
        <v>3</v>
      </c>
      <c r="D42" s="293" t="str">
        <f aca="false">INDEX('imp-questions'!F:F, MATCH(A42, 'imp-questions'!A:A, 0))</f>
        <v>Is there a centralized portal where developers and application security professionals from different teams and business units are able to communicate and share information?</v>
      </c>
      <c r="E42" s="282" t="str">
        <f aca="false">CHAR(65+INDEX('imp-questions'!H:H, MATCH(A42, 'imp-questions'!A:A, 0)))</f>
        <v>F</v>
      </c>
      <c r="F42" s="330" t="str">
        <f aca="false">IF(ISBLANK(Interview!F57),"",Interview!F57)</f>
        <v/>
      </c>
      <c r="G42" s="322" t="n">
        <f aca="true">IFERROR(INDEX(INDIRECT("Ans" &amp; E42 &amp; "TBL"), MATCH(F42, INDEX(INDIRECT("Ans" &amp; E42 &amp; "TBL"), 0, 1), 0), 2), 0)</f>
        <v>0</v>
      </c>
      <c r="H42" s="331"/>
      <c r="I42" s="328"/>
      <c r="J42" s="286" t="str">
        <f aca="false">F42</f>
        <v/>
      </c>
      <c r="K42" s="332" t="n">
        <f aca="true">IFERROR(INDEX(INDIRECT("Ans" &amp; E42 &amp; "TBL"), MATCH(J42, INDEX(INDIRECT("Ans" &amp; E42 &amp; "TBL"), 0, 1), 0), 2), 0)</f>
        <v>0</v>
      </c>
      <c r="L42" s="308"/>
      <c r="M42" s="328"/>
      <c r="N42" s="286" t="str">
        <f aca="false">J42</f>
        <v/>
      </c>
      <c r="O42" s="338" t="n">
        <f aca="true">IFERROR(INDEX(INDIRECT("Ans" &amp; E42 &amp; "TBL"), MATCH(N42, INDEX(INDIRECT("Ans" &amp; E42 &amp; "TBL"), 0, 1), 0), 2), 0)</f>
        <v>0</v>
      </c>
      <c r="P42" s="339"/>
      <c r="Q42" s="328"/>
      <c r="R42" s="286" t="str">
        <f aca="false">N42</f>
        <v/>
      </c>
      <c r="S42" s="88" t="n">
        <f aca="true">IFERROR(INDEX(INDIRECT("Ans" &amp; E42 &amp; "TBL"), MATCH(R42, INDEX(INDIRECT("Ans" &amp; E42 &amp; "TBL"), 0, 1), 0), 2), 0)</f>
        <v>0</v>
      </c>
      <c r="T42" s="309"/>
      <c r="U42" s="328"/>
      <c r="V42" s="286" t="str">
        <f aca="false">R42</f>
        <v/>
      </c>
      <c r="W42" s="340" t="n">
        <f aca="true">IFERROR(INDEX(INDIRECT("Ans" &amp; E42 &amp; "TBL"), MATCH(V42, INDEX(INDIRECT("Ans" &amp; E42 &amp; "TBL"), 0, 1), 0), 2), 0)</f>
        <v>0</v>
      </c>
      <c r="X42" s="339"/>
      <c r="Y42" s="328"/>
      <c r="Z42" s="328"/>
    </row>
    <row r="43" customFormat="false" ht="12.75" hidden="false" customHeight="true" outlineLevel="0" collapsed="false">
      <c r="B43" s="297"/>
      <c r="C43" s="298"/>
      <c r="D43" s="76"/>
      <c r="E43" s="76"/>
      <c r="F43" s="76"/>
      <c r="G43" s="76"/>
      <c r="H43" s="76"/>
      <c r="I43" s="76"/>
      <c r="J43" s="76"/>
      <c r="K43" s="76"/>
      <c r="L43" s="76"/>
      <c r="M43" s="76"/>
      <c r="N43" s="76"/>
      <c r="O43" s="76"/>
      <c r="P43" s="76"/>
      <c r="Q43" s="76"/>
      <c r="R43" s="76"/>
      <c r="S43" s="76"/>
      <c r="T43" s="76"/>
      <c r="U43" s="76"/>
      <c r="V43" s="76"/>
      <c r="W43" s="76"/>
      <c r="X43" s="76"/>
      <c r="Y43" s="76"/>
      <c r="Z43" s="76"/>
    </row>
    <row r="44" customFormat="false" ht="21.75" hidden="false" customHeight="true" outlineLevel="0" collapsed="false">
      <c r="B44" s="341" t="s">
        <v>221</v>
      </c>
      <c r="C44" s="341"/>
      <c r="D44" s="341"/>
      <c r="E44" s="342"/>
      <c r="F44" s="343" t="s">
        <v>249</v>
      </c>
      <c r="G44" s="343"/>
      <c r="H44" s="343"/>
      <c r="I44" s="343"/>
      <c r="J44" s="344" t="s">
        <v>250</v>
      </c>
      <c r="K44" s="344"/>
      <c r="L44" s="344"/>
      <c r="M44" s="344"/>
      <c r="N44" s="344" t="s">
        <v>251</v>
      </c>
      <c r="O44" s="344"/>
      <c r="P44" s="344"/>
      <c r="Q44" s="344"/>
      <c r="R44" s="344" t="s">
        <v>252</v>
      </c>
      <c r="S44" s="344"/>
      <c r="T44" s="344"/>
      <c r="U44" s="344"/>
      <c r="V44" s="345" t="s">
        <v>253</v>
      </c>
      <c r="W44" s="345"/>
      <c r="X44" s="345"/>
      <c r="Y44" s="345"/>
      <c r="Z44" s="345"/>
    </row>
    <row r="45" customFormat="false" ht="15.75" hidden="false" customHeight="true" outlineLevel="0" collapsed="false">
      <c r="B45" s="346" t="s">
        <v>213</v>
      </c>
      <c r="C45" s="347" t="s">
        <v>214</v>
      </c>
      <c r="D45" s="346" t="s">
        <v>222</v>
      </c>
      <c r="E45" s="348"/>
      <c r="F45" s="349" t="s">
        <v>216</v>
      </c>
      <c r="G45" s="349"/>
      <c r="H45" s="350"/>
      <c r="I45" s="137" t="s">
        <v>218</v>
      </c>
      <c r="J45" s="349" t="s">
        <v>216</v>
      </c>
      <c r="K45" s="349"/>
      <c r="L45" s="350"/>
      <c r="M45" s="137" t="s">
        <v>218</v>
      </c>
      <c r="N45" s="349" t="s">
        <v>216</v>
      </c>
      <c r="O45" s="351"/>
      <c r="P45" s="352"/>
      <c r="Q45" s="137" t="s">
        <v>218</v>
      </c>
      <c r="R45" s="349" t="s">
        <v>216</v>
      </c>
      <c r="S45" s="351"/>
      <c r="T45" s="352"/>
      <c r="U45" s="137" t="s">
        <v>218</v>
      </c>
      <c r="V45" s="349" t="s">
        <v>216</v>
      </c>
      <c r="W45" s="351"/>
      <c r="X45" s="352"/>
      <c r="Y45" s="137" t="s">
        <v>218</v>
      </c>
      <c r="Z45" s="137" t="s">
        <v>254</v>
      </c>
    </row>
    <row r="46" customFormat="false" ht="27.75" hidden="false" customHeight="true" outlineLevel="0" collapsed="false">
      <c r="A46" s="19" t="str">
        <f aca="false">Interview!A61</f>
        <v>D-TA-A-1-1</v>
      </c>
      <c r="B46" s="109" t="str">
        <f aca="false">INDEX('imp-questions'!D:D, MATCH(A46, 'imp-questions'!A:A, 0))</f>
        <v>Application Risk Profile</v>
      </c>
      <c r="C46" s="110" t="n">
        <f aca="false">INDEX('imp-questions'!E:E, MATCH(A46, 'imp-questions'!A:A, 0))</f>
        <v>1</v>
      </c>
      <c r="D46" s="281" t="str">
        <f aca="false">INDEX('imp-questions'!F:F, MATCH(A46, 'imp-questions'!A:A, 0))</f>
        <v>Do you classify applications according to business risk based on a simple and predefined set of questions?</v>
      </c>
      <c r="E46" s="282" t="str">
        <f aca="false">CHAR(65+INDEX('imp-questions'!H:H, MATCH(A46, 'imp-questions'!A:A, 0)))</f>
        <v>B</v>
      </c>
      <c r="F46" s="56" t="str">
        <f aca="false">IF(ISBLANK(Interview!F61),"",Interview!F61)</f>
        <v/>
      </c>
      <c r="G46" s="322" t="n">
        <f aca="true">IFERROR(INDEX(INDIRECT("Ans" &amp; E46 &amp; "TBL"), MATCH(F46, INDEX(INDIRECT("Ans" &amp; E46 &amp; "TBL"), 0, 1), 0), 2), 0)</f>
        <v>0</v>
      </c>
      <c r="H46" s="169" t="n">
        <f aca="false">IFERROR(AVERAGE(G46,G50),0)</f>
        <v>0</v>
      </c>
      <c r="I46" s="353" t="n">
        <f aca="false">SUM(H46:H48)</f>
        <v>0</v>
      </c>
      <c r="J46" s="327" t="str">
        <f aca="false">F46</f>
        <v/>
      </c>
      <c r="K46" s="322" t="n">
        <f aca="true">IFERROR(INDEX(INDIRECT("Ans" &amp; E46 &amp; "TBL"), MATCH(J46, INDEX(INDIRECT("Ans" &amp; E46 &amp; "TBL"), 0, 1), 0), 2), 0)</f>
        <v>0</v>
      </c>
      <c r="L46" s="169" t="n">
        <f aca="false">IFERROR(AVERAGE(K46,K50),0)</f>
        <v>0</v>
      </c>
      <c r="M46" s="353" t="n">
        <f aca="false">SUM(L46:L48)</f>
        <v>0</v>
      </c>
      <c r="N46" s="327" t="str">
        <f aca="false">J46</f>
        <v/>
      </c>
      <c r="O46" s="333" t="n">
        <f aca="true">IFERROR(INDEX(INDIRECT("Ans" &amp; E46 &amp; "TBL"), MATCH(N46, INDEX(INDIRECT("Ans" &amp; E46 &amp; "TBL"), 0, 1), 0), 2), 0)</f>
        <v>0</v>
      </c>
      <c r="P46" s="354" t="n">
        <f aca="false">IFERROR(AVERAGE(O46,O50),0)</f>
        <v>0</v>
      </c>
      <c r="Q46" s="353" t="n">
        <f aca="false">SUM(P46:P48)</f>
        <v>0</v>
      </c>
      <c r="R46" s="327" t="str">
        <f aca="false">N46</f>
        <v/>
      </c>
      <c r="S46" s="88" t="n">
        <f aca="true">IFERROR(INDEX(INDIRECT("Ans" &amp; E46 &amp; "TBL"), MATCH(R46, INDEX(INDIRECT("Ans" &amp; E46 &amp; "TBL"), 0, 1), 0), 2), 0)</f>
        <v>0</v>
      </c>
      <c r="T46" s="303" t="n">
        <f aca="false">IFERROR(AVERAGE(S46,S50),0)</f>
        <v>0</v>
      </c>
      <c r="U46" s="353" t="n">
        <f aca="false">SUM(T46:T48)</f>
        <v>0</v>
      </c>
      <c r="V46" s="327" t="str">
        <f aca="false">R46</f>
        <v/>
      </c>
      <c r="W46" s="335" t="n">
        <f aca="true">IFERROR(INDEX(INDIRECT("Ans" &amp; E46 &amp; "TBL"), MATCH(V46, INDEX(INDIRECT("Ans" &amp; E46 &amp; "TBL"), 0, 1), 0), 2), 0)</f>
        <v>0</v>
      </c>
      <c r="X46" s="354" t="n">
        <f aca="false">IFERROR(AVERAGE(W46,W50),0)</f>
        <v>0</v>
      </c>
      <c r="Y46" s="353" t="n">
        <f aca="false">SUM(X46:X48)</f>
        <v>0</v>
      </c>
      <c r="Z46" s="353" t="n">
        <f aca="false">SUM(Y46:Y48)</f>
        <v>0</v>
      </c>
    </row>
    <row r="47" customFormat="false" ht="27.75" hidden="false" customHeight="true" outlineLevel="0" collapsed="false">
      <c r="A47" s="19" t="str">
        <f aca="false">Interview!A63</f>
        <v>D-TA-A-2-1</v>
      </c>
      <c r="B47" s="109"/>
      <c r="C47" s="110" t="n">
        <f aca="false">INDEX('imp-questions'!E:E, MATCH(A47, 'imp-questions'!A:A, 0))</f>
        <v>2</v>
      </c>
      <c r="D47" s="281" t="str">
        <f aca="false">INDEX('imp-questions'!F:F, MATCH(A47, 'imp-questions'!A:A, 0))</f>
        <v>Do you use centralized and quantified application risk profiles to evaluate business risk?</v>
      </c>
      <c r="E47" s="282" t="str">
        <f aca="false">CHAR(65+INDEX('imp-questions'!H:H, MATCH(A47, 'imp-questions'!A:A, 0)))</f>
        <v>A</v>
      </c>
      <c r="F47" s="327" t="str">
        <f aca="false">IF(ISBLANK(Interview!F63),"",Interview!F63)</f>
        <v/>
      </c>
      <c r="G47" s="322" t="n">
        <f aca="true">IFERROR(INDEX(INDIRECT("Ans" &amp; E47 &amp; "TBL"), MATCH(F47, INDEX(INDIRECT("Ans" &amp; E47 &amp; "TBL"), 0, 1), 0), 2), 0)</f>
        <v>0</v>
      </c>
      <c r="H47" s="169" t="n">
        <f aca="false">IFERROR(AVERAGE(G47,G51),0)</f>
        <v>0</v>
      </c>
      <c r="I47" s="353"/>
      <c r="J47" s="327" t="str">
        <f aca="false">F47</f>
        <v/>
      </c>
      <c r="K47" s="322" t="n">
        <f aca="true">IFERROR(INDEX(INDIRECT("Ans" &amp; E47 &amp; "TBL"), MATCH(J47, INDEX(INDIRECT("Ans" &amp; E47 &amp; "TBL"), 0, 1), 0), 2), 0)</f>
        <v>0</v>
      </c>
      <c r="L47" s="169" t="n">
        <f aca="false">IFERROR(AVERAGE(K47,K51),0)</f>
        <v>0</v>
      </c>
      <c r="M47" s="353"/>
      <c r="N47" s="327" t="str">
        <f aca="false">J47</f>
        <v/>
      </c>
      <c r="O47" s="322" t="n">
        <f aca="true">IFERROR(INDEX(INDIRECT("Ans" &amp; E47 &amp; "TBL"), MATCH(N47, INDEX(INDIRECT("Ans" &amp; E47 &amp; "TBL"), 0, 1), 0), 2), 0)</f>
        <v>0</v>
      </c>
      <c r="P47" s="355" t="n">
        <f aca="false">IFERROR(AVERAGE(O47,O51),0)</f>
        <v>0</v>
      </c>
      <c r="Q47" s="353"/>
      <c r="R47" s="327" t="str">
        <f aca="false">N47</f>
        <v/>
      </c>
      <c r="S47" s="88" t="n">
        <f aca="true">IFERROR(INDEX(INDIRECT("Ans" &amp; E47 &amp; "TBL"), MATCH(R47, INDEX(INDIRECT("Ans" &amp; E47 &amp; "TBL"), 0, 1), 0), 2), 0)</f>
        <v>0</v>
      </c>
      <c r="T47" s="356" t="n">
        <f aca="false">IFERROR(AVERAGE(S47,S51),0)</f>
        <v>0</v>
      </c>
      <c r="U47" s="353"/>
      <c r="V47" s="327" t="str">
        <f aca="false">R47</f>
        <v/>
      </c>
      <c r="W47" s="337" t="n">
        <f aca="true">IFERROR(INDEX(INDIRECT("Ans" &amp; E47 &amp; "TBL"), MATCH(V47, INDEX(INDIRECT("Ans" &amp; E47 &amp; "TBL"), 0, 1), 0), 2), 0)</f>
        <v>0</v>
      </c>
      <c r="X47" s="355" t="n">
        <f aca="false">IFERROR(AVERAGE(W47,W51),0)</f>
        <v>0</v>
      </c>
      <c r="Y47" s="353"/>
      <c r="Z47" s="353"/>
    </row>
    <row r="48" customFormat="false" ht="27.75" hidden="false" customHeight="true" outlineLevel="0" collapsed="false">
      <c r="A48" s="19" t="str">
        <f aca="false">Interview!A65</f>
        <v>D-TA-A-3-1</v>
      </c>
      <c r="B48" s="109"/>
      <c r="C48" s="110" t="n">
        <f aca="false">INDEX('imp-questions'!E:E, MATCH(A48, 'imp-questions'!A:A, 0))</f>
        <v>3</v>
      </c>
      <c r="D48" s="293" t="str">
        <f aca="false">INDEX('imp-questions'!F:F, MATCH(A48, 'imp-questions'!A:A, 0))</f>
        <v>Do you regularly review and update the risk profiles for your applications?</v>
      </c>
      <c r="E48" s="282" t="str">
        <f aca="false">CHAR(65+INDEX('imp-questions'!H:H, MATCH(A48, 'imp-questions'!A:A, 0)))</f>
        <v>R</v>
      </c>
      <c r="F48" s="286" t="str">
        <f aca="false">IF(ISBLANK(Interview!F65),"",Interview!F65)</f>
        <v/>
      </c>
      <c r="G48" s="357" t="n">
        <f aca="true">IFERROR(INDEX(INDIRECT("Ans" &amp; E48 &amp; "TBL"), MATCH(F48, INDEX(INDIRECT("Ans" &amp; E48 &amp; "TBL"), 0, 1), 0), 2), 0)</f>
        <v>0</v>
      </c>
      <c r="H48" s="358" t="n">
        <f aca="false">IFERROR(AVERAGE(G48,G52),0)</f>
        <v>0</v>
      </c>
      <c r="I48" s="353"/>
      <c r="J48" s="327" t="str">
        <f aca="false">F48</f>
        <v/>
      </c>
      <c r="K48" s="88" t="n">
        <f aca="true">IFERROR(INDEX(INDIRECT("Ans" &amp; E48 &amp; "TBL"), MATCH(J48, INDEX(INDIRECT("Ans" &amp; E48 &amp; "TBL"), 0, 1), 0), 2), 0)</f>
        <v>0</v>
      </c>
      <c r="L48" s="284" t="n">
        <f aca="false">IFERROR(AVERAGE(K48,K52),0)</f>
        <v>0</v>
      </c>
      <c r="M48" s="353"/>
      <c r="N48" s="327" t="str">
        <f aca="false">J48</f>
        <v/>
      </c>
      <c r="O48" s="338" t="n">
        <f aca="true">IFERROR(INDEX(INDIRECT("Ans" &amp; E48 &amp; "TBL"), MATCH(N48, INDEX(INDIRECT("Ans" &amp; E48 &amp; "TBL"), 0, 1), 0), 2), 0)</f>
        <v>0</v>
      </c>
      <c r="P48" s="359" t="n">
        <f aca="false">IFERROR(AVERAGE(O48,O52),0)</f>
        <v>0</v>
      </c>
      <c r="Q48" s="353"/>
      <c r="R48" s="327" t="str">
        <f aca="false">N48</f>
        <v/>
      </c>
      <c r="S48" s="88" t="n">
        <f aca="true">IFERROR(INDEX(INDIRECT("Ans" &amp; E48 &amp; "TBL"), MATCH(R48, INDEX(INDIRECT("Ans" &amp; E48 &amp; "TBL"), 0, 1), 0), 2), 0)</f>
        <v>0</v>
      </c>
      <c r="T48" s="360" t="n">
        <f aca="false">IFERROR(AVERAGE(S48,S52),0)</f>
        <v>0</v>
      </c>
      <c r="U48" s="353"/>
      <c r="V48" s="327" t="str">
        <f aca="false">R48</f>
        <v/>
      </c>
      <c r="W48" s="340" t="n">
        <f aca="true">IFERROR(INDEX(INDIRECT("Ans" &amp; E48 &amp; "TBL"), MATCH(V48, INDEX(INDIRECT("Ans" &amp; E48 &amp; "TBL"), 0, 1), 0), 2), 0)</f>
        <v>0</v>
      </c>
      <c r="X48" s="359" t="n">
        <f aca="false">IFERROR(AVERAGE(W48,W52),0)</f>
        <v>0</v>
      </c>
      <c r="Y48" s="353"/>
      <c r="Z48" s="353"/>
    </row>
    <row r="49" customFormat="false" ht="12.75" hidden="false" customHeight="true" outlineLevel="0" collapsed="false">
      <c r="B49" s="297"/>
      <c r="C49" s="298"/>
      <c r="D49" s="76"/>
      <c r="E49" s="124"/>
      <c r="F49" s="76"/>
      <c r="G49" s="124"/>
      <c r="H49" s="124"/>
      <c r="I49" s="353"/>
      <c r="J49" s="76"/>
      <c r="K49" s="124"/>
      <c r="L49" s="124"/>
      <c r="M49" s="353"/>
      <c r="N49" s="76"/>
      <c r="O49" s="124"/>
      <c r="P49" s="124"/>
      <c r="Q49" s="353"/>
      <c r="R49" s="76"/>
      <c r="S49" s="124"/>
      <c r="T49" s="124"/>
      <c r="U49" s="353"/>
      <c r="V49" s="76"/>
      <c r="W49" s="124"/>
      <c r="X49" s="124"/>
      <c r="Y49" s="353"/>
      <c r="Z49" s="353"/>
    </row>
    <row r="50" customFormat="false" ht="27.75" hidden="false" customHeight="true" outlineLevel="0" collapsed="false">
      <c r="A50" s="19" t="str">
        <f aca="false">Interview!A68</f>
        <v>D-TA-B-1-1</v>
      </c>
      <c r="B50" s="109" t="str">
        <f aca="false">INDEX('imp-questions'!D:D, MATCH(A50, 'imp-questions'!A:A, 0))</f>
        <v>Threat Modeling</v>
      </c>
      <c r="C50" s="110" t="n">
        <f aca="false">INDEX('imp-questions'!E:E, MATCH(A50, 'imp-questions'!A:A, 0))</f>
        <v>1</v>
      </c>
      <c r="D50" s="281" t="str">
        <f aca="false">INDEX('imp-questions'!F:F, MATCH(A50, 'imp-questions'!A:A, 0))</f>
        <v>Do you identify and manage architectural design flaws with threat modeling?</v>
      </c>
      <c r="E50" s="282" t="str">
        <f aca="false">CHAR(65+INDEX('imp-questions'!H:H, MATCH(A50, 'imp-questions'!A:A, 0)))</f>
        <v>B</v>
      </c>
      <c r="F50" s="286" t="str">
        <f aca="false">IF(ISBLANK(Interview!F68),"",Interview!F68)</f>
        <v/>
      </c>
      <c r="G50" s="335" t="n">
        <f aca="true">IFERROR(INDEX(INDIRECT("Ans" &amp; E50 &amp; "TBL"), MATCH(F50, INDEX(INDIRECT("Ans" &amp; E50 &amp; "TBL"), 0, 1), 0), 2), 0)</f>
        <v>0</v>
      </c>
      <c r="H50" s="334"/>
      <c r="I50" s="353"/>
      <c r="J50" s="327" t="str">
        <f aca="false">F50</f>
        <v/>
      </c>
      <c r="K50" s="329" t="n">
        <f aca="true">IFERROR(INDEX(INDIRECT("Ans" &amp; E50 &amp; "TBL"), MATCH(J50, INDEX(INDIRECT("Ans" &amp; E50 &amp; "TBL"), 0, 1), 0), 2), 0)</f>
        <v>0</v>
      </c>
      <c r="L50" s="321"/>
      <c r="M50" s="353"/>
      <c r="N50" s="327" t="str">
        <f aca="false">J50</f>
        <v/>
      </c>
      <c r="O50" s="333" t="n">
        <f aca="true">IFERROR(INDEX(INDIRECT("Ans" &amp; E50 &amp; "TBL"), MATCH(N50, INDEX(INDIRECT("Ans" &amp; E50 &amp; "TBL"), 0, 1), 0), 2), 0)</f>
        <v>0</v>
      </c>
      <c r="P50" s="334"/>
      <c r="Q50" s="353"/>
      <c r="R50" s="327" t="str">
        <f aca="false">N50</f>
        <v/>
      </c>
      <c r="S50" s="88" t="n">
        <f aca="true">IFERROR(INDEX(INDIRECT("Ans" &amp; E50 &amp; "TBL"), MATCH(R50, INDEX(INDIRECT("Ans" &amp; E50 &amp; "TBL"), 0, 1), 0), 2), 0)</f>
        <v>0</v>
      </c>
      <c r="T50" s="324"/>
      <c r="U50" s="353"/>
      <c r="V50" s="327" t="str">
        <f aca="false">R50</f>
        <v/>
      </c>
      <c r="W50" s="335" t="n">
        <f aca="true">IFERROR(INDEX(INDIRECT("Ans" &amp; E50 &amp; "TBL"), MATCH(V50, INDEX(INDIRECT("Ans" &amp; E50 &amp; "TBL"), 0, 1), 0), 2), 0)</f>
        <v>0</v>
      </c>
      <c r="X50" s="334"/>
      <c r="Y50" s="353"/>
      <c r="Z50" s="353"/>
    </row>
    <row r="51" customFormat="false" ht="27.75" hidden="false" customHeight="true" outlineLevel="0" collapsed="false">
      <c r="A51" s="19" t="str">
        <f aca="false">Interview!A70</f>
        <v>D-TA-B-2-1</v>
      </c>
      <c r="B51" s="109"/>
      <c r="C51" s="110" t="n">
        <f aca="false">INDEX('imp-questions'!E:E, MATCH(A51, 'imp-questions'!A:A, 0))</f>
        <v>2</v>
      </c>
      <c r="D51" s="281" t="str">
        <f aca="false">INDEX('imp-questions'!F:F, MATCH(A51, 'imp-questions'!A:A, 0))</f>
        <v>Do you use a standard methodology, aligned with your application risk levels?</v>
      </c>
      <c r="E51" s="282" t="str">
        <f aca="false">CHAR(65+INDEX('imp-questions'!H:H, MATCH(A51, 'imp-questions'!A:A, 0)))</f>
        <v>A</v>
      </c>
      <c r="F51" s="283" t="str">
        <f aca="false">IF(ISBLANK(Interview!F70),"",Interview!F70)</f>
        <v/>
      </c>
      <c r="G51" s="337" t="n">
        <f aca="true">IFERROR(INDEX(INDIRECT("Ans" &amp; E51 &amp; "TBL"), MATCH(F51, INDEX(INDIRECT("Ans" &amp; E51 &amp; "TBL"), 0, 1), 0), 2), 0)</f>
        <v>0</v>
      </c>
      <c r="H51" s="336"/>
      <c r="I51" s="353"/>
      <c r="J51" s="327" t="str">
        <f aca="false">F51</f>
        <v/>
      </c>
      <c r="K51" s="302" t="n">
        <f aca="true">IFERROR(INDEX(INDIRECT("Ans" &amp; E51 &amp; "TBL"), MATCH(J51, INDEX(INDIRECT("Ans" &amp; E51 &amp; "TBL"), 0, 1), 0), 2), 0)</f>
        <v>0</v>
      </c>
      <c r="L51" s="305"/>
      <c r="M51" s="353"/>
      <c r="N51" s="327" t="str">
        <f aca="false">J51</f>
        <v/>
      </c>
      <c r="O51" s="322" t="n">
        <f aca="true">IFERROR(INDEX(INDIRECT("Ans" &amp; E51 &amp; "TBL"), MATCH(N51, INDEX(INDIRECT("Ans" &amp; E51 &amp; "TBL"), 0, 1), 0), 2), 0)</f>
        <v>0</v>
      </c>
      <c r="P51" s="336"/>
      <c r="Q51" s="353"/>
      <c r="R51" s="327" t="str">
        <f aca="false">N51</f>
        <v/>
      </c>
      <c r="S51" s="88" t="n">
        <f aca="true">IFERROR(INDEX(INDIRECT("Ans" &amp; E51 &amp; "TBL"), MATCH(R51, INDEX(INDIRECT("Ans" &amp; E51 &amp; "TBL"), 0, 1), 0), 2), 0)</f>
        <v>0</v>
      </c>
      <c r="T51" s="306"/>
      <c r="U51" s="353"/>
      <c r="V51" s="327" t="str">
        <f aca="false">R51</f>
        <v/>
      </c>
      <c r="W51" s="337" t="n">
        <f aca="true">IFERROR(INDEX(INDIRECT("Ans" &amp; E51 &amp; "TBL"), MATCH(V51, INDEX(INDIRECT("Ans" &amp; E51 &amp; "TBL"), 0, 1), 0), 2), 0)</f>
        <v>0</v>
      </c>
      <c r="X51" s="336"/>
      <c r="Y51" s="353"/>
      <c r="Z51" s="353"/>
    </row>
    <row r="52" customFormat="false" ht="27.75" hidden="false" customHeight="true" outlineLevel="0" collapsed="false">
      <c r="A52" s="19" t="str">
        <f aca="false">Interview!A72</f>
        <v>D-TA-B-3-1</v>
      </c>
      <c r="B52" s="109"/>
      <c r="C52" s="110" t="n">
        <f aca="false">INDEX('imp-questions'!E:E, MATCH(A52, 'imp-questions'!A:A, 0))</f>
        <v>3</v>
      </c>
      <c r="D52" s="293" t="str">
        <f aca="false">INDEX('imp-questions'!F:F, MATCH(A52, 'imp-questions'!A:A, 0))</f>
        <v>Do you regularly review and update the threat modeling methodology for your applications?</v>
      </c>
      <c r="E52" s="282" t="str">
        <f aca="false">CHAR(65+INDEX('imp-questions'!H:H, MATCH(A52, 'imp-questions'!A:A, 0)))</f>
        <v>P</v>
      </c>
      <c r="F52" s="283" t="str">
        <f aca="false">IF(ISBLANK(Interview!F72),"",Interview!F72)</f>
        <v/>
      </c>
      <c r="G52" s="340" t="n">
        <f aca="true">IFERROR(INDEX(INDIRECT("Ans" &amp; E52 &amp; "TBL"), MATCH(F52, INDEX(INDIRECT("Ans" &amp; E52 &amp; "TBL"), 0, 1), 0), 2), 0)</f>
        <v>0</v>
      </c>
      <c r="H52" s="339"/>
      <c r="I52" s="353"/>
      <c r="J52" s="327" t="str">
        <f aca="false">F52</f>
        <v/>
      </c>
      <c r="K52" s="332" t="n">
        <f aca="true">IFERROR(INDEX(INDIRECT("Ans" &amp; E52 &amp; "TBL"), MATCH(J52, INDEX(INDIRECT("Ans" &amp; E52 &amp; "TBL"), 0, 1), 0), 2), 0)</f>
        <v>0</v>
      </c>
      <c r="L52" s="308"/>
      <c r="M52" s="353"/>
      <c r="N52" s="327" t="str">
        <f aca="false">J52</f>
        <v/>
      </c>
      <c r="O52" s="338" t="n">
        <f aca="true">IFERROR(INDEX(INDIRECT("Ans" &amp; E52 &amp; "TBL"), MATCH(N52, INDEX(INDIRECT("Ans" &amp; E52 &amp; "TBL"), 0, 1), 0), 2), 0)</f>
        <v>0</v>
      </c>
      <c r="P52" s="339"/>
      <c r="Q52" s="353"/>
      <c r="R52" s="327" t="str">
        <f aca="false">N52</f>
        <v/>
      </c>
      <c r="S52" s="88" t="n">
        <f aca="true">IFERROR(INDEX(INDIRECT("Ans" &amp; E52 &amp; "TBL"), MATCH(R52, INDEX(INDIRECT("Ans" &amp; E52 &amp; "TBL"), 0, 1), 0), 2), 0)</f>
        <v>0</v>
      </c>
      <c r="T52" s="309"/>
      <c r="U52" s="353"/>
      <c r="V52" s="327" t="str">
        <f aca="false">R52</f>
        <v/>
      </c>
      <c r="W52" s="340" t="n">
        <f aca="true">IFERROR(INDEX(INDIRECT("Ans" &amp; E52 &amp; "TBL"), MATCH(V52, INDEX(INDIRECT("Ans" &amp; E52 &amp; "TBL"), 0, 1), 0), 2), 0)</f>
        <v>0</v>
      </c>
      <c r="X52" s="339"/>
      <c r="Y52" s="353"/>
      <c r="Z52" s="353"/>
    </row>
    <row r="53" customFormat="false" ht="12.75" hidden="false" customHeight="true" outlineLevel="0" collapsed="false">
      <c r="B53" s="297"/>
      <c r="C53" s="298"/>
      <c r="D53" s="76"/>
      <c r="E53" s="76"/>
      <c r="F53" s="76"/>
      <c r="G53" s="76"/>
      <c r="H53" s="76"/>
      <c r="I53" s="76"/>
      <c r="J53" s="76"/>
      <c r="K53" s="76"/>
      <c r="L53" s="76"/>
      <c r="M53" s="76"/>
      <c r="N53" s="76"/>
      <c r="O53" s="76"/>
      <c r="P53" s="76"/>
      <c r="Q53" s="76"/>
      <c r="R53" s="76"/>
      <c r="S53" s="76"/>
      <c r="T53" s="76"/>
      <c r="U53" s="76"/>
      <c r="V53" s="76"/>
      <c r="W53" s="76"/>
      <c r="X53" s="76"/>
      <c r="Y53" s="76"/>
    </row>
    <row r="54" customFormat="false" ht="15.75" hidden="false" customHeight="true" outlineLevel="0" collapsed="false">
      <c r="B54" s="346" t="s">
        <v>213</v>
      </c>
      <c r="C54" s="347" t="s">
        <v>214</v>
      </c>
      <c r="D54" s="361" t="s">
        <v>223</v>
      </c>
      <c r="E54" s="362"/>
      <c r="F54" s="105" t="s">
        <v>216</v>
      </c>
      <c r="G54" s="363"/>
      <c r="H54" s="364"/>
      <c r="I54" s="137" t="s">
        <v>218</v>
      </c>
      <c r="J54" s="105" t="s">
        <v>216</v>
      </c>
      <c r="K54" s="363"/>
      <c r="L54" s="364"/>
      <c r="M54" s="137" t="s">
        <v>218</v>
      </c>
      <c r="N54" s="105" t="s">
        <v>216</v>
      </c>
      <c r="O54" s="363"/>
      <c r="P54" s="364"/>
      <c r="Q54" s="137" t="s">
        <v>218</v>
      </c>
      <c r="R54" s="105" t="s">
        <v>216</v>
      </c>
      <c r="S54" s="363"/>
      <c r="T54" s="364"/>
      <c r="U54" s="137" t="s">
        <v>218</v>
      </c>
      <c r="V54" s="105" t="s">
        <v>216</v>
      </c>
      <c r="W54" s="363"/>
      <c r="X54" s="364"/>
      <c r="Y54" s="137" t="s">
        <v>218</v>
      </c>
      <c r="Z54" s="137" t="s">
        <v>254</v>
      </c>
    </row>
    <row r="55" customFormat="false" ht="27.75" hidden="false" customHeight="true" outlineLevel="0" collapsed="false">
      <c r="A55" s="19" t="str">
        <f aca="false">Interview!A75</f>
        <v>D-SR-A-1-1</v>
      </c>
      <c r="B55" s="365" t="str">
        <f aca="false">INDEX('imp-questions'!D:D, MATCH(A55, 'imp-questions'!A:A, 0))</f>
        <v>Software Requirements</v>
      </c>
      <c r="C55" s="110" t="n">
        <f aca="false">INDEX('imp-questions'!E:E, MATCH(A55, 'imp-questions'!A:A, 0))</f>
        <v>1</v>
      </c>
      <c r="D55" s="281" t="str">
        <f aca="false">INDEX('imp-questions'!F:F, MATCH(A55, 'imp-questions'!A:A, 0))</f>
        <v>Do project teams specify security requirements during development?</v>
      </c>
      <c r="E55" s="282" t="str">
        <f aca="false">CHAR(65+INDEX('imp-questions'!H:H, MATCH(A55, 'imp-questions'!A:A, 0)))</f>
        <v>A</v>
      </c>
      <c r="F55" s="286" t="str">
        <f aca="false">IF(ISBLANK(Interview!F75),"",Interview!F75)</f>
        <v/>
      </c>
      <c r="G55" s="335" t="n">
        <f aca="true">IFERROR(INDEX(INDIRECT("Ans" &amp; E55 &amp; "TBL"), MATCH(F55, INDEX(INDIRECT("Ans" &amp; E55 &amp; "TBL"), 0, 1), 0), 2), 0)</f>
        <v>0</v>
      </c>
      <c r="H55" s="354" t="n">
        <f aca="false">IFERROR(AVERAGE(G55,G59),0)</f>
        <v>0</v>
      </c>
      <c r="I55" s="353" t="n">
        <f aca="false">SUM(H55:H57)</f>
        <v>0</v>
      </c>
      <c r="J55" s="327" t="str">
        <f aca="false">F55</f>
        <v/>
      </c>
      <c r="K55" s="335" t="n">
        <f aca="true">IFERROR(INDEX(INDIRECT("Ans" &amp; E55 &amp; "TBL"), MATCH(J55, INDEX(INDIRECT("Ans" &amp; E55 &amp; "TBL"), 0, 1), 0), 2), 0)</f>
        <v>0</v>
      </c>
      <c r="L55" s="354" t="n">
        <f aca="false">IFERROR(AVERAGE(K55,K59),0)</f>
        <v>0</v>
      </c>
      <c r="M55" s="353" t="n">
        <f aca="false">SUM(L55:L57)</f>
        <v>0</v>
      </c>
      <c r="N55" s="327" t="str">
        <f aca="false">J55</f>
        <v/>
      </c>
      <c r="O55" s="333" t="n">
        <f aca="true">IFERROR(INDEX(INDIRECT("Ans" &amp; E55 &amp; "TBL"), MATCH(N55, INDEX(INDIRECT("Ans" &amp; E55 &amp; "TBL"), 0, 1), 0), 2), 0)</f>
        <v>0</v>
      </c>
      <c r="P55" s="354" t="n">
        <f aca="false">IFERROR(AVERAGE(O55,O59),0)</f>
        <v>0</v>
      </c>
      <c r="Q55" s="353" t="n">
        <f aca="false">SUM(P55:P57)</f>
        <v>0</v>
      </c>
      <c r="R55" s="327" t="str">
        <f aca="false">N55</f>
        <v/>
      </c>
      <c r="S55" s="88" t="n">
        <f aca="true">IFERROR(INDEX(INDIRECT("Ans" &amp; E55 &amp; "TBL"), MATCH(R55, INDEX(INDIRECT("Ans" &amp; E55 &amp; "TBL"), 0, 1), 0), 2), 0)</f>
        <v>0</v>
      </c>
      <c r="T55" s="303" t="n">
        <f aca="false">IFERROR(AVERAGE(S55,S59),0)</f>
        <v>0</v>
      </c>
      <c r="U55" s="353" t="n">
        <f aca="false">SUM(T55:T57)</f>
        <v>0</v>
      </c>
      <c r="V55" s="327" t="str">
        <f aca="false">R55</f>
        <v/>
      </c>
      <c r="W55" s="335" t="n">
        <f aca="true">IFERROR(INDEX(INDIRECT("Ans" &amp; E55 &amp; "TBL"), MATCH(V55, INDEX(INDIRECT("Ans" &amp; E55 &amp; "TBL"), 0, 1), 0), 2), 0)</f>
        <v>0</v>
      </c>
      <c r="X55" s="354" t="n">
        <f aca="false">IFERROR(AVERAGE(W55,W59),0)</f>
        <v>0</v>
      </c>
      <c r="Y55" s="353" t="n">
        <f aca="false">SUM(X55:X57)</f>
        <v>0</v>
      </c>
      <c r="Z55" s="353" t="n">
        <f aca="false">SUM(Y55:Y57)</f>
        <v>0</v>
      </c>
    </row>
    <row r="56" customFormat="false" ht="27.75" hidden="false" customHeight="true" outlineLevel="0" collapsed="false">
      <c r="A56" s="19" t="str">
        <f aca="false">Interview!A77</f>
        <v>D-SR-A-2-1</v>
      </c>
      <c r="B56" s="365"/>
      <c r="C56" s="110" t="n">
        <f aca="false">INDEX('imp-questions'!E:E, MATCH(A56, 'imp-questions'!A:A, 0))</f>
        <v>2</v>
      </c>
      <c r="D56" s="281" t="str">
        <f aca="false">INDEX('imp-questions'!F:F, MATCH(A56, 'imp-questions'!A:A, 0))</f>
        <v>Do you define, structure, and include prioritization in the artifacts of the security requirements gathering process?</v>
      </c>
      <c r="E56" s="282" t="str">
        <f aca="false">CHAR(65+INDEX('imp-questions'!H:H, MATCH(A56, 'imp-questions'!A:A, 0)))</f>
        <v>E</v>
      </c>
      <c r="F56" s="294" t="str">
        <f aca="false">IF(ISBLANK(Interview!F77),"",Interview!F77)</f>
        <v/>
      </c>
      <c r="G56" s="337" t="n">
        <f aca="true">IFERROR(INDEX(INDIRECT("Ans" &amp; E56 &amp; "TBL"), MATCH(F56, INDEX(INDIRECT("Ans" &amp; E56 &amp; "TBL"), 0, 1), 0), 2), 0)</f>
        <v>0</v>
      </c>
      <c r="H56" s="355" t="n">
        <f aca="false">IFERROR(AVERAGE(G56,G60),0)</f>
        <v>0</v>
      </c>
      <c r="I56" s="353"/>
      <c r="J56" s="327" t="str">
        <f aca="false">F56</f>
        <v/>
      </c>
      <c r="K56" s="337" t="n">
        <f aca="true">IFERROR(INDEX(INDIRECT("Ans" &amp; E56 &amp; "TBL"), MATCH(J56, INDEX(INDIRECT("Ans" &amp; E56 &amp; "TBL"), 0, 1), 0), 2), 0)</f>
        <v>0</v>
      </c>
      <c r="L56" s="355" t="n">
        <f aca="false">IFERROR(AVERAGE(K56,K60),0)</f>
        <v>0</v>
      </c>
      <c r="M56" s="353"/>
      <c r="N56" s="327" t="str">
        <f aca="false">J56</f>
        <v/>
      </c>
      <c r="O56" s="322" t="n">
        <f aca="true">IFERROR(INDEX(INDIRECT("Ans" &amp; E56 &amp; "TBL"), MATCH(N56, INDEX(INDIRECT("Ans" &amp; E56 &amp; "TBL"), 0, 1), 0), 2), 0)</f>
        <v>0</v>
      </c>
      <c r="P56" s="355" t="n">
        <f aca="false">IFERROR(AVERAGE(O56,O60),0)</f>
        <v>0</v>
      </c>
      <c r="Q56" s="353"/>
      <c r="R56" s="327" t="str">
        <f aca="false">N56</f>
        <v/>
      </c>
      <c r="S56" s="88" t="n">
        <f aca="true">IFERROR(INDEX(INDIRECT("Ans" &amp; E56 &amp; "TBL"), MATCH(R56, INDEX(INDIRECT("Ans" &amp; E56 &amp; "TBL"), 0, 1), 0), 2), 0)</f>
        <v>0</v>
      </c>
      <c r="T56" s="356" t="n">
        <f aca="false">IFERROR(AVERAGE(S56,S60),0)</f>
        <v>0</v>
      </c>
      <c r="U56" s="353"/>
      <c r="V56" s="327" t="str">
        <f aca="false">R56</f>
        <v/>
      </c>
      <c r="W56" s="337" t="n">
        <f aca="true">IFERROR(INDEX(INDIRECT("Ans" &amp; E56 &amp; "TBL"), MATCH(V56, INDEX(INDIRECT("Ans" &amp; E56 &amp; "TBL"), 0, 1), 0), 2), 0)</f>
        <v>0</v>
      </c>
      <c r="X56" s="355" t="n">
        <f aca="false">IFERROR(AVERAGE(W56,W60),0)</f>
        <v>0</v>
      </c>
      <c r="Y56" s="353"/>
      <c r="Z56" s="353"/>
    </row>
    <row r="57" customFormat="false" ht="27.75" hidden="false" customHeight="true" outlineLevel="0" collapsed="false">
      <c r="A57" s="19" t="str">
        <f aca="false">Interview!A79</f>
        <v>D-SR-A-3-1</v>
      </c>
      <c r="B57" s="365"/>
      <c r="C57" s="110" t="n">
        <f aca="false">INDEX('imp-questions'!E:E, MATCH(A57, 'imp-questions'!A:A, 0))</f>
        <v>3</v>
      </c>
      <c r="D57" s="293" t="str">
        <f aca="false">INDEX('imp-questions'!F:F, MATCH(A57, 'imp-questions'!A:A, 0))</f>
        <v>Do you use a standard requirements framework to streamline the elicitation of security requirements?</v>
      </c>
      <c r="E57" s="282" t="str">
        <f aca="false">CHAR(65+INDEX('imp-questions'!H:H, MATCH(A57, 'imp-questions'!A:A, 0)))</f>
        <v>A</v>
      </c>
      <c r="F57" s="286" t="str">
        <f aca="false">IF(ISBLANK(Interview!F79),"",Interview!F79)</f>
        <v/>
      </c>
      <c r="G57" s="340" t="n">
        <f aca="true">IFERROR(INDEX(INDIRECT("Ans" &amp; E57 &amp; "TBL"), MATCH(F57, INDEX(INDIRECT("Ans" &amp; E57 &amp; "TBL"), 0, 1), 0), 2), 0)</f>
        <v>0</v>
      </c>
      <c r="H57" s="359" t="n">
        <f aca="false">IFERROR(AVERAGE(G57,G61),0)</f>
        <v>0</v>
      </c>
      <c r="I57" s="353"/>
      <c r="J57" s="327" t="str">
        <f aca="false">F57</f>
        <v/>
      </c>
      <c r="K57" s="340" t="n">
        <f aca="true">IFERROR(INDEX(INDIRECT("Ans" &amp; E57 &amp; "TBL"), MATCH(J57, INDEX(INDIRECT("Ans" &amp; E57 &amp; "TBL"), 0, 1), 0), 2), 0)</f>
        <v>0</v>
      </c>
      <c r="L57" s="359" t="n">
        <f aca="false">IFERROR(AVERAGE(K57,K61),0)</f>
        <v>0</v>
      </c>
      <c r="M57" s="353"/>
      <c r="N57" s="327" t="str">
        <f aca="false">J57</f>
        <v/>
      </c>
      <c r="O57" s="338" t="n">
        <f aca="true">IFERROR(INDEX(INDIRECT("Ans" &amp; E57 &amp; "TBL"), MATCH(N57, INDEX(INDIRECT("Ans" &amp; E57 &amp; "TBL"), 0, 1), 0), 2), 0)</f>
        <v>0</v>
      </c>
      <c r="P57" s="359" t="n">
        <f aca="false">IFERROR(AVERAGE(O57,O61),0)</f>
        <v>0</v>
      </c>
      <c r="Q57" s="353"/>
      <c r="R57" s="327" t="str">
        <f aca="false">N57</f>
        <v/>
      </c>
      <c r="S57" s="88" t="n">
        <f aca="true">IFERROR(INDEX(INDIRECT("Ans" &amp; E57 &amp; "TBL"), MATCH(R57, INDEX(INDIRECT("Ans" &amp; E57 &amp; "TBL"), 0, 1), 0), 2), 0)</f>
        <v>0</v>
      </c>
      <c r="T57" s="360" t="n">
        <f aca="false">IFERROR(AVERAGE(S57,S61),0)</f>
        <v>0</v>
      </c>
      <c r="U57" s="353"/>
      <c r="V57" s="327" t="str">
        <f aca="false">R57</f>
        <v/>
      </c>
      <c r="W57" s="340" t="n">
        <f aca="true">IFERROR(INDEX(INDIRECT("Ans" &amp; E57 &amp; "TBL"), MATCH(V57, INDEX(INDIRECT("Ans" &amp; E57 &amp; "TBL"), 0, 1), 0), 2), 0)</f>
        <v>0</v>
      </c>
      <c r="X57" s="359" t="n">
        <f aca="false">IFERROR(AVERAGE(W57,W61),0)</f>
        <v>0</v>
      </c>
      <c r="Y57" s="353"/>
      <c r="Z57" s="353"/>
    </row>
    <row r="58" customFormat="false" ht="12.75" hidden="false" customHeight="true" outlineLevel="0" collapsed="false">
      <c r="B58" s="366"/>
      <c r="C58" s="298"/>
      <c r="D58" s="76"/>
      <c r="E58" s="124"/>
      <c r="F58" s="76"/>
      <c r="G58" s="124"/>
      <c r="H58" s="124"/>
      <c r="I58" s="353"/>
      <c r="J58" s="76"/>
      <c r="K58" s="124"/>
      <c r="L58" s="124"/>
      <c r="M58" s="353"/>
      <c r="N58" s="76"/>
      <c r="O58" s="124"/>
      <c r="P58" s="124"/>
      <c r="Q58" s="353"/>
      <c r="R58" s="76"/>
      <c r="S58" s="124"/>
      <c r="T58" s="124"/>
      <c r="U58" s="353"/>
      <c r="V58" s="76"/>
      <c r="W58" s="124"/>
      <c r="X58" s="124"/>
      <c r="Y58" s="353"/>
      <c r="Z58" s="353"/>
    </row>
    <row r="59" customFormat="false" ht="27.75" hidden="false" customHeight="true" outlineLevel="0" collapsed="false">
      <c r="A59" s="19" t="str">
        <f aca="false">Interview!A82</f>
        <v>D-SR-B-1-1</v>
      </c>
      <c r="B59" s="109" t="str">
        <f aca="false">INDEX('imp-questions'!D:D, MATCH(A59, 'imp-questions'!A:A, 0))</f>
        <v>Supplier Security</v>
      </c>
      <c r="C59" s="110" t="n">
        <f aca="false">INDEX('imp-questions'!E:E, MATCH(A59, 'imp-questions'!A:A, 0))</f>
        <v>1</v>
      </c>
      <c r="D59" s="281" t="str">
        <f aca="false">INDEX('imp-questions'!F:F, MATCH(A59, 'imp-questions'!A:A, 0))</f>
        <v>Do stakeholders review vendor collaborations for security requirements and methodology?</v>
      </c>
      <c r="E59" s="282" t="str">
        <f aca="false">CHAR(65+INDEX('imp-questions'!H:H, MATCH(A59, 'imp-questions'!A:A, 0)))</f>
        <v>E</v>
      </c>
      <c r="F59" s="286" t="str">
        <f aca="false">IF(ISBLANK(Interview!F82),"",Interview!F82)</f>
        <v/>
      </c>
      <c r="G59" s="335" t="n">
        <f aca="true">IFERROR(INDEX(INDIRECT("Ans" &amp; E59 &amp; "TBL"), MATCH(F59, INDEX(INDIRECT("Ans" &amp; E59 &amp; "TBL"), 0, 1), 0), 2), 0)</f>
        <v>0</v>
      </c>
      <c r="H59" s="334"/>
      <c r="I59" s="353"/>
      <c r="J59" s="327" t="str">
        <f aca="false">F59</f>
        <v/>
      </c>
      <c r="K59" s="335" t="n">
        <f aca="true">IFERROR(INDEX(INDIRECT("Ans" &amp; E59 &amp; "TBL"), MATCH(J59, INDEX(INDIRECT("Ans" &amp; E59 &amp; "TBL"), 0, 1), 0), 2), 0)</f>
        <v>0</v>
      </c>
      <c r="L59" s="334"/>
      <c r="M59" s="353"/>
      <c r="N59" s="327" t="str">
        <f aca="false">J59</f>
        <v/>
      </c>
      <c r="O59" s="333" t="n">
        <f aca="true">IFERROR(INDEX(INDIRECT("Ans" &amp; E59 &amp; "TBL"), MATCH(N59, INDEX(INDIRECT("Ans" &amp; E59 &amp; "TBL"), 0, 1), 0), 2), 0)</f>
        <v>0</v>
      </c>
      <c r="P59" s="334"/>
      <c r="Q59" s="353"/>
      <c r="R59" s="327" t="str">
        <f aca="false">N59</f>
        <v/>
      </c>
      <c r="S59" s="88" t="n">
        <f aca="true">IFERROR(INDEX(INDIRECT("Ans" &amp; E59 &amp; "TBL"), MATCH(R59, INDEX(INDIRECT("Ans" &amp; E59 &amp; "TBL"), 0, 1), 0), 2), 0)</f>
        <v>0</v>
      </c>
      <c r="T59" s="324"/>
      <c r="U59" s="353"/>
      <c r="V59" s="327" t="str">
        <f aca="false">R59</f>
        <v/>
      </c>
      <c r="W59" s="335" t="n">
        <f aca="true">IFERROR(INDEX(INDIRECT("Ans" &amp; E59 &amp; "TBL"), MATCH(V59, INDEX(INDIRECT("Ans" &amp; E59 &amp; "TBL"), 0, 1), 0), 2), 0)</f>
        <v>0</v>
      </c>
      <c r="X59" s="334"/>
      <c r="Y59" s="353"/>
      <c r="Z59" s="353"/>
    </row>
    <row r="60" customFormat="false" ht="27.75" hidden="false" customHeight="true" outlineLevel="0" collapsed="false">
      <c r="A60" s="19" t="str">
        <f aca="false">Interview!A84</f>
        <v>D-SR-B-2-1</v>
      </c>
      <c r="B60" s="109"/>
      <c r="C60" s="110" t="n">
        <f aca="false">INDEX('imp-questions'!E:E, MATCH(A60, 'imp-questions'!A:A, 0))</f>
        <v>2</v>
      </c>
      <c r="D60" s="281" t="str">
        <f aca="false">INDEX('imp-questions'!F:F, MATCH(A60, 'imp-questions'!A:A, 0))</f>
        <v>Do vendors meet the security responsibilities and quality measures of service level agreements defined by the organization?</v>
      </c>
      <c r="E60" s="282" t="str">
        <f aca="false">CHAR(65+INDEX('imp-questions'!H:H, MATCH(A60, 'imp-questions'!A:A, 0)))</f>
        <v>E</v>
      </c>
      <c r="F60" s="294" t="str">
        <f aca="false">IF(ISBLANK(Interview!F84),"",Interview!F84)</f>
        <v/>
      </c>
      <c r="G60" s="337" t="n">
        <f aca="true">IFERROR(INDEX(INDIRECT("Ans" &amp; E60 &amp; "TBL"), MATCH(F60, INDEX(INDIRECT("Ans" &amp; E60 &amp; "TBL"), 0, 1), 0), 2), 0)</f>
        <v>0</v>
      </c>
      <c r="H60" s="336"/>
      <c r="I60" s="353"/>
      <c r="J60" s="327" t="str">
        <f aca="false">F60</f>
        <v/>
      </c>
      <c r="K60" s="337" t="n">
        <f aca="true">IFERROR(INDEX(INDIRECT("Ans" &amp; E60 &amp; "TBL"), MATCH(J60, INDEX(INDIRECT("Ans" &amp; E60 &amp; "TBL"), 0, 1), 0), 2), 0)</f>
        <v>0</v>
      </c>
      <c r="L60" s="336"/>
      <c r="M60" s="353"/>
      <c r="N60" s="327" t="str">
        <f aca="false">J60</f>
        <v/>
      </c>
      <c r="O60" s="322" t="n">
        <f aca="true">IFERROR(INDEX(INDIRECT("Ans" &amp; E60 &amp; "TBL"), MATCH(N60, INDEX(INDIRECT("Ans" &amp; E60 &amp; "TBL"), 0, 1), 0), 2), 0)</f>
        <v>0</v>
      </c>
      <c r="P60" s="336"/>
      <c r="Q60" s="353"/>
      <c r="R60" s="327" t="str">
        <f aca="false">N60</f>
        <v/>
      </c>
      <c r="S60" s="88" t="n">
        <f aca="true">IFERROR(INDEX(INDIRECT("Ans" &amp; E60 &amp; "TBL"), MATCH(R60, INDEX(INDIRECT("Ans" &amp; E60 &amp; "TBL"), 0, 1), 0), 2), 0)</f>
        <v>0</v>
      </c>
      <c r="T60" s="306"/>
      <c r="U60" s="353"/>
      <c r="V60" s="327" t="str">
        <f aca="false">R60</f>
        <v/>
      </c>
      <c r="W60" s="337" t="n">
        <f aca="true">IFERROR(INDEX(INDIRECT("Ans" &amp; E60 &amp; "TBL"), MATCH(V60, INDEX(INDIRECT("Ans" &amp; E60 &amp; "TBL"), 0, 1), 0), 2), 0)</f>
        <v>0</v>
      </c>
      <c r="X60" s="336"/>
      <c r="Y60" s="353"/>
      <c r="Z60" s="353"/>
    </row>
    <row r="61" customFormat="false" ht="27.75" hidden="false" customHeight="true" outlineLevel="0" collapsed="false">
      <c r="A61" s="19" t="str">
        <f aca="false">Interview!A86</f>
        <v>D-SR-B-3-1</v>
      </c>
      <c r="B61" s="109"/>
      <c r="C61" s="110" t="n">
        <f aca="false">INDEX('imp-questions'!E:E, MATCH(A61, 'imp-questions'!A:A, 0))</f>
        <v>3</v>
      </c>
      <c r="D61" s="293" t="str">
        <f aca="false">INDEX('imp-questions'!F:F, MATCH(A61, 'imp-questions'!A:A, 0))</f>
        <v>Are vendors aligned with standard security controls and software development tools and processes that the organization utilizes?</v>
      </c>
      <c r="E61" s="282" t="str">
        <f aca="false">CHAR(65+INDEX('imp-questions'!H:H, MATCH(A61, 'imp-questions'!A:A, 0)))</f>
        <v>E</v>
      </c>
      <c r="F61" s="294" t="str">
        <f aca="false">IF(ISBLANK(Interview!F86),"",Interview!F86)</f>
        <v/>
      </c>
      <c r="G61" s="340" t="n">
        <f aca="true">IFERROR(INDEX(INDIRECT("Ans" &amp; E61 &amp; "TBL"), MATCH(F61, INDEX(INDIRECT("Ans" &amp; E61 &amp; "TBL"), 0, 1), 0), 2), 0)</f>
        <v>0</v>
      </c>
      <c r="H61" s="339"/>
      <c r="I61" s="353"/>
      <c r="J61" s="327" t="str">
        <f aca="false">F61</f>
        <v/>
      </c>
      <c r="K61" s="340" t="n">
        <f aca="true">IFERROR(INDEX(INDIRECT("Ans" &amp; E61 &amp; "TBL"), MATCH(J61, INDEX(INDIRECT("Ans" &amp; E61 &amp; "TBL"), 0, 1), 0), 2), 0)</f>
        <v>0</v>
      </c>
      <c r="L61" s="339"/>
      <c r="M61" s="353"/>
      <c r="N61" s="327" t="str">
        <f aca="false">J61</f>
        <v/>
      </c>
      <c r="O61" s="338" t="n">
        <f aca="true">IFERROR(INDEX(INDIRECT("Ans" &amp; E61 &amp; "TBL"), MATCH(N61, INDEX(INDIRECT("Ans" &amp; E61 &amp; "TBL"), 0, 1), 0), 2), 0)</f>
        <v>0</v>
      </c>
      <c r="P61" s="339"/>
      <c r="Q61" s="353"/>
      <c r="R61" s="327" t="str">
        <f aca="false">N61</f>
        <v/>
      </c>
      <c r="S61" s="88" t="n">
        <f aca="true">IFERROR(INDEX(INDIRECT("Ans" &amp; E61 &amp; "TBL"), MATCH(R61, INDEX(INDIRECT("Ans" &amp; E61 &amp; "TBL"), 0, 1), 0), 2), 0)</f>
        <v>0</v>
      </c>
      <c r="T61" s="309"/>
      <c r="U61" s="353"/>
      <c r="V61" s="327" t="str">
        <f aca="false">R61</f>
        <v/>
      </c>
      <c r="W61" s="340" t="n">
        <f aca="true">IFERROR(INDEX(INDIRECT("Ans" &amp; E61 &amp; "TBL"), MATCH(V61, INDEX(INDIRECT("Ans" &amp; E61 &amp; "TBL"), 0, 1), 0), 2), 0)</f>
        <v>0</v>
      </c>
      <c r="X61" s="339"/>
      <c r="Y61" s="353"/>
      <c r="Z61" s="353"/>
    </row>
    <row r="62" customFormat="false" ht="12.75" hidden="false" customHeight="true" outlineLevel="0" collapsed="false">
      <c r="B62" s="297"/>
      <c r="C62" s="298"/>
      <c r="D62" s="76"/>
      <c r="E62" s="76"/>
      <c r="F62" s="76"/>
      <c r="G62" s="76"/>
      <c r="H62" s="76"/>
      <c r="I62" s="76"/>
      <c r="J62" s="76"/>
      <c r="K62" s="76"/>
      <c r="L62" s="76"/>
      <c r="M62" s="76"/>
      <c r="N62" s="76"/>
      <c r="O62" s="76"/>
      <c r="P62" s="76"/>
      <c r="Q62" s="76"/>
      <c r="R62" s="76"/>
      <c r="S62" s="76"/>
      <c r="T62" s="76"/>
      <c r="U62" s="76"/>
      <c r="V62" s="76"/>
      <c r="W62" s="76"/>
      <c r="X62" s="76"/>
      <c r="Y62" s="76"/>
      <c r="Z62" s="76"/>
    </row>
    <row r="63" customFormat="false" ht="15.75" hidden="false" customHeight="true" outlineLevel="0" collapsed="false">
      <c r="B63" s="346" t="s">
        <v>213</v>
      </c>
      <c r="C63" s="347" t="s">
        <v>214</v>
      </c>
      <c r="D63" s="361" t="s">
        <v>224</v>
      </c>
      <c r="E63" s="362"/>
      <c r="F63" s="105" t="s">
        <v>216</v>
      </c>
      <c r="G63" s="363"/>
      <c r="H63" s="364"/>
      <c r="I63" s="137" t="s">
        <v>218</v>
      </c>
      <c r="J63" s="105" t="s">
        <v>216</v>
      </c>
      <c r="K63" s="363"/>
      <c r="L63" s="364"/>
      <c r="M63" s="137" t="s">
        <v>218</v>
      </c>
      <c r="N63" s="105" t="s">
        <v>216</v>
      </c>
      <c r="O63" s="363"/>
      <c r="P63" s="364"/>
      <c r="Q63" s="137" t="s">
        <v>218</v>
      </c>
      <c r="R63" s="105" t="s">
        <v>216</v>
      </c>
      <c r="S63" s="363"/>
      <c r="T63" s="364"/>
      <c r="U63" s="137" t="s">
        <v>218</v>
      </c>
      <c r="V63" s="105" t="s">
        <v>216</v>
      </c>
      <c r="W63" s="363"/>
      <c r="X63" s="364"/>
      <c r="Y63" s="137" t="s">
        <v>218</v>
      </c>
      <c r="Z63" s="137" t="s">
        <v>254</v>
      </c>
    </row>
    <row r="64" customFormat="false" ht="27.75" hidden="false" customHeight="true" outlineLevel="0" collapsed="false">
      <c r="A64" s="19" t="str">
        <f aca="false">Interview!A89</f>
        <v>D-SA-A-1-1</v>
      </c>
      <c r="B64" s="365" t="str">
        <f aca="false">INDEX('imp-questions'!D:D, MATCH(A64, 'imp-questions'!A:A, 0))</f>
        <v>Architecture Design</v>
      </c>
      <c r="C64" s="110" t="n">
        <f aca="false">INDEX('imp-questions'!E:E, MATCH(A64, 'imp-questions'!A:A, 0))</f>
        <v>1</v>
      </c>
      <c r="D64" s="281" t="str">
        <f aca="false">INDEX('imp-questions'!F:F, MATCH(A64, 'imp-questions'!A:A, 0))</f>
        <v>Do teams use security principles during design?</v>
      </c>
      <c r="E64" s="282" t="str">
        <f aca="false">CHAR(65+INDEX('imp-questions'!H:H, MATCH(A64, 'imp-questions'!A:A, 0)))</f>
        <v>A</v>
      </c>
      <c r="F64" s="286" t="str">
        <f aca="false">IF(ISBLANK(Interview!F89),"",Interview!F89)</f>
        <v/>
      </c>
      <c r="G64" s="335" t="n">
        <f aca="true">IFERROR(INDEX(INDIRECT("Ans" &amp; E64 &amp; "TBL"), MATCH(F64, INDEX(INDIRECT("Ans" &amp; E64 &amp; "TBL"), 0, 1), 0), 2), 0)</f>
        <v>0</v>
      </c>
      <c r="H64" s="354" t="n">
        <f aca="false">IFERROR(AVERAGE(G64,G68),0)</f>
        <v>0</v>
      </c>
      <c r="I64" s="367" t="n">
        <f aca="false">SUM(H64:H66)</f>
        <v>0</v>
      </c>
      <c r="J64" s="327" t="str">
        <f aca="false">F64</f>
        <v/>
      </c>
      <c r="K64" s="335" t="n">
        <f aca="true">IFERROR(INDEX(INDIRECT("Ans" &amp; E64 &amp; "TBL"), MATCH(J64, INDEX(INDIRECT("Ans" &amp; E64 &amp; "TBL"), 0, 1), 0), 2), 0)</f>
        <v>0</v>
      </c>
      <c r="L64" s="354" t="n">
        <f aca="false">IFERROR(AVERAGE(K64,K68),0)</f>
        <v>0</v>
      </c>
      <c r="M64" s="367" t="n">
        <f aca="false">SUM(L64:L66)</f>
        <v>0</v>
      </c>
      <c r="N64" s="327" t="str">
        <f aca="false">J64</f>
        <v/>
      </c>
      <c r="O64" s="333" t="n">
        <f aca="true">IFERROR(INDEX(INDIRECT("Ans" &amp; E64 &amp; "TBL"), MATCH(N64, INDEX(INDIRECT("Ans" &amp; E64 &amp; "TBL"), 0, 1), 0), 2), 0)</f>
        <v>0</v>
      </c>
      <c r="P64" s="354" t="n">
        <f aca="false">IFERROR(AVERAGE(O64,O68),0)</f>
        <v>0</v>
      </c>
      <c r="Q64" s="367" t="n">
        <f aca="false">SUM(P64:P66)</f>
        <v>0</v>
      </c>
      <c r="R64" s="327" t="str">
        <f aca="false">N64</f>
        <v/>
      </c>
      <c r="S64" s="88" t="n">
        <f aca="true">IFERROR(INDEX(INDIRECT("Ans" &amp; E64 &amp; "TBL"), MATCH(R64, INDEX(INDIRECT("Ans" &amp; E64 &amp; "TBL"), 0, 1), 0), 2), 0)</f>
        <v>0</v>
      </c>
      <c r="T64" s="303" t="n">
        <f aca="false">IFERROR(AVERAGE(S64,S68),0)</f>
        <v>0</v>
      </c>
      <c r="U64" s="367" t="n">
        <f aca="false">SUM(T64:T66)</f>
        <v>0</v>
      </c>
      <c r="V64" s="327" t="str">
        <f aca="false">R64</f>
        <v/>
      </c>
      <c r="W64" s="335" t="n">
        <f aca="true">IFERROR(INDEX(INDIRECT("Ans" &amp; E64 &amp; "TBL"), MATCH(V64, INDEX(INDIRECT("Ans" &amp; E64 &amp; "TBL"), 0, 1), 0), 2), 0)</f>
        <v>0</v>
      </c>
      <c r="X64" s="354" t="n">
        <f aca="false">IFERROR(AVERAGE(W64,W68),0)</f>
        <v>0</v>
      </c>
      <c r="Y64" s="367" t="n">
        <f aca="false">SUM(X64:X66)</f>
        <v>0</v>
      </c>
      <c r="Z64" s="367" t="n">
        <f aca="false">SUM(Y64:Y66)</f>
        <v>0</v>
      </c>
    </row>
    <row r="65" customFormat="false" ht="27.75" hidden="false" customHeight="true" outlineLevel="0" collapsed="false">
      <c r="A65" s="19" t="str">
        <f aca="false">Interview!A91</f>
        <v>D-SA-A-2-1</v>
      </c>
      <c r="B65" s="365"/>
      <c r="C65" s="110" t="n">
        <f aca="false">INDEX('imp-questions'!E:E, MATCH(A65, 'imp-questions'!A:A, 0))</f>
        <v>2</v>
      </c>
      <c r="D65" s="281" t="str">
        <f aca="false">INDEX('imp-questions'!F:F, MATCH(A65, 'imp-questions'!A:A, 0))</f>
        <v>Do you use shared security services during design?</v>
      </c>
      <c r="E65" s="282" t="str">
        <f aca="false">CHAR(65+INDEX('imp-questions'!H:H, MATCH(A65, 'imp-questions'!A:A, 0)))</f>
        <v>A</v>
      </c>
      <c r="F65" s="286" t="str">
        <f aca="false">IF(ISBLANK(Interview!F91),"",Interview!F91)</f>
        <v/>
      </c>
      <c r="G65" s="337" t="n">
        <f aca="true">IFERROR(INDEX(INDIRECT("Ans" &amp; E65 &amp; "TBL"), MATCH(F65, INDEX(INDIRECT("Ans" &amp; E65 &amp; "TBL"), 0, 1), 0), 2), 0)</f>
        <v>0</v>
      </c>
      <c r="H65" s="355" t="n">
        <f aca="false">IFERROR(AVERAGE(G65,G69),0)</f>
        <v>0</v>
      </c>
      <c r="I65" s="367"/>
      <c r="J65" s="327" t="str">
        <f aca="false">F65</f>
        <v/>
      </c>
      <c r="K65" s="337" t="n">
        <f aca="true">IFERROR(INDEX(INDIRECT("Ans" &amp; E65 &amp; "TBL"), MATCH(J65, INDEX(INDIRECT("Ans" &amp; E65 &amp; "TBL"), 0, 1), 0), 2), 0)</f>
        <v>0</v>
      </c>
      <c r="L65" s="355" t="n">
        <f aca="false">IFERROR(AVERAGE(K65,K69),0)</f>
        <v>0</v>
      </c>
      <c r="M65" s="367"/>
      <c r="N65" s="327" t="str">
        <f aca="false">J65</f>
        <v/>
      </c>
      <c r="O65" s="322" t="n">
        <f aca="true">IFERROR(INDEX(INDIRECT("Ans" &amp; E65 &amp; "TBL"), MATCH(N65, INDEX(INDIRECT("Ans" &amp; E65 &amp; "TBL"), 0, 1), 0), 2), 0)</f>
        <v>0</v>
      </c>
      <c r="P65" s="355" t="n">
        <f aca="false">IFERROR(AVERAGE(O65,O69),0)</f>
        <v>0</v>
      </c>
      <c r="Q65" s="367"/>
      <c r="R65" s="327" t="str">
        <f aca="false">N65</f>
        <v/>
      </c>
      <c r="S65" s="88" t="n">
        <f aca="true">IFERROR(INDEX(INDIRECT("Ans" &amp; E65 &amp; "TBL"), MATCH(R65, INDEX(INDIRECT("Ans" &amp; E65 &amp; "TBL"), 0, 1), 0), 2), 0)</f>
        <v>0</v>
      </c>
      <c r="T65" s="356" t="n">
        <f aca="false">IFERROR(AVERAGE(S65,S69),0)</f>
        <v>0</v>
      </c>
      <c r="U65" s="367"/>
      <c r="V65" s="327" t="str">
        <f aca="false">R65</f>
        <v/>
      </c>
      <c r="W65" s="337" t="n">
        <f aca="true">IFERROR(INDEX(INDIRECT("Ans" &amp; E65 &amp; "TBL"), MATCH(V65, INDEX(INDIRECT("Ans" &amp; E65 &amp; "TBL"), 0, 1), 0), 2), 0)</f>
        <v>0</v>
      </c>
      <c r="X65" s="355" t="n">
        <f aca="false">IFERROR(AVERAGE(W65,W69),0)</f>
        <v>0</v>
      </c>
      <c r="Y65" s="367"/>
      <c r="Z65" s="367"/>
    </row>
    <row r="66" customFormat="false" ht="27.75" hidden="false" customHeight="true" outlineLevel="0" collapsed="false">
      <c r="A66" s="19" t="str">
        <f aca="false">Interview!A93</f>
        <v>D-SA-A-3-1</v>
      </c>
      <c r="B66" s="365"/>
      <c r="C66" s="110" t="n">
        <f aca="false">INDEX('imp-questions'!E:E, MATCH(A66, 'imp-questions'!A:A, 0))</f>
        <v>3</v>
      </c>
      <c r="D66" s="293" t="str">
        <f aca="false">INDEX('imp-questions'!F:F, MATCH(A66, 'imp-questions'!A:A, 0))</f>
        <v>Do you base your design on available reference architectures?</v>
      </c>
      <c r="E66" s="282" t="str">
        <f aca="false">CHAR(65+INDEX('imp-questions'!H:H, MATCH(A66, 'imp-questions'!A:A, 0)))</f>
        <v>A</v>
      </c>
      <c r="F66" s="286" t="str">
        <f aca="false">IF(ISBLANK(Interview!F93),"",Interview!F93)</f>
        <v/>
      </c>
      <c r="G66" s="340" t="n">
        <f aca="true">IFERROR(INDEX(INDIRECT("Ans" &amp; E66 &amp; "TBL"), MATCH(F66, INDEX(INDIRECT("Ans" &amp; E66 &amp; "TBL"), 0, 1), 0), 2), 0)</f>
        <v>0</v>
      </c>
      <c r="H66" s="359" t="n">
        <f aca="false">IFERROR(AVERAGE(G66,G70),0)</f>
        <v>0</v>
      </c>
      <c r="I66" s="367"/>
      <c r="J66" s="327" t="str">
        <f aca="false">F66</f>
        <v/>
      </c>
      <c r="K66" s="340" t="n">
        <f aca="true">IFERROR(INDEX(INDIRECT("Ans" &amp; E66 &amp; "TBL"), MATCH(J66, INDEX(INDIRECT("Ans" &amp; E66 &amp; "TBL"), 0, 1), 0), 2), 0)</f>
        <v>0</v>
      </c>
      <c r="L66" s="359" t="n">
        <f aca="false">IFERROR(AVERAGE(K66,K70),0)</f>
        <v>0</v>
      </c>
      <c r="M66" s="367"/>
      <c r="N66" s="327" t="str">
        <f aca="false">J66</f>
        <v/>
      </c>
      <c r="O66" s="322" t="n">
        <f aca="true">IFERROR(INDEX(INDIRECT("Ans" &amp; E66 &amp; "TBL"), MATCH(N66, INDEX(INDIRECT("Ans" &amp; E66 &amp; "TBL"), 0, 1), 0), 2), 0)</f>
        <v>0</v>
      </c>
      <c r="P66" s="355" t="n">
        <f aca="false">IFERROR(AVERAGE(O66,O70),0)</f>
        <v>0</v>
      </c>
      <c r="Q66" s="367"/>
      <c r="R66" s="327" t="str">
        <f aca="false">N66</f>
        <v/>
      </c>
      <c r="S66" s="88" t="n">
        <f aca="true">IFERROR(INDEX(INDIRECT("Ans" &amp; E66 &amp; "TBL"), MATCH(R66, INDEX(INDIRECT("Ans" &amp; E66 &amp; "TBL"), 0, 1), 0), 2), 0)</f>
        <v>0</v>
      </c>
      <c r="T66" s="360" t="n">
        <f aca="false">IFERROR(AVERAGE(S66,S70),0)</f>
        <v>0</v>
      </c>
      <c r="U66" s="367"/>
      <c r="V66" s="327" t="str">
        <f aca="false">R66</f>
        <v/>
      </c>
      <c r="W66" s="340" t="n">
        <f aca="true">IFERROR(INDEX(INDIRECT("Ans" &amp; E66 &amp; "TBL"), MATCH(V66, INDEX(INDIRECT("Ans" &amp; E66 &amp; "TBL"), 0, 1), 0), 2), 0)</f>
        <v>0</v>
      </c>
      <c r="X66" s="359" t="n">
        <f aca="false">IFERROR(AVERAGE(W66,W70),0)</f>
        <v>0</v>
      </c>
      <c r="Y66" s="367"/>
      <c r="Z66" s="367"/>
    </row>
    <row r="67" customFormat="false" ht="12.75" hidden="false" customHeight="true" outlineLevel="0" collapsed="false">
      <c r="B67" s="366"/>
      <c r="C67" s="298"/>
      <c r="D67" s="76"/>
      <c r="E67" s="124"/>
      <c r="F67" s="124"/>
      <c r="G67" s="124"/>
      <c r="H67" s="124"/>
      <c r="I67" s="367"/>
      <c r="J67" s="76"/>
      <c r="K67" s="124"/>
      <c r="L67" s="124"/>
      <c r="M67" s="367"/>
      <c r="N67" s="76"/>
      <c r="O67" s="320"/>
      <c r="P67" s="368"/>
      <c r="Q67" s="367"/>
      <c r="R67" s="76"/>
      <c r="S67" s="124"/>
      <c r="T67" s="124"/>
      <c r="U67" s="367"/>
      <c r="V67" s="76"/>
      <c r="W67" s="124"/>
      <c r="X67" s="124"/>
      <c r="Y67" s="367"/>
      <c r="Z67" s="367"/>
    </row>
    <row r="68" customFormat="false" ht="27.75" hidden="false" customHeight="true" outlineLevel="0" collapsed="false">
      <c r="A68" s="19" t="str">
        <f aca="false">Interview!A96</f>
        <v>D-SA-B-1-1</v>
      </c>
      <c r="B68" s="369" t="str">
        <f aca="false">INDEX('imp-questions'!D:D, MATCH(A68, 'imp-questions'!A:A, 0))</f>
        <v>Technology Management</v>
      </c>
      <c r="C68" s="110" t="n">
        <f aca="false">INDEX('imp-questions'!E:E, MATCH(A68, 'imp-questions'!A:A, 0))</f>
        <v>1</v>
      </c>
      <c r="D68" s="281" t="str">
        <f aca="false">INDEX('imp-questions'!F:F, MATCH(A68, 'imp-questions'!A:A, 0))</f>
        <v>Do you evaluate the security quality of important technologies used for development?</v>
      </c>
      <c r="E68" s="282" t="str">
        <f aca="false">CHAR(65+INDEX('imp-questions'!H:H, MATCH(A68, 'imp-questions'!A:A, 0)))</f>
        <v>A</v>
      </c>
      <c r="F68" s="286" t="str">
        <f aca="false">IF(ISBLANK(Interview!F96),"",Interview!F96)</f>
        <v/>
      </c>
      <c r="G68" s="370" t="n">
        <f aca="true">IFERROR(INDEX(INDIRECT("Ans" &amp; E68 &amp; "TBL"), MATCH(F68, INDEX(INDIRECT("Ans" &amp; E68 &amp; "TBL"), 0, 1), 0), 2), 0)</f>
        <v>0</v>
      </c>
      <c r="H68" s="334"/>
      <c r="I68" s="367"/>
      <c r="J68" s="327" t="str">
        <f aca="false">F68</f>
        <v/>
      </c>
      <c r="K68" s="335" t="n">
        <f aca="true">IFERROR(INDEX(INDIRECT("Ans" &amp; E68 &amp; "TBL"), MATCH(J68, INDEX(INDIRECT("Ans" &amp; E68 &amp; "TBL"), 0, 1), 0), 2), 0)</f>
        <v>0</v>
      </c>
      <c r="L68" s="334"/>
      <c r="M68" s="367"/>
      <c r="N68" s="327" t="str">
        <f aca="false">J68</f>
        <v/>
      </c>
      <c r="O68" s="333" t="n">
        <f aca="true">IFERROR(INDEX(INDIRECT("Ans" &amp; E68 &amp; "TBL"), MATCH(N68, INDEX(INDIRECT("Ans" &amp; E68 &amp; "TBL"), 0, 1), 0), 2), 0)</f>
        <v>0</v>
      </c>
      <c r="P68" s="334"/>
      <c r="Q68" s="367"/>
      <c r="R68" s="327" t="str">
        <f aca="false">N68</f>
        <v/>
      </c>
      <c r="S68" s="88" t="n">
        <f aca="true">IFERROR(INDEX(INDIRECT("Ans" &amp; E68 &amp; "TBL"), MATCH(R68, INDEX(INDIRECT("Ans" &amp; E68 &amp; "TBL"), 0, 1), 0), 2), 0)</f>
        <v>0</v>
      </c>
      <c r="T68" s="324"/>
      <c r="U68" s="367"/>
      <c r="V68" s="327" t="str">
        <f aca="false">R68</f>
        <v/>
      </c>
      <c r="W68" s="335" t="n">
        <f aca="true">IFERROR(INDEX(INDIRECT("Ans" &amp; E68 &amp; "TBL"), MATCH(V68, INDEX(INDIRECT("Ans" &amp; E68 &amp; "TBL"), 0, 1), 0), 2), 0)</f>
        <v>0</v>
      </c>
      <c r="X68" s="334"/>
      <c r="Y68" s="367"/>
      <c r="Z68" s="367"/>
    </row>
    <row r="69" customFormat="false" ht="27.75" hidden="false" customHeight="true" outlineLevel="0" collapsed="false">
      <c r="A69" s="19" t="str">
        <f aca="false">Interview!A98</f>
        <v>D-SA-B-2-1</v>
      </c>
      <c r="B69" s="369"/>
      <c r="C69" s="110" t="n">
        <f aca="false">INDEX('imp-questions'!E:E, MATCH(A69, 'imp-questions'!A:A, 0))</f>
        <v>2</v>
      </c>
      <c r="D69" s="281" t="str">
        <f aca="false">INDEX('imp-questions'!F:F, MATCH(A69, 'imp-questions'!A:A, 0))</f>
        <v>Do you have a list of recommended technologies for the organization?</v>
      </c>
      <c r="E69" s="282" t="str">
        <f aca="false">CHAR(65+INDEX('imp-questions'!H:H, MATCH(A69, 'imp-questions'!A:A, 0)))</f>
        <v>M</v>
      </c>
      <c r="F69" s="286" t="str">
        <f aca="false">IF(ISBLANK(Interview!F98),"",Interview!F98)</f>
        <v/>
      </c>
      <c r="G69" s="371" t="n">
        <f aca="true">IFERROR(INDEX(INDIRECT("Ans" &amp; E69 &amp; "TBL"), MATCH(F69, INDEX(INDIRECT("Ans" &amp; E69 &amp; "TBL"), 0, 1), 0), 2), 0)</f>
        <v>0</v>
      </c>
      <c r="H69" s="336"/>
      <c r="I69" s="367"/>
      <c r="J69" s="327" t="str">
        <f aca="false">F69</f>
        <v/>
      </c>
      <c r="K69" s="337" t="n">
        <f aca="true">IFERROR(INDEX(INDIRECT("Ans" &amp; E69 &amp; "TBL"), MATCH(J69, INDEX(INDIRECT("Ans" &amp; E69 &amp; "TBL"), 0, 1), 0), 2), 0)</f>
        <v>0</v>
      </c>
      <c r="L69" s="336"/>
      <c r="M69" s="367"/>
      <c r="N69" s="327" t="str">
        <f aca="false">J69</f>
        <v/>
      </c>
      <c r="O69" s="322" t="n">
        <f aca="true">IFERROR(INDEX(INDIRECT("Ans" &amp; E69 &amp; "TBL"), MATCH(N69, INDEX(INDIRECT("Ans" &amp; E69 &amp; "TBL"), 0, 1), 0), 2), 0)</f>
        <v>0</v>
      </c>
      <c r="P69" s="336"/>
      <c r="Q69" s="367"/>
      <c r="R69" s="327" t="str">
        <f aca="false">N69</f>
        <v/>
      </c>
      <c r="S69" s="88" t="n">
        <f aca="true">IFERROR(INDEX(INDIRECT("Ans" &amp; E69 &amp; "TBL"), MATCH(R69, INDEX(INDIRECT("Ans" &amp; E69 &amp; "TBL"), 0, 1), 0), 2), 0)</f>
        <v>0</v>
      </c>
      <c r="T69" s="306"/>
      <c r="U69" s="367"/>
      <c r="V69" s="327" t="str">
        <f aca="false">R69</f>
        <v/>
      </c>
      <c r="W69" s="337" t="n">
        <f aca="true">IFERROR(INDEX(INDIRECT("Ans" &amp; E69 &amp; "TBL"), MATCH(V69, INDEX(INDIRECT("Ans" &amp; E69 &amp; "TBL"), 0, 1), 0), 2), 0)</f>
        <v>0</v>
      </c>
      <c r="X69" s="336"/>
      <c r="Y69" s="367"/>
      <c r="Z69" s="367"/>
    </row>
    <row r="70" customFormat="false" ht="27.75" hidden="false" customHeight="true" outlineLevel="0" collapsed="false">
      <c r="A70" s="19" t="str">
        <f aca="false">Interview!A100</f>
        <v>D-SA-B-3-1</v>
      </c>
      <c r="B70" s="369"/>
      <c r="C70" s="110" t="n">
        <f aca="false">INDEX('imp-questions'!E:E, MATCH(A70, 'imp-questions'!A:A, 0))</f>
        <v>3</v>
      </c>
      <c r="D70" s="293" t="str">
        <f aca="false">INDEX('imp-questions'!F:F, MATCH(A70, 'imp-questions'!A:A, 0))</f>
        <v>Do you enforce the use of recommended technologies within the organization?</v>
      </c>
      <c r="E70" s="282" t="str">
        <f aca="false">CHAR(65+INDEX('imp-questions'!H:H, MATCH(A70, 'imp-questions'!A:A, 0)))</f>
        <v>A</v>
      </c>
      <c r="F70" s="294" t="str">
        <f aca="false">IF(ISBLANK(Interview!F100),"",Interview!F100)</f>
        <v/>
      </c>
      <c r="G70" s="372" t="n">
        <f aca="true">IFERROR(INDEX(INDIRECT("Ans" &amp; E70 &amp; "TBL"), MATCH(F70, INDEX(INDIRECT("Ans" &amp; E70 &amp; "TBL"), 0, 1), 0), 2), 0)</f>
        <v>0</v>
      </c>
      <c r="H70" s="339"/>
      <c r="I70" s="367"/>
      <c r="J70" s="327" t="str">
        <f aca="false">F70</f>
        <v/>
      </c>
      <c r="K70" s="340" t="n">
        <f aca="true">IFERROR(INDEX(INDIRECT("Ans" &amp; E70 &amp; "TBL"), MATCH(J70, INDEX(INDIRECT("Ans" &amp; E70 &amp; "TBL"), 0, 1), 0), 2), 0)</f>
        <v>0</v>
      </c>
      <c r="L70" s="339"/>
      <c r="M70" s="367"/>
      <c r="N70" s="327" t="str">
        <f aca="false">J70</f>
        <v/>
      </c>
      <c r="O70" s="338" t="n">
        <f aca="true">IFERROR(INDEX(INDIRECT("Ans" &amp; E70 &amp; "TBL"), MATCH(N70, INDEX(INDIRECT("Ans" &amp; E70 &amp; "TBL"), 0, 1), 0), 2), 0)</f>
        <v>0</v>
      </c>
      <c r="P70" s="339"/>
      <c r="Q70" s="367"/>
      <c r="R70" s="327" t="str">
        <f aca="false">N70</f>
        <v/>
      </c>
      <c r="S70" s="88" t="n">
        <f aca="true">IFERROR(INDEX(INDIRECT("Ans" &amp; E70 &amp; "TBL"), MATCH(R70, INDEX(INDIRECT("Ans" &amp; E70 &amp; "TBL"), 0, 1), 0), 2), 0)</f>
        <v>0</v>
      </c>
      <c r="T70" s="309"/>
      <c r="U70" s="367"/>
      <c r="V70" s="327" t="str">
        <f aca="false">R70</f>
        <v/>
      </c>
      <c r="W70" s="340" t="n">
        <f aca="true">IFERROR(INDEX(INDIRECT("Ans" &amp; E70 &amp; "TBL"), MATCH(V70, INDEX(INDIRECT("Ans" &amp; E70 &amp; "TBL"), 0, 1), 0), 2), 0)</f>
        <v>0</v>
      </c>
      <c r="X70" s="339"/>
      <c r="Y70" s="367"/>
      <c r="Z70" s="367"/>
    </row>
    <row r="71" customFormat="false" ht="12.75" hidden="false" customHeight="true" outlineLevel="0" collapsed="false">
      <c r="B71" s="366"/>
      <c r="C71" s="298"/>
      <c r="D71" s="76"/>
      <c r="E71" s="76"/>
      <c r="F71" s="76"/>
      <c r="G71" s="76"/>
      <c r="H71" s="76"/>
      <c r="I71" s="76"/>
      <c r="J71" s="76"/>
      <c r="K71" s="76"/>
      <c r="L71" s="76"/>
      <c r="M71" s="76"/>
      <c r="N71" s="76"/>
      <c r="O71" s="76"/>
      <c r="P71" s="76"/>
      <c r="Q71" s="76"/>
      <c r="R71" s="76"/>
      <c r="S71" s="76"/>
      <c r="T71" s="76"/>
      <c r="U71" s="76"/>
      <c r="V71" s="76"/>
      <c r="W71" s="76"/>
      <c r="X71" s="76"/>
      <c r="Y71" s="76"/>
      <c r="Z71" s="76"/>
    </row>
    <row r="72" customFormat="false" ht="27.75" hidden="false" customHeight="true" outlineLevel="0" collapsed="false">
      <c r="B72" s="373" t="s">
        <v>225</v>
      </c>
      <c r="C72" s="373"/>
      <c r="D72" s="373"/>
      <c r="E72" s="374"/>
      <c r="F72" s="375" t="s">
        <v>249</v>
      </c>
      <c r="G72" s="375"/>
      <c r="H72" s="375"/>
      <c r="I72" s="375"/>
      <c r="J72" s="376" t="s">
        <v>250</v>
      </c>
      <c r="K72" s="376"/>
      <c r="L72" s="376"/>
      <c r="M72" s="376"/>
      <c r="N72" s="376" t="s">
        <v>251</v>
      </c>
      <c r="O72" s="376"/>
      <c r="P72" s="376"/>
      <c r="Q72" s="376"/>
      <c r="R72" s="376" t="s">
        <v>252</v>
      </c>
      <c r="S72" s="376"/>
      <c r="T72" s="376"/>
      <c r="U72" s="376"/>
      <c r="V72" s="377" t="s">
        <v>253</v>
      </c>
      <c r="W72" s="377"/>
      <c r="X72" s="377"/>
      <c r="Y72" s="377"/>
      <c r="Z72" s="377"/>
    </row>
    <row r="73" customFormat="false" ht="15.75" hidden="false" customHeight="true" outlineLevel="0" collapsed="false">
      <c r="B73" s="378" t="s">
        <v>213</v>
      </c>
      <c r="C73" s="379" t="s">
        <v>214</v>
      </c>
      <c r="D73" s="378" t="s">
        <v>226</v>
      </c>
      <c r="E73" s="380"/>
      <c r="F73" s="379" t="s">
        <v>216</v>
      </c>
      <c r="G73" s="381"/>
      <c r="H73" s="382"/>
      <c r="I73" s="167" t="s">
        <v>218</v>
      </c>
      <c r="J73" s="379" t="s">
        <v>216</v>
      </c>
      <c r="K73" s="381"/>
      <c r="L73" s="382"/>
      <c r="M73" s="167" t="s">
        <v>218</v>
      </c>
      <c r="N73" s="379" t="s">
        <v>216</v>
      </c>
      <c r="O73" s="381"/>
      <c r="P73" s="382"/>
      <c r="Q73" s="167" t="s">
        <v>218</v>
      </c>
      <c r="R73" s="379" t="s">
        <v>216</v>
      </c>
      <c r="S73" s="381"/>
      <c r="T73" s="382"/>
      <c r="U73" s="167" t="s">
        <v>218</v>
      </c>
      <c r="V73" s="379" t="s">
        <v>216</v>
      </c>
      <c r="W73" s="381"/>
      <c r="X73" s="382"/>
      <c r="Y73" s="167" t="s">
        <v>218</v>
      </c>
      <c r="Z73" s="167" t="s">
        <v>254</v>
      </c>
    </row>
    <row r="74" customFormat="false" ht="27.75" hidden="false" customHeight="true" outlineLevel="0" collapsed="false">
      <c r="A74" s="19" t="str">
        <f aca="false">Interview!A104</f>
        <v>I-SB-A-1-1</v>
      </c>
      <c r="B74" s="383" t="str">
        <f aca="false">INDEX('imp-questions'!D:D, MATCH(A74, 'imp-questions'!A:A, 0))</f>
        <v>Build Process</v>
      </c>
      <c r="C74" s="156" t="n">
        <f aca="false">INDEX('imp-questions'!E:E, MATCH(A74, 'imp-questions'!A:A, 0))</f>
        <v>1</v>
      </c>
      <c r="D74" s="281" t="str">
        <f aca="false">INDEX('imp-questions'!F:F, MATCH(A74, 'imp-questions'!A:A, 0))</f>
        <v>Is your full build process formally described?</v>
      </c>
      <c r="E74" s="282" t="str">
        <f aca="false">CHAR(65+INDEX('imp-questions'!H:H, MATCH(A74, 'imp-questions'!A:A, 0)))</f>
        <v>A</v>
      </c>
      <c r="F74" s="286" t="str">
        <f aca="false">IF(ISBLANK(Interview!F104),"",Interview!F104)</f>
        <v/>
      </c>
      <c r="G74" s="335" t="n">
        <f aca="true">IFERROR(INDEX(INDIRECT("Ans" &amp; E74 &amp; "TBL"), MATCH(F74, INDEX(INDIRECT("Ans" &amp; E74 &amp; "TBL"), 0, 1), 0), 2), 0)</f>
        <v>0</v>
      </c>
      <c r="H74" s="354" t="n">
        <f aca="false">IFERROR(AVERAGE(G74,G78),0)</f>
        <v>0</v>
      </c>
      <c r="I74" s="384" t="n">
        <f aca="false">SUM(H74:H76)</f>
        <v>0</v>
      </c>
      <c r="J74" s="327" t="str">
        <f aca="false">F74</f>
        <v/>
      </c>
      <c r="K74" s="335" t="n">
        <f aca="true">IFERROR(INDEX(INDIRECT("Ans" &amp; E74 &amp; "TBL"), MATCH(J74, INDEX(INDIRECT("Ans" &amp; E74 &amp; "TBL"), 0, 1), 0), 2), 0)</f>
        <v>0</v>
      </c>
      <c r="L74" s="354" t="n">
        <f aca="false">IFERROR(AVERAGE(K74,K78),0)</f>
        <v>0</v>
      </c>
      <c r="M74" s="384" t="n">
        <f aca="false">SUM(L74:L76)</f>
        <v>0</v>
      </c>
      <c r="N74" s="327" t="str">
        <f aca="false">J74</f>
        <v/>
      </c>
      <c r="O74" s="333" t="n">
        <f aca="true">IFERROR(INDEX(INDIRECT("Ans" &amp; E74 &amp; "TBL"), MATCH(N74, INDEX(INDIRECT("Ans" &amp; E74 &amp; "TBL"), 0, 1), 0), 2), 0)</f>
        <v>0</v>
      </c>
      <c r="P74" s="354" t="n">
        <f aca="false">IFERROR(AVERAGE(O74,O78),0)</f>
        <v>0</v>
      </c>
      <c r="Q74" s="384" t="n">
        <f aca="false">SUM(P74:P76)</f>
        <v>0</v>
      </c>
      <c r="R74" s="327" t="str">
        <f aca="false">N74</f>
        <v/>
      </c>
      <c r="S74" s="88" t="n">
        <f aca="true">IFERROR(INDEX(INDIRECT("Ans" &amp; E74 &amp; "TBL"), MATCH(R74, INDEX(INDIRECT("Ans" &amp; E74 &amp; "TBL"), 0, 1), 0), 2), 0)</f>
        <v>0</v>
      </c>
      <c r="T74" s="303" t="n">
        <f aca="false">IFERROR(AVERAGE(S74,S78),0)</f>
        <v>0</v>
      </c>
      <c r="U74" s="384" t="n">
        <f aca="false">SUM(T74:T76)</f>
        <v>0</v>
      </c>
      <c r="V74" s="327" t="str">
        <f aca="false">R74</f>
        <v/>
      </c>
      <c r="W74" s="335" t="n">
        <f aca="true">IFERROR(INDEX(INDIRECT("Ans" &amp; E74 &amp; "TBL"), MATCH(V74, INDEX(INDIRECT("Ans" &amp; E74 &amp; "TBL"), 0, 1), 0), 2), 0)</f>
        <v>0</v>
      </c>
      <c r="X74" s="354" t="n">
        <f aca="false">IFERROR(AVERAGE(W74,W78),0)</f>
        <v>0</v>
      </c>
      <c r="Y74" s="384" t="n">
        <f aca="false">SUM(X74:X76)</f>
        <v>0</v>
      </c>
      <c r="Z74" s="384" t="n">
        <f aca="false">SUM(Y74:Y76)</f>
        <v>0</v>
      </c>
    </row>
    <row r="75" customFormat="false" ht="27.75" hidden="false" customHeight="true" outlineLevel="0" collapsed="false">
      <c r="A75" s="19" t="str">
        <f aca="false">Interview!A106</f>
        <v>I-SB-A-2-1</v>
      </c>
      <c r="B75" s="383"/>
      <c r="C75" s="156" t="n">
        <f aca="false">INDEX('imp-questions'!E:E, MATCH(A75, 'imp-questions'!A:A, 0))</f>
        <v>2</v>
      </c>
      <c r="D75" s="281" t="str">
        <f aca="false">INDEX('imp-questions'!F:F, MATCH(A75, 'imp-questions'!A:A, 0))</f>
        <v>Is the build process fully automated?</v>
      </c>
      <c r="E75" s="282" t="str">
        <f aca="false">CHAR(65+INDEX('imp-questions'!H:H, MATCH(A75, 'imp-questions'!A:A, 0)))</f>
        <v>A</v>
      </c>
      <c r="F75" s="286" t="str">
        <f aca="false">IF(ISBLANK(Interview!F106),"",Interview!F106)</f>
        <v/>
      </c>
      <c r="G75" s="337" t="n">
        <f aca="true">IFERROR(INDEX(INDIRECT("Ans" &amp; E75 &amp; "TBL"), MATCH(F75, INDEX(INDIRECT("Ans" &amp; E75 &amp; "TBL"), 0, 1), 0), 2), 0)</f>
        <v>0</v>
      </c>
      <c r="H75" s="355" t="n">
        <f aca="false">IFERROR(AVERAGE(G75,G79),0)</f>
        <v>0</v>
      </c>
      <c r="I75" s="384"/>
      <c r="J75" s="327" t="str">
        <f aca="false">F75</f>
        <v/>
      </c>
      <c r="K75" s="337" t="n">
        <f aca="true">IFERROR(INDEX(INDIRECT("Ans" &amp; E75 &amp; "TBL"), MATCH(J75, INDEX(INDIRECT("Ans" &amp; E75 &amp; "TBL"), 0, 1), 0), 2), 0)</f>
        <v>0</v>
      </c>
      <c r="L75" s="355" t="n">
        <f aca="false">IFERROR(AVERAGE(K75,K79),0)</f>
        <v>0</v>
      </c>
      <c r="M75" s="384"/>
      <c r="N75" s="327" t="str">
        <f aca="false">J75</f>
        <v/>
      </c>
      <c r="O75" s="322" t="n">
        <f aca="true">IFERROR(INDEX(INDIRECT("Ans" &amp; E75 &amp; "TBL"), MATCH(N75, INDEX(INDIRECT("Ans" &amp; E75 &amp; "TBL"), 0, 1), 0), 2), 0)</f>
        <v>0</v>
      </c>
      <c r="P75" s="355" t="n">
        <f aca="false">IFERROR(AVERAGE(O75,O79),0)</f>
        <v>0</v>
      </c>
      <c r="Q75" s="384"/>
      <c r="R75" s="327" t="str">
        <f aca="false">N75</f>
        <v/>
      </c>
      <c r="S75" s="88" t="n">
        <f aca="true">IFERROR(INDEX(INDIRECT("Ans" &amp; E75 &amp; "TBL"), MATCH(R75, INDEX(INDIRECT("Ans" &amp; E75 &amp; "TBL"), 0, 1), 0), 2), 0)</f>
        <v>0</v>
      </c>
      <c r="T75" s="356" t="n">
        <f aca="false">IFERROR(AVERAGE(S75,S79),0)</f>
        <v>0</v>
      </c>
      <c r="U75" s="384"/>
      <c r="V75" s="327" t="str">
        <f aca="false">R75</f>
        <v/>
      </c>
      <c r="W75" s="337" t="n">
        <f aca="true">IFERROR(INDEX(INDIRECT("Ans" &amp; E75 &amp; "TBL"), MATCH(V75, INDEX(INDIRECT("Ans" &amp; E75 &amp; "TBL"), 0, 1), 0), 2), 0)</f>
        <v>0</v>
      </c>
      <c r="X75" s="355" t="n">
        <f aca="false">IFERROR(AVERAGE(W75,W79),0)</f>
        <v>0</v>
      </c>
      <c r="Y75" s="384"/>
      <c r="Z75" s="384"/>
    </row>
    <row r="76" customFormat="false" ht="27.75" hidden="false" customHeight="true" outlineLevel="0" collapsed="false">
      <c r="A76" s="19" t="str">
        <f aca="false">Interview!A108</f>
        <v>I-SB-A-3-1</v>
      </c>
      <c r="B76" s="383"/>
      <c r="C76" s="156" t="n">
        <f aca="false">INDEX('imp-questions'!E:E, MATCH(A76, 'imp-questions'!A:A, 0))</f>
        <v>3</v>
      </c>
      <c r="D76" s="293" t="str">
        <f aca="false">INDEX('imp-questions'!F:F, MATCH(A76, 'imp-questions'!A:A, 0))</f>
        <v>Do you enforce automated security checks in your build processes?</v>
      </c>
      <c r="E76" s="282" t="str">
        <f aca="false">CHAR(65+INDEX('imp-questions'!H:H, MATCH(A76, 'imp-questions'!A:A, 0)))</f>
        <v>A</v>
      </c>
      <c r="F76" s="286" t="str">
        <f aca="false">IF(ISBLANK(Interview!F108),"",Interview!F108)</f>
        <v/>
      </c>
      <c r="G76" s="340" t="n">
        <f aca="true">IFERROR(INDEX(INDIRECT("Ans" &amp; E76 &amp; "TBL"), MATCH(F76, INDEX(INDIRECT("Ans" &amp; E76 &amp; "TBL"), 0, 1), 0), 2), 0)</f>
        <v>0</v>
      </c>
      <c r="H76" s="359" t="n">
        <f aca="false">IFERROR(AVERAGE(G76,G80),0)</f>
        <v>0</v>
      </c>
      <c r="I76" s="384"/>
      <c r="J76" s="327" t="str">
        <f aca="false">F76</f>
        <v/>
      </c>
      <c r="K76" s="340" t="n">
        <f aca="true">IFERROR(INDEX(INDIRECT("Ans" &amp; E76 &amp; "TBL"), MATCH(J76, INDEX(INDIRECT("Ans" &amp; E76 &amp; "TBL"), 0, 1), 0), 2), 0)</f>
        <v>0</v>
      </c>
      <c r="L76" s="359" t="n">
        <f aca="false">IFERROR(AVERAGE(K76,K80),0)</f>
        <v>0</v>
      </c>
      <c r="M76" s="384"/>
      <c r="N76" s="327" t="str">
        <f aca="false">J76</f>
        <v/>
      </c>
      <c r="O76" s="338" t="n">
        <f aca="true">IFERROR(INDEX(INDIRECT("Ans" &amp; E76 &amp; "TBL"), MATCH(N76, INDEX(INDIRECT("Ans" &amp; E76 &amp; "TBL"), 0, 1), 0), 2), 0)</f>
        <v>0</v>
      </c>
      <c r="P76" s="359" t="n">
        <f aca="false">IFERROR(AVERAGE(O76,O80),0)</f>
        <v>0</v>
      </c>
      <c r="Q76" s="384"/>
      <c r="R76" s="327" t="str">
        <f aca="false">N76</f>
        <v/>
      </c>
      <c r="S76" s="88" t="n">
        <f aca="true">IFERROR(INDEX(INDIRECT("Ans" &amp; E76 &amp; "TBL"), MATCH(R76, INDEX(INDIRECT("Ans" &amp; E76 &amp; "TBL"), 0, 1), 0), 2), 0)</f>
        <v>0</v>
      </c>
      <c r="T76" s="360" t="n">
        <f aca="false">IFERROR(AVERAGE(S76,S80),0)</f>
        <v>0</v>
      </c>
      <c r="U76" s="384"/>
      <c r="V76" s="327" t="str">
        <f aca="false">R76</f>
        <v/>
      </c>
      <c r="W76" s="340" t="n">
        <f aca="true">IFERROR(INDEX(INDIRECT("Ans" &amp; E76 &amp; "TBL"), MATCH(V76, INDEX(INDIRECT("Ans" &amp; E76 &amp; "TBL"), 0, 1), 0), 2), 0)</f>
        <v>0</v>
      </c>
      <c r="X76" s="359" t="n">
        <f aca="false">IFERROR(AVERAGE(W76,W80),0)</f>
        <v>0</v>
      </c>
      <c r="Y76" s="384"/>
      <c r="Z76" s="384"/>
    </row>
    <row r="77" customFormat="false" ht="12.75" hidden="false" customHeight="true" outlineLevel="0" collapsed="false">
      <c r="B77" s="297"/>
      <c r="C77" s="298"/>
      <c r="D77" s="76"/>
      <c r="E77" s="124"/>
      <c r="F77" s="76"/>
      <c r="G77" s="124"/>
      <c r="H77" s="124"/>
      <c r="I77" s="384"/>
      <c r="J77" s="76"/>
      <c r="K77" s="124"/>
      <c r="L77" s="124"/>
      <c r="M77" s="384"/>
      <c r="N77" s="76"/>
      <c r="O77" s="124"/>
      <c r="P77" s="124"/>
      <c r="Q77" s="384"/>
      <c r="R77" s="76"/>
      <c r="S77" s="124"/>
      <c r="T77" s="124"/>
      <c r="U77" s="384"/>
      <c r="V77" s="76"/>
      <c r="W77" s="124"/>
      <c r="X77" s="124"/>
      <c r="Y77" s="384"/>
      <c r="Z77" s="384"/>
    </row>
    <row r="78" customFormat="false" ht="27.75" hidden="false" customHeight="true" outlineLevel="0" collapsed="false">
      <c r="A78" s="19" t="str">
        <f aca="false">Interview!A111</f>
        <v>I-SB-B-1-1</v>
      </c>
      <c r="B78" s="383" t="str">
        <f aca="false">INDEX('imp-questions'!D:D, MATCH(A78, 'imp-questions'!A:A, 0))</f>
        <v>Software Dependencies</v>
      </c>
      <c r="C78" s="156" t="n">
        <f aca="false">INDEX('imp-questions'!E:E, MATCH(A78, 'imp-questions'!A:A, 0))</f>
        <v>1</v>
      </c>
      <c r="D78" s="281" t="str">
        <f aca="false">INDEX('imp-questions'!F:F, MATCH(A78, 'imp-questions'!A:A, 0))</f>
        <v>Do you have solid knowledge about dependencies you're relying on?</v>
      </c>
      <c r="E78" s="282" t="str">
        <f aca="false">CHAR(65+INDEX('imp-questions'!H:H, MATCH(A78, 'imp-questions'!A:A, 0)))</f>
        <v>A</v>
      </c>
      <c r="F78" s="286" t="str">
        <f aca="false">IF(ISBLANK(Interview!F111),"",Interview!F111)</f>
        <v/>
      </c>
      <c r="G78" s="335" t="n">
        <f aca="true">IFERROR(INDEX(INDIRECT("Ans" &amp; E78 &amp; "TBL"), MATCH(F78, INDEX(INDIRECT("Ans" &amp; E78 &amp; "TBL"), 0, 1), 0), 2), 0)</f>
        <v>0</v>
      </c>
      <c r="H78" s="334"/>
      <c r="I78" s="384"/>
      <c r="J78" s="327" t="str">
        <f aca="false">F78</f>
        <v/>
      </c>
      <c r="K78" s="335" t="n">
        <f aca="true">IFERROR(INDEX(INDIRECT("Ans" &amp; E78 &amp; "TBL"), MATCH(J78, INDEX(INDIRECT("Ans" &amp; E78 &amp; "TBL"), 0, 1), 0), 2), 0)</f>
        <v>0</v>
      </c>
      <c r="L78" s="334"/>
      <c r="M78" s="384"/>
      <c r="N78" s="327" t="str">
        <f aca="false">J78</f>
        <v/>
      </c>
      <c r="O78" s="333" t="n">
        <f aca="true">IFERROR(INDEX(INDIRECT("Ans" &amp; E78 &amp; "TBL"), MATCH(N78, INDEX(INDIRECT("Ans" &amp; E78 &amp; "TBL"), 0, 1), 0), 2), 0)</f>
        <v>0</v>
      </c>
      <c r="P78" s="334"/>
      <c r="Q78" s="384"/>
      <c r="R78" s="327" t="str">
        <f aca="false">N78</f>
        <v/>
      </c>
      <c r="S78" s="88" t="n">
        <f aca="true">IFERROR(INDEX(INDIRECT("Ans" &amp; E78 &amp; "TBL"), MATCH(R78, INDEX(INDIRECT("Ans" &amp; E78 &amp; "TBL"), 0, 1), 0), 2), 0)</f>
        <v>0</v>
      </c>
      <c r="T78" s="324"/>
      <c r="U78" s="384"/>
      <c r="V78" s="327" t="str">
        <f aca="false">R78</f>
        <v/>
      </c>
      <c r="W78" s="335" t="n">
        <f aca="true">IFERROR(INDEX(INDIRECT("Ans" &amp; E78 &amp; "TBL"), MATCH(V78, INDEX(INDIRECT("Ans" &amp; E78 &amp; "TBL"), 0, 1), 0), 2), 0)</f>
        <v>0</v>
      </c>
      <c r="X78" s="334"/>
      <c r="Y78" s="384"/>
      <c r="Z78" s="384"/>
    </row>
    <row r="79" customFormat="false" ht="27.75" hidden="false" customHeight="true" outlineLevel="0" collapsed="false">
      <c r="A79" s="19" t="str">
        <f aca="false">Interview!A113</f>
        <v>I-SB-B-2-1</v>
      </c>
      <c r="B79" s="383"/>
      <c r="C79" s="156" t="n">
        <f aca="false">INDEX('imp-questions'!E:E, MATCH(A79, 'imp-questions'!A:A, 0))</f>
        <v>2</v>
      </c>
      <c r="D79" s="281" t="str">
        <f aca="false">INDEX('imp-questions'!F:F, MATCH(A79, 'imp-questions'!A:A, 0))</f>
        <v>Do you handle 3rd party dependency risk by a formal process?</v>
      </c>
      <c r="E79" s="282" t="str">
        <f aca="false">CHAR(65+INDEX('imp-questions'!H:H, MATCH(A79, 'imp-questions'!A:A, 0)))</f>
        <v>A</v>
      </c>
      <c r="F79" s="286" t="str">
        <f aca="false">IF(ISBLANK(Interview!F113),"",Interview!F113)</f>
        <v/>
      </c>
      <c r="G79" s="337" t="n">
        <f aca="true">IFERROR(INDEX(INDIRECT("Ans" &amp; E79 &amp; "TBL"), MATCH(F79, INDEX(INDIRECT("Ans" &amp; E79 &amp; "TBL"), 0, 1), 0), 2), 0)</f>
        <v>0</v>
      </c>
      <c r="H79" s="336"/>
      <c r="I79" s="384"/>
      <c r="J79" s="327" t="str">
        <f aca="false">F79</f>
        <v/>
      </c>
      <c r="K79" s="337" t="n">
        <f aca="true">IFERROR(INDEX(INDIRECT("Ans" &amp; E79 &amp; "TBL"), MATCH(J79, INDEX(INDIRECT("Ans" &amp; E79 &amp; "TBL"), 0, 1), 0), 2), 0)</f>
        <v>0</v>
      </c>
      <c r="L79" s="336"/>
      <c r="M79" s="384"/>
      <c r="N79" s="327" t="str">
        <f aca="false">J79</f>
        <v/>
      </c>
      <c r="O79" s="322" t="n">
        <f aca="true">IFERROR(INDEX(INDIRECT("Ans" &amp; E79 &amp; "TBL"), MATCH(N79, INDEX(INDIRECT("Ans" &amp; E79 &amp; "TBL"), 0, 1), 0), 2), 0)</f>
        <v>0</v>
      </c>
      <c r="P79" s="336"/>
      <c r="Q79" s="384"/>
      <c r="R79" s="327" t="str">
        <f aca="false">N79</f>
        <v/>
      </c>
      <c r="S79" s="88" t="n">
        <f aca="true">IFERROR(INDEX(INDIRECT("Ans" &amp; E79 &amp; "TBL"), MATCH(R79, INDEX(INDIRECT("Ans" &amp; E79 &amp; "TBL"), 0, 1), 0), 2), 0)</f>
        <v>0</v>
      </c>
      <c r="T79" s="306"/>
      <c r="U79" s="384"/>
      <c r="V79" s="327" t="str">
        <f aca="false">R79</f>
        <v/>
      </c>
      <c r="W79" s="337" t="n">
        <f aca="true">IFERROR(INDEX(INDIRECT("Ans" &amp; E79 &amp; "TBL"), MATCH(V79, INDEX(INDIRECT("Ans" &amp; E79 &amp; "TBL"), 0, 1), 0), 2), 0)</f>
        <v>0</v>
      </c>
      <c r="X79" s="336"/>
      <c r="Y79" s="384"/>
      <c r="Z79" s="384"/>
    </row>
    <row r="80" customFormat="false" ht="27.75" hidden="false" customHeight="true" outlineLevel="0" collapsed="false">
      <c r="A80" s="19" t="str">
        <f aca="false">Interview!A115</f>
        <v>I-SB-B-3-1</v>
      </c>
      <c r="B80" s="383"/>
      <c r="C80" s="156" t="n">
        <f aca="false">INDEX('imp-questions'!E:E, MATCH(A80, 'imp-questions'!A:A, 0))</f>
        <v>3</v>
      </c>
      <c r="D80" s="293" t="str">
        <f aca="false">INDEX('imp-questions'!F:F, MATCH(A80, 'imp-questions'!A:A, 0))</f>
        <v>Do you prevent build of software if it's affected by vulnerabilities in dependencies?</v>
      </c>
      <c r="E80" s="282" t="str">
        <f aca="false">CHAR(65+INDEX('imp-questions'!H:H, MATCH(A80, 'imp-questions'!A:A, 0)))</f>
        <v>A</v>
      </c>
      <c r="F80" s="286" t="str">
        <f aca="false">IF(ISBLANK(Interview!F115),"",Interview!F115)</f>
        <v/>
      </c>
      <c r="G80" s="340" t="n">
        <f aca="true">IFERROR(INDEX(INDIRECT("Ans" &amp; E80 &amp; "TBL"), MATCH(F80, INDEX(INDIRECT("Ans" &amp; E80 &amp; "TBL"), 0, 1), 0), 2), 0)</f>
        <v>0</v>
      </c>
      <c r="H80" s="339"/>
      <c r="I80" s="384"/>
      <c r="J80" s="327" t="str">
        <f aca="false">F80</f>
        <v/>
      </c>
      <c r="K80" s="340" t="n">
        <f aca="true">IFERROR(INDEX(INDIRECT("Ans" &amp; E80 &amp; "TBL"), MATCH(J80, INDEX(INDIRECT("Ans" &amp; E80 &amp; "TBL"), 0, 1), 0), 2), 0)</f>
        <v>0</v>
      </c>
      <c r="L80" s="339"/>
      <c r="M80" s="384"/>
      <c r="N80" s="327" t="str">
        <f aca="false">J80</f>
        <v/>
      </c>
      <c r="O80" s="338" t="n">
        <f aca="true">IFERROR(INDEX(INDIRECT("Ans" &amp; E80 &amp; "TBL"), MATCH(N80, INDEX(INDIRECT("Ans" &amp; E80 &amp; "TBL"), 0, 1), 0), 2), 0)</f>
        <v>0</v>
      </c>
      <c r="P80" s="339"/>
      <c r="Q80" s="384"/>
      <c r="R80" s="327" t="str">
        <f aca="false">N80</f>
        <v/>
      </c>
      <c r="S80" s="88" t="n">
        <f aca="true">IFERROR(INDEX(INDIRECT("Ans" &amp; E80 &amp; "TBL"), MATCH(R80, INDEX(INDIRECT("Ans" &amp; E80 &amp; "TBL"), 0, 1), 0), 2), 0)</f>
        <v>0</v>
      </c>
      <c r="T80" s="309"/>
      <c r="U80" s="384"/>
      <c r="V80" s="327" t="str">
        <f aca="false">R80</f>
        <v/>
      </c>
      <c r="W80" s="340" t="n">
        <f aca="true">IFERROR(INDEX(INDIRECT("Ans" &amp; E80 &amp; "TBL"), MATCH(V80, INDEX(INDIRECT("Ans" &amp; E80 &amp; "TBL"), 0, 1), 0), 2), 0)</f>
        <v>0</v>
      </c>
      <c r="X80" s="339"/>
      <c r="Y80" s="384"/>
      <c r="Z80" s="384"/>
    </row>
    <row r="81" customFormat="false" ht="12.75" hidden="false" customHeight="true" outlineLevel="0" collapsed="false">
      <c r="B81" s="297"/>
      <c r="C81" s="298"/>
      <c r="D81" s="76"/>
      <c r="E81" s="76"/>
      <c r="F81" s="76"/>
      <c r="G81" s="76"/>
      <c r="H81" s="76"/>
      <c r="I81" s="76"/>
      <c r="J81" s="76"/>
      <c r="K81" s="76"/>
      <c r="L81" s="76"/>
      <c r="M81" s="76"/>
      <c r="N81" s="76"/>
      <c r="O81" s="76"/>
      <c r="P81" s="76"/>
      <c r="Q81" s="76"/>
      <c r="R81" s="76"/>
      <c r="S81" s="76"/>
      <c r="T81" s="76"/>
      <c r="U81" s="76"/>
      <c r="V81" s="76"/>
      <c r="W81" s="76"/>
      <c r="X81" s="76"/>
      <c r="Y81" s="76"/>
      <c r="Z81" s="76"/>
    </row>
    <row r="82" customFormat="false" ht="15.75" hidden="false" customHeight="true" outlineLevel="0" collapsed="false">
      <c r="B82" s="378" t="s">
        <v>213</v>
      </c>
      <c r="C82" s="379" t="s">
        <v>214</v>
      </c>
      <c r="D82" s="385" t="s">
        <v>227</v>
      </c>
      <c r="E82" s="386"/>
      <c r="F82" s="149" t="s">
        <v>216</v>
      </c>
      <c r="G82" s="151"/>
      <c r="H82" s="387"/>
      <c r="I82" s="167" t="s">
        <v>218</v>
      </c>
      <c r="J82" s="149" t="s">
        <v>216</v>
      </c>
      <c r="K82" s="151"/>
      <c r="L82" s="387"/>
      <c r="M82" s="167" t="s">
        <v>218</v>
      </c>
      <c r="N82" s="149" t="s">
        <v>216</v>
      </c>
      <c r="O82" s="149"/>
      <c r="P82" s="152"/>
      <c r="Q82" s="167" t="s">
        <v>218</v>
      </c>
      <c r="R82" s="149" t="s">
        <v>216</v>
      </c>
      <c r="S82" s="151"/>
      <c r="T82" s="387"/>
      <c r="U82" s="167" t="s">
        <v>218</v>
      </c>
      <c r="V82" s="149" t="s">
        <v>216</v>
      </c>
      <c r="W82" s="151"/>
      <c r="X82" s="387"/>
      <c r="Y82" s="167" t="s">
        <v>218</v>
      </c>
      <c r="Z82" s="167" t="s">
        <v>254</v>
      </c>
    </row>
    <row r="83" customFormat="false" ht="27.75" hidden="false" customHeight="true" outlineLevel="0" collapsed="false">
      <c r="A83" s="19" t="str">
        <f aca="false">Interview!A118</f>
        <v>I-SD-A-1-1</v>
      </c>
      <c r="B83" s="383" t="str">
        <f aca="false">INDEX('imp-questions'!D:D, MATCH(A83, 'imp-questions'!A:A, 0))</f>
        <v>Deployment Process</v>
      </c>
      <c r="C83" s="156" t="n">
        <f aca="false">INDEX('imp-questions'!E:E, MATCH(A83, 'imp-questions'!A:A, 0))</f>
        <v>1</v>
      </c>
      <c r="D83" s="281" t="str">
        <f aca="false">INDEX('imp-questions'!F:F, MATCH(A83, 'imp-questions'!A:A, 0))</f>
        <v>Do you use repeatable deployment processes?</v>
      </c>
      <c r="E83" s="282" t="str">
        <f aca="false">CHAR(65+INDEX('imp-questions'!H:H, MATCH(A83, 'imp-questions'!A:A, 0)))</f>
        <v>A</v>
      </c>
      <c r="F83" s="286" t="str">
        <f aca="false">IF(ISBLANK(Interview!F118),"",Interview!F118)</f>
        <v/>
      </c>
      <c r="G83" s="335" t="n">
        <f aca="true">IFERROR(INDEX(INDIRECT("Ans" &amp; E83 &amp; "TBL"), MATCH(F83, INDEX(INDIRECT("Ans" &amp; E83 &amp; "TBL"), 0, 1), 0), 2), 0)</f>
        <v>0</v>
      </c>
      <c r="H83" s="354" t="n">
        <f aca="false">IFERROR(AVERAGE(G83,G87),0)</f>
        <v>0</v>
      </c>
      <c r="I83" s="384" t="n">
        <f aca="false">SUM(H83:H85)</f>
        <v>0</v>
      </c>
      <c r="J83" s="327" t="str">
        <f aca="false">F83</f>
        <v/>
      </c>
      <c r="K83" s="335" t="n">
        <f aca="true">IFERROR(INDEX(INDIRECT("Ans" &amp; E83 &amp; "TBL"), MATCH(J83, INDEX(INDIRECT("Ans" &amp; E83 &amp; "TBL"), 0, 1), 0), 2), 0)</f>
        <v>0</v>
      </c>
      <c r="L83" s="354" t="n">
        <f aca="false">IFERROR(AVERAGE(K83,K87),0)</f>
        <v>0</v>
      </c>
      <c r="M83" s="384" t="n">
        <f aca="false">SUM(L83:L85)</f>
        <v>0</v>
      </c>
      <c r="N83" s="327" t="str">
        <f aca="false">J83</f>
        <v/>
      </c>
      <c r="O83" s="322" t="n">
        <f aca="true">IFERROR(INDEX(INDIRECT("Ans" &amp; E83 &amp; "TBL"), MATCH(N83, INDEX(INDIRECT("Ans" &amp; E83 &amp; "TBL"), 0, 1), 0), 2), 0)</f>
        <v>0</v>
      </c>
      <c r="P83" s="169" t="n">
        <f aca="false">IFERROR(AVERAGE(O83,O87),0)</f>
        <v>0</v>
      </c>
      <c r="Q83" s="384" t="n">
        <f aca="false">SUM(P83:P85)</f>
        <v>0</v>
      </c>
      <c r="R83" s="327" t="str">
        <f aca="false">N83</f>
        <v/>
      </c>
      <c r="S83" s="88" t="n">
        <f aca="true">IFERROR(INDEX(INDIRECT("Ans" &amp; E83 &amp; "TBL"), MATCH(R83, INDEX(INDIRECT("Ans" &amp; E83 &amp; "TBL"), 0, 1), 0), 2), 0)</f>
        <v>0</v>
      </c>
      <c r="T83" s="303" t="n">
        <f aca="false">IFERROR(AVERAGE(S83,S87),0)</f>
        <v>0</v>
      </c>
      <c r="U83" s="384" t="n">
        <f aca="false">SUM(T83:T85)</f>
        <v>0</v>
      </c>
      <c r="V83" s="327" t="str">
        <f aca="false">R83</f>
        <v/>
      </c>
      <c r="W83" s="335" t="n">
        <f aca="true">IFERROR(INDEX(INDIRECT("Ans" &amp; E83 &amp; "TBL"), MATCH(V83, INDEX(INDIRECT("Ans" &amp; E83 &amp; "TBL"), 0, 1), 0), 2), 0)</f>
        <v>0</v>
      </c>
      <c r="X83" s="354" t="n">
        <f aca="false">IFERROR(AVERAGE(W83,W87),0)</f>
        <v>0</v>
      </c>
      <c r="Y83" s="384" t="n">
        <f aca="false">SUM(X83:X85)</f>
        <v>0</v>
      </c>
      <c r="Z83" s="384" t="n">
        <f aca="false">SUM(Y83:Y85)</f>
        <v>0</v>
      </c>
    </row>
    <row r="84" customFormat="false" ht="27.75" hidden="false" customHeight="true" outlineLevel="0" collapsed="false">
      <c r="A84" s="19" t="str">
        <f aca="false">Interview!A120</f>
        <v>I-SD-A-2-1</v>
      </c>
      <c r="B84" s="383"/>
      <c r="C84" s="156" t="n">
        <f aca="false">INDEX('imp-questions'!E:E, MATCH(A84, 'imp-questions'!A:A, 0))</f>
        <v>2</v>
      </c>
      <c r="D84" s="281" t="str">
        <f aca="false">INDEX('imp-questions'!F:F, MATCH(A84, 'imp-questions'!A:A, 0))</f>
        <v>Are deployment processes automated and employing security checks?</v>
      </c>
      <c r="E84" s="282" t="str">
        <f aca="false">CHAR(65+INDEX('imp-questions'!H:H, MATCH(A84, 'imp-questions'!A:A, 0)))</f>
        <v>A</v>
      </c>
      <c r="F84" s="286" t="str">
        <f aca="false">IF(ISBLANK(Interview!F120),"",Interview!F120)</f>
        <v/>
      </c>
      <c r="G84" s="337" t="n">
        <f aca="true">IFERROR(INDEX(INDIRECT("Ans" &amp; E84 &amp; "TBL"), MATCH(F84, INDEX(INDIRECT("Ans" &amp; E84 &amp; "TBL"), 0, 1), 0), 2), 0)</f>
        <v>0</v>
      </c>
      <c r="H84" s="355" t="n">
        <f aca="false">IFERROR(AVERAGE(G84,G88),0)</f>
        <v>0</v>
      </c>
      <c r="I84" s="384"/>
      <c r="J84" s="327" t="str">
        <f aca="false">F84</f>
        <v/>
      </c>
      <c r="K84" s="337" t="n">
        <f aca="true">IFERROR(INDEX(INDIRECT("Ans" &amp; E84 &amp; "TBL"), MATCH(J84, INDEX(INDIRECT("Ans" &amp; E84 &amp; "TBL"), 0, 1), 0), 2), 0)</f>
        <v>0</v>
      </c>
      <c r="L84" s="355" t="n">
        <f aca="false">IFERROR(AVERAGE(K84,K88),0)</f>
        <v>0</v>
      </c>
      <c r="M84" s="384"/>
      <c r="N84" s="327" t="str">
        <f aca="false">J84</f>
        <v/>
      </c>
      <c r="O84" s="322" t="n">
        <f aca="true">IFERROR(INDEX(INDIRECT("Ans" &amp; E84 &amp; "TBL"), MATCH(N84, INDEX(INDIRECT("Ans" &amp; E84 &amp; "TBL"), 0, 1), 0), 2), 0)</f>
        <v>0</v>
      </c>
      <c r="P84" s="169" t="n">
        <f aca="false">IFERROR(AVERAGE(O84,O88),0)</f>
        <v>0</v>
      </c>
      <c r="Q84" s="384"/>
      <c r="R84" s="327" t="str">
        <f aca="false">N84</f>
        <v/>
      </c>
      <c r="S84" s="88" t="n">
        <f aca="true">IFERROR(INDEX(INDIRECT("Ans" &amp; E84 &amp; "TBL"), MATCH(R84, INDEX(INDIRECT("Ans" &amp; E84 &amp; "TBL"), 0, 1), 0), 2), 0)</f>
        <v>0</v>
      </c>
      <c r="T84" s="356" t="n">
        <f aca="false">IFERROR(AVERAGE(S84,S88),0)</f>
        <v>0</v>
      </c>
      <c r="U84" s="384"/>
      <c r="V84" s="327" t="str">
        <f aca="false">R84</f>
        <v/>
      </c>
      <c r="W84" s="337" t="n">
        <f aca="true">IFERROR(INDEX(INDIRECT("Ans" &amp; E84 &amp; "TBL"), MATCH(V84, INDEX(INDIRECT("Ans" &amp; E84 &amp; "TBL"), 0, 1), 0), 2), 0)</f>
        <v>0</v>
      </c>
      <c r="X84" s="355" t="n">
        <f aca="false">IFERROR(AVERAGE(W84,W88),0)</f>
        <v>0</v>
      </c>
      <c r="Y84" s="384"/>
      <c r="Z84" s="384"/>
    </row>
    <row r="85" customFormat="false" ht="27.75" hidden="false" customHeight="true" outlineLevel="0" collapsed="false">
      <c r="A85" s="19" t="str">
        <f aca="false">Interview!A122</f>
        <v>I-SD-A-3-1</v>
      </c>
      <c r="B85" s="383"/>
      <c r="C85" s="156" t="n">
        <f aca="false">INDEX('imp-questions'!E:E, MATCH(A85, 'imp-questions'!A:A, 0))</f>
        <v>3</v>
      </c>
      <c r="D85" s="293" t="str">
        <f aca="false">INDEX('imp-questions'!F:F, MATCH(A85, 'imp-questions'!A:A, 0))</f>
        <v>Do you consistently validate the integrity of deployed artifacts?</v>
      </c>
      <c r="E85" s="282" t="str">
        <f aca="false">CHAR(65+INDEX('imp-questions'!H:H, MATCH(A85, 'imp-questions'!A:A, 0)))</f>
        <v>A</v>
      </c>
      <c r="F85" s="286" t="str">
        <f aca="false">IF(ISBLANK(Interview!F122),"",Interview!F122)</f>
        <v/>
      </c>
      <c r="G85" s="340" t="n">
        <f aca="true">IFERROR(INDEX(INDIRECT("Ans" &amp; E85 &amp; "TBL"), MATCH(F85, INDEX(INDIRECT("Ans" &amp; E85 &amp; "TBL"), 0, 1), 0), 2), 0)</f>
        <v>0</v>
      </c>
      <c r="H85" s="359" t="n">
        <f aca="false">IFERROR(AVERAGE(G85,G89),0)</f>
        <v>0</v>
      </c>
      <c r="I85" s="384"/>
      <c r="J85" s="327" t="str">
        <f aca="false">F85</f>
        <v/>
      </c>
      <c r="K85" s="340" t="n">
        <f aca="true">IFERROR(INDEX(INDIRECT("Ans" &amp; E85 &amp; "TBL"), MATCH(J85, INDEX(INDIRECT("Ans" &amp; E85 &amp; "TBL"), 0, 1), 0), 2), 0)</f>
        <v>0</v>
      </c>
      <c r="L85" s="359" t="n">
        <f aca="false">IFERROR(AVERAGE(K85,K89),0)</f>
        <v>0</v>
      </c>
      <c r="M85" s="384"/>
      <c r="N85" s="327" t="str">
        <f aca="false">J85</f>
        <v/>
      </c>
      <c r="O85" s="322" t="n">
        <f aca="true">IFERROR(INDEX(INDIRECT("Ans" &amp; E85 &amp; "TBL"), MATCH(N85, INDEX(INDIRECT("Ans" &amp; E85 &amp; "TBL"), 0, 1), 0), 2), 0)</f>
        <v>0</v>
      </c>
      <c r="P85" s="169" t="n">
        <f aca="false">IFERROR(AVERAGE(O85,O89),0)</f>
        <v>0</v>
      </c>
      <c r="Q85" s="384"/>
      <c r="R85" s="327" t="str">
        <f aca="false">N85</f>
        <v/>
      </c>
      <c r="S85" s="88" t="n">
        <f aca="true">IFERROR(INDEX(INDIRECT("Ans" &amp; E85 &amp; "TBL"), MATCH(R85, INDEX(INDIRECT("Ans" &amp; E85 &amp; "TBL"), 0, 1), 0), 2), 0)</f>
        <v>0</v>
      </c>
      <c r="T85" s="360" t="n">
        <f aca="false">IFERROR(AVERAGE(S85,S89),0)</f>
        <v>0</v>
      </c>
      <c r="U85" s="384"/>
      <c r="V85" s="327" t="str">
        <f aca="false">R85</f>
        <v/>
      </c>
      <c r="W85" s="340" t="n">
        <f aca="true">IFERROR(INDEX(INDIRECT("Ans" &amp; E85 &amp; "TBL"), MATCH(V85, INDEX(INDIRECT("Ans" &amp; E85 &amp; "TBL"), 0, 1), 0), 2), 0)</f>
        <v>0</v>
      </c>
      <c r="X85" s="359" t="n">
        <f aca="false">IFERROR(AVERAGE(W85,W89),0)</f>
        <v>0</v>
      </c>
      <c r="Y85" s="384"/>
      <c r="Z85" s="384"/>
    </row>
    <row r="86" customFormat="false" ht="12.75" hidden="false" customHeight="true" outlineLevel="0" collapsed="false">
      <c r="B86" s="297"/>
      <c r="C86" s="298"/>
      <c r="D86" s="76"/>
      <c r="E86" s="124"/>
      <c r="F86" s="76"/>
      <c r="G86" s="124"/>
      <c r="H86" s="124"/>
      <c r="I86" s="384"/>
      <c r="J86" s="76"/>
      <c r="K86" s="124"/>
      <c r="L86" s="124"/>
      <c r="M86" s="384"/>
      <c r="N86" s="76"/>
      <c r="O86" s="124"/>
      <c r="P86" s="124"/>
      <c r="Q86" s="384"/>
      <c r="R86" s="76"/>
      <c r="S86" s="124"/>
      <c r="T86" s="124"/>
      <c r="U86" s="384"/>
      <c r="V86" s="76"/>
      <c r="W86" s="124"/>
      <c r="X86" s="124"/>
      <c r="Y86" s="384"/>
      <c r="Z86" s="384"/>
    </row>
    <row r="87" customFormat="false" ht="27.75" hidden="false" customHeight="true" outlineLevel="0" collapsed="false">
      <c r="A87" s="19" t="str">
        <f aca="false">Interview!A125</f>
        <v>I-SD-B-1-1</v>
      </c>
      <c r="B87" s="383" t="str">
        <f aca="false">INDEX('imp-questions'!D:D, MATCH(A87, 'imp-questions'!A:A, 0))</f>
        <v>Secret Management</v>
      </c>
      <c r="C87" s="156" t="n">
        <f aca="false">INDEX('imp-questions'!E:E, MATCH(A87, 'imp-questions'!A:A, 0))</f>
        <v>1</v>
      </c>
      <c r="D87" s="281" t="str">
        <f aca="false">INDEX('imp-questions'!F:F, MATCH(A87, 'imp-questions'!A:A, 0))</f>
        <v>Do you limit access to application secrets according to the least privilege principle?</v>
      </c>
      <c r="E87" s="282" t="str">
        <f aca="false">CHAR(65+INDEX('imp-questions'!H:H, MATCH(A87, 'imp-questions'!A:A, 0)))</f>
        <v>A</v>
      </c>
      <c r="F87" s="286" t="str">
        <f aca="false">IF(ISBLANK(Interview!F125),"",Interview!F125)</f>
        <v/>
      </c>
      <c r="G87" s="335" t="n">
        <f aca="true">IFERROR(INDEX(INDIRECT("Ans" &amp; E87 &amp; "TBL"), MATCH(F87, INDEX(INDIRECT("Ans" &amp; E87 &amp; "TBL"), 0, 1), 0), 2), 0)</f>
        <v>0</v>
      </c>
      <c r="H87" s="334"/>
      <c r="I87" s="384"/>
      <c r="J87" s="327" t="str">
        <f aca="false">F87</f>
        <v/>
      </c>
      <c r="K87" s="335" t="n">
        <f aca="true">IFERROR(INDEX(INDIRECT("Ans" &amp; E87 &amp; "TBL"), MATCH(J87, INDEX(INDIRECT("Ans" &amp; E87 &amp; "TBL"), 0, 1), 0), 2), 0)</f>
        <v>0</v>
      </c>
      <c r="L87" s="334"/>
      <c r="M87" s="384"/>
      <c r="N87" s="327" t="str">
        <f aca="false">J87</f>
        <v/>
      </c>
      <c r="O87" s="333" t="n">
        <f aca="true">IFERROR(INDEX(INDIRECT("Ans" &amp; E87 &amp; "TBL"), MATCH(N87, INDEX(INDIRECT("Ans" &amp; E87 &amp; "TBL"), 0, 1), 0), 2), 0)</f>
        <v>0</v>
      </c>
      <c r="P87" s="334"/>
      <c r="Q87" s="384"/>
      <c r="R87" s="327" t="str">
        <f aca="false">N87</f>
        <v/>
      </c>
      <c r="S87" s="88" t="n">
        <f aca="true">IFERROR(INDEX(INDIRECT("Ans" &amp; E87 &amp; "TBL"), MATCH(R87, INDEX(INDIRECT("Ans" &amp; E87 &amp; "TBL"), 0, 1), 0), 2), 0)</f>
        <v>0</v>
      </c>
      <c r="T87" s="324"/>
      <c r="U87" s="384"/>
      <c r="V87" s="327" t="str">
        <f aca="false">R87</f>
        <v/>
      </c>
      <c r="W87" s="335" t="n">
        <f aca="true">IFERROR(INDEX(INDIRECT("Ans" &amp; E87 &amp; "TBL"), MATCH(V87, INDEX(INDIRECT("Ans" &amp; E87 &amp; "TBL"), 0, 1), 0), 2), 0)</f>
        <v>0</v>
      </c>
      <c r="X87" s="334"/>
      <c r="Y87" s="384"/>
      <c r="Z87" s="384"/>
    </row>
    <row r="88" customFormat="false" ht="27.75" hidden="false" customHeight="true" outlineLevel="0" collapsed="false">
      <c r="A88" s="19" t="str">
        <f aca="false">Interview!A127</f>
        <v>I-SD-B-2-1</v>
      </c>
      <c r="B88" s="383"/>
      <c r="C88" s="156" t="n">
        <f aca="false">INDEX('imp-questions'!E:E, MATCH(A88, 'imp-questions'!A:A, 0))</f>
        <v>2</v>
      </c>
      <c r="D88" s="281" t="str">
        <f aca="false">INDEX('imp-questions'!F:F, MATCH(A88, 'imp-questions'!A:A, 0))</f>
        <v>Do you inject production secrets into configuration files during deployment?</v>
      </c>
      <c r="E88" s="282" t="str">
        <f aca="false">CHAR(65+INDEX('imp-questions'!H:H, MATCH(A88, 'imp-questions'!A:A, 0)))</f>
        <v>A</v>
      </c>
      <c r="F88" s="286" t="str">
        <f aca="false">IF(ISBLANK(Interview!F127),"",Interview!F127)</f>
        <v/>
      </c>
      <c r="G88" s="337" t="n">
        <f aca="true">IFERROR(INDEX(INDIRECT("Ans" &amp; E88 &amp; "TBL"), MATCH(F88, INDEX(INDIRECT("Ans" &amp; E88 &amp; "TBL"), 0, 1), 0), 2), 0)</f>
        <v>0</v>
      </c>
      <c r="H88" s="336"/>
      <c r="I88" s="384"/>
      <c r="J88" s="327" t="str">
        <f aca="false">F88</f>
        <v/>
      </c>
      <c r="K88" s="337" t="n">
        <f aca="true">IFERROR(INDEX(INDIRECT("Ans" &amp; E88 &amp; "TBL"), MATCH(J88, INDEX(INDIRECT("Ans" &amp; E88 &amp; "TBL"), 0, 1), 0), 2), 0)</f>
        <v>0</v>
      </c>
      <c r="L88" s="336"/>
      <c r="M88" s="384"/>
      <c r="N88" s="327" t="str">
        <f aca="false">J88</f>
        <v/>
      </c>
      <c r="O88" s="322" t="n">
        <f aca="true">IFERROR(INDEX(INDIRECT("Ans" &amp; E88 &amp; "TBL"), MATCH(N88, INDEX(INDIRECT("Ans" &amp; E88 &amp; "TBL"), 0, 1), 0), 2), 0)</f>
        <v>0</v>
      </c>
      <c r="P88" s="336"/>
      <c r="Q88" s="384"/>
      <c r="R88" s="327" t="str">
        <f aca="false">N88</f>
        <v/>
      </c>
      <c r="S88" s="88" t="n">
        <f aca="true">IFERROR(INDEX(INDIRECT("Ans" &amp; E88 &amp; "TBL"), MATCH(R88, INDEX(INDIRECT("Ans" &amp; E88 &amp; "TBL"), 0, 1), 0), 2), 0)</f>
        <v>0</v>
      </c>
      <c r="T88" s="306"/>
      <c r="U88" s="384"/>
      <c r="V88" s="327" t="str">
        <f aca="false">R88</f>
        <v/>
      </c>
      <c r="W88" s="337" t="n">
        <f aca="true">IFERROR(INDEX(INDIRECT("Ans" &amp; E88 &amp; "TBL"), MATCH(V88, INDEX(INDIRECT("Ans" &amp; E88 &amp; "TBL"), 0, 1), 0), 2), 0)</f>
        <v>0</v>
      </c>
      <c r="X88" s="336"/>
      <c r="Y88" s="384"/>
      <c r="Z88" s="384"/>
    </row>
    <row r="89" customFormat="false" ht="27.75" hidden="false" customHeight="true" outlineLevel="0" collapsed="false">
      <c r="A89" s="19" t="str">
        <f aca="false">Interview!A129</f>
        <v>I-SD-B-3-1</v>
      </c>
      <c r="B89" s="383"/>
      <c r="C89" s="156" t="n">
        <f aca="false">INDEX('imp-questions'!E:E, MATCH(A89, 'imp-questions'!A:A, 0))</f>
        <v>3</v>
      </c>
      <c r="D89" s="293" t="str">
        <f aca="false">INDEX('imp-questions'!F:F, MATCH(A89, 'imp-questions'!A:A, 0))</f>
        <v>Do you practice proper lifecycle management for application secrets?</v>
      </c>
      <c r="E89" s="282" t="str">
        <f aca="false">CHAR(65+INDEX('imp-questions'!H:H, MATCH(A89, 'imp-questions'!A:A, 0)))</f>
        <v>A</v>
      </c>
      <c r="F89" s="286" t="str">
        <f aca="false">IF(ISBLANK(Interview!F129),"",Interview!F129)</f>
        <v/>
      </c>
      <c r="G89" s="340" t="n">
        <f aca="true">IFERROR(INDEX(INDIRECT("Ans" &amp; E89 &amp; "TBL"), MATCH(F89, INDEX(INDIRECT("Ans" &amp; E89 &amp; "TBL"), 0, 1), 0), 2), 0)</f>
        <v>0</v>
      </c>
      <c r="H89" s="339"/>
      <c r="I89" s="384"/>
      <c r="J89" s="327" t="str">
        <f aca="false">F89</f>
        <v/>
      </c>
      <c r="K89" s="340" t="n">
        <f aca="true">IFERROR(INDEX(INDIRECT("Ans" &amp; E89 &amp; "TBL"), MATCH(J89, INDEX(INDIRECT("Ans" &amp; E89 &amp; "TBL"), 0, 1), 0), 2), 0)</f>
        <v>0</v>
      </c>
      <c r="L89" s="339"/>
      <c r="M89" s="384"/>
      <c r="N89" s="327" t="str">
        <f aca="false">J89</f>
        <v/>
      </c>
      <c r="O89" s="338" t="n">
        <f aca="true">IFERROR(INDEX(INDIRECT("Ans" &amp; E89 &amp; "TBL"), MATCH(N89, INDEX(INDIRECT("Ans" &amp; E89 &amp; "TBL"), 0, 1), 0), 2), 0)</f>
        <v>0</v>
      </c>
      <c r="P89" s="339"/>
      <c r="Q89" s="384"/>
      <c r="R89" s="327" t="str">
        <f aca="false">N89</f>
        <v/>
      </c>
      <c r="S89" s="88" t="n">
        <f aca="true">IFERROR(INDEX(INDIRECT("Ans" &amp; E89 &amp; "TBL"), MATCH(R89, INDEX(INDIRECT("Ans" &amp; E89 &amp; "TBL"), 0, 1), 0), 2), 0)</f>
        <v>0</v>
      </c>
      <c r="T89" s="309"/>
      <c r="U89" s="384"/>
      <c r="V89" s="327" t="str">
        <f aca="false">R89</f>
        <v/>
      </c>
      <c r="W89" s="340" t="n">
        <f aca="true">IFERROR(INDEX(INDIRECT("Ans" &amp; E89 &amp; "TBL"), MATCH(V89, INDEX(INDIRECT("Ans" &amp; E89 &amp; "TBL"), 0, 1), 0), 2), 0)</f>
        <v>0</v>
      </c>
      <c r="X89" s="339"/>
      <c r="Y89" s="384"/>
      <c r="Z89" s="384"/>
    </row>
    <row r="90" customFormat="false" ht="12.75" hidden="false" customHeight="true" outlineLevel="0" collapsed="false">
      <c r="B90" s="297"/>
      <c r="C90" s="298"/>
      <c r="D90" s="76"/>
      <c r="E90" s="76"/>
      <c r="F90" s="76"/>
      <c r="G90" s="76"/>
      <c r="H90" s="76"/>
      <c r="I90" s="76"/>
      <c r="J90" s="76"/>
      <c r="K90" s="76"/>
      <c r="L90" s="76"/>
      <c r="M90" s="76"/>
      <c r="N90" s="76"/>
      <c r="O90" s="76"/>
      <c r="P90" s="76"/>
      <c r="Q90" s="76"/>
      <c r="R90" s="76"/>
      <c r="S90" s="76"/>
      <c r="T90" s="76"/>
      <c r="U90" s="76"/>
      <c r="V90" s="76"/>
      <c r="W90" s="76"/>
      <c r="X90" s="76"/>
      <c r="Y90" s="76"/>
      <c r="Z90" s="76"/>
    </row>
    <row r="91" customFormat="false" ht="15.75" hidden="false" customHeight="true" outlineLevel="0" collapsed="false">
      <c r="B91" s="378" t="s">
        <v>213</v>
      </c>
      <c r="C91" s="379" t="s">
        <v>214</v>
      </c>
      <c r="D91" s="385" t="s">
        <v>228</v>
      </c>
      <c r="E91" s="386"/>
      <c r="F91" s="149" t="s">
        <v>216</v>
      </c>
      <c r="G91" s="151"/>
      <c r="H91" s="387"/>
      <c r="I91" s="167" t="s">
        <v>218</v>
      </c>
      <c r="J91" s="149" t="s">
        <v>216</v>
      </c>
      <c r="K91" s="151"/>
      <c r="L91" s="387"/>
      <c r="M91" s="167" t="s">
        <v>218</v>
      </c>
      <c r="N91" s="149" t="s">
        <v>216</v>
      </c>
      <c r="O91" s="151"/>
      <c r="P91" s="387"/>
      <c r="Q91" s="167" t="s">
        <v>218</v>
      </c>
      <c r="R91" s="149" t="s">
        <v>216</v>
      </c>
      <c r="S91" s="151"/>
      <c r="T91" s="387"/>
      <c r="U91" s="167" t="s">
        <v>218</v>
      </c>
      <c r="V91" s="149" t="s">
        <v>216</v>
      </c>
      <c r="W91" s="151"/>
      <c r="X91" s="387"/>
      <c r="Y91" s="167" t="s">
        <v>218</v>
      </c>
      <c r="Z91" s="167" t="s">
        <v>254</v>
      </c>
    </row>
    <row r="92" customFormat="false" ht="27.75" hidden="false" customHeight="true" outlineLevel="0" collapsed="false">
      <c r="A92" s="19" t="str">
        <f aca="false">Interview!A132</f>
        <v>I-DM-A-1-1</v>
      </c>
      <c r="B92" s="383" t="str">
        <f aca="false">INDEX('imp-questions'!D:D, MATCH(A92, 'imp-questions'!A:A, 0))</f>
        <v>Defect Tracking</v>
      </c>
      <c r="C92" s="156" t="n">
        <f aca="false">INDEX('imp-questions'!E:E, MATCH(A92, 'imp-questions'!A:A, 0))</f>
        <v>1</v>
      </c>
      <c r="D92" s="281" t="str">
        <f aca="false">INDEX('imp-questions'!F:F, MATCH(A92, 'imp-questions'!A:A, 0))</f>
        <v>Do you track all known security defects in accessible locations?</v>
      </c>
      <c r="E92" s="282" t="str">
        <f aca="false">CHAR(65+INDEX('imp-questions'!H:H, MATCH(A92, 'imp-questions'!A:A, 0)))</f>
        <v>A</v>
      </c>
      <c r="F92" s="286" t="str">
        <f aca="false">IF(ISBLANK(Interview!F132),"",Interview!F132)</f>
        <v/>
      </c>
      <c r="G92" s="335" t="n">
        <f aca="true">IFERROR(INDEX(INDIRECT("Ans" &amp; E92 &amp; "TBL"), MATCH(F92, INDEX(INDIRECT("Ans" &amp; E92 &amp; "TBL"), 0, 1), 0), 2), 0)</f>
        <v>0</v>
      </c>
      <c r="H92" s="354" t="n">
        <f aca="false">IFERROR(AVERAGE(G92,G96),0)</f>
        <v>0</v>
      </c>
      <c r="I92" s="388" t="n">
        <f aca="false">SUM(H92:H94)</f>
        <v>0</v>
      </c>
      <c r="J92" s="327" t="str">
        <f aca="false">F92</f>
        <v/>
      </c>
      <c r="K92" s="335" t="n">
        <f aca="true">IFERROR(INDEX(INDIRECT("Ans" &amp; E92 &amp; "TBL"), MATCH(J92, INDEX(INDIRECT("Ans" &amp; E92 &amp; "TBL"), 0, 1), 0), 2), 0)</f>
        <v>0</v>
      </c>
      <c r="L92" s="354" t="n">
        <f aca="false">IFERROR(AVERAGE(K92,K96),0)</f>
        <v>0</v>
      </c>
      <c r="M92" s="388" t="n">
        <f aca="false">SUM(L92:L94)</f>
        <v>0</v>
      </c>
      <c r="N92" s="327" t="str">
        <f aca="false">J92</f>
        <v/>
      </c>
      <c r="O92" s="333" t="n">
        <f aca="true">IFERROR(INDEX(INDIRECT("Ans" &amp; E92 &amp; "TBL"), MATCH(N92, INDEX(INDIRECT("Ans" &amp; E92 &amp; "TBL"), 0, 1), 0), 2), 0)</f>
        <v>0</v>
      </c>
      <c r="P92" s="354" t="n">
        <f aca="false">IFERROR(AVERAGE(O92,O96),0)</f>
        <v>0</v>
      </c>
      <c r="Q92" s="388" t="n">
        <f aca="false">SUM(P92:P94)</f>
        <v>0</v>
      </c>
      <c r="R92" s="327" t="str">
        <f aca="false">N92</f>
        <v/>
      </c>
      <c r="S92" s="88" t="n">
        <f aca="true">IFERROR(INDEX(INDIRECT("Ans" &amp; E92 &amp; "TBL"), MATCH(R92, INDEX(INDIRECT("Ans" &amp; E92 &amp; "TBL"), 0, 1), 0), 2), 0)</f>
        <v>0</v>
      </c>
      <c r="T92" s="303" t="n">
        <f aca="false">IFERROR(AVERAGE(S92,S96),0)</f>
        <v>0</v>
      </c>
      <c r="U92" s="388" t="n">
        <f aca="false">SUM(T92:T94)</f>
        <v>0</v>
      </c>
      <c r="V92" s="327" t="str">
        <f aca="false">R92</f>
        <v/>
      </c>
      <c r="W92" s="335" t="n">
        <f aca="true">IFERROR(INDEX(INDIRECT("Ans" &amp; E92 &amp; "TBL"), MATCH(V92, INDEX(INDIRECT("Ans" &amp; E92 &amp; "TBL"), 0, 1), 0), 2), 0)</f>
        <v>0</v>
      </c>
      <c r="X92" s="354" t="n">
        <f aca="false">IFERROR(AVERAGE(W92,W96),0)</f>
        <v>0</v>
      </c>
      <c r="Y92" s="388" t="n">
        <f aca="false">SUM(X92:X94)</f>
        <v>0</v>
      </c>
      <c r="Z92" s="388" t="n">
        <f aca="false">SUM(Y92:Y94)</f>
        <v>0</v>
      </c>
    </row>
    <row r="93" customFormat="false" ht="27.75" hidden="false" customHeight="true" outlineLevel="0" collapsed="false">
      <c r="A93" s="19" t="str">
        <f aca="false">Interview!A134</f>
        <v>I-DM-A-2-1</v>
      </c>
      <c r="B93" s="383"/>
      <c r="C93" s="156" t="n">
        <f aca="false">INDEX('imp-questions'!E:E, MATCH(A93, 'imp-questions'!A:A, 0))</f>
        <v>2</v>
      </c>
      <c r="D93" s="281" t="str">
        <f aca="false">INDEX('imp-questions'!F:F, MATCH(A93, 'imp-questions'!A:A, 0))</f>
        <v>Do you keep an overview of the state of security defects across the organization?</v>
      </c>
      <c r="E93" s="282" t="str">
        <f aca="false">CHAR(65+INDEX('imp-questions'!H:H, MATCH(A93, 'imp-questions'!A:A, 0)))</f>
        <v>A</v>
      </c>
      <c r="F93" s="286" t="str">
        <f aca="false">IF(ISBLANK(Interview!F134),"",Interview!F134)</f>
        <v/>
      </c>
      <c r="G93" s="337" t="n">
        <f aca="true">IFERROR(INDEX(INDIRECT("Ans" &amp; E93 &amp; "TBL"), MATCH(F93, INDEX(INDIRECT("Ans" &amp; E93 &amp; "TBL"), 0, 1), 0), 2), 0)</f>
        <v>0</v>
      </c>
      <c r="H93" s="355" t="n">
        <f aca="false">IFERROR(AVERAGE(G93,G97),0)</f>
        <v>0</v>
      </c>
      <c r="I93" s="388"/>
      <c r="J93" s="327" t="str">
        <f aca="false">F93</f>
        <v/>
      </c>
      <c r="K93" s="337" t="n">
        <f aca="true">IFERROR(INDEX(INDIRECT("Ans" &amp; E93 &amp; "TBL"), MATCH(J93, INDEX(INDIRECT("Ans" &amp; E93 &amp; "TBL"), 0, 1), 0), 2), 0)</f>
        <v>0</v>
      </c>
      <c r="L93" s="355" t="n">
        <f aca="false">IFERROR(AVERAGE(K93,K97),0)</f>
        <v>0</v>
      </c>
      <c r="M93" s="388"/>
      <c r="N93" s="327" t="str">
        <f aca="false">J93</f>
        <v/>
      </c>
      <c r="O93" s="322" t="n">
        <f aca="true">IFERROR(INDEX(INDIRECT("Ans" &amp; E93 &amp; "TBL"), MATCH(N93, INDEX(INDIRECT("Ans" &amp; E93 &amp; "TBL"), 0, 1), 0), 2), 0)</f>
        <v>0</v>
      </c>
      <c r="P93" s="355" t="n">
        <f aca="false">IFERROR(AVERAGE(O93,O97),0)</f>
        <v>0</v>
      </c>
      <c r="Q93" s="388"/>
      <c r="R93" s="327" t="str">
        <f aca="false">N93</f>
        <v/>
      </c>
      <c r="S93" s="88" t="n">
        <f aca="true">IFERROR(INDEX(INDIRECT("Ans" &amp; E93 &amp; "TBL"), MATCH(R93, INDEX(INDIRECT("Ans" &amp; E93 &amp; "TBL"), 0, 1), 0), 2), 0)</f>
        <v>0</v>
      </c>
      <c r="T93" s="356" t="n">
        <f aca="false">IFERROR(AVERAGE(S93,S97),0)</f>
        <v>0</v>
      </c>
      <c r="U93" s="388"/>
      <c r="V93" s="327" t="str">
        <f aca="false">R93</f>
        <v/>
      </c>
      <c r="W93" s="337" t="n">
        <f aca="true">IFERROR(INDEX(INDIRECT("Ans" &amp; E93 &amp; "TBL"), MATCH(V93, INDEX(INDIRECT("Ans" &amp; E93 &amp; "TBL"), 0, 1), 0), 2), 0)</f>
        <v>0</v>
      </c>
      <c r="X93" s="355" t="n">
        <f aca="false">IFERROR(AVERAGE(W93,W97),0)</f>
        <v>0</v>
      </c>
      <c r="Y93" s="388"/>
      <c r="Z93" s="388"/>
    </row>
    <row r="94" customFormat="false" ht="27.75" hidden="false" customHeight="true" outlineLevel="0" collapsed="false">
      <c r="A94" s="19" t="str">
        <f aca="false">Interview!A136</f>
        <v>I-DM-A-3-1</v>
      </c>
      <c r="B94" s="383"/>
      <c r="C94" s="156" t="n">
        <f aca="false">INDEX('imp-questions'!E:E, MATCH(A94, 'imp-questions'!A:A, 0))</f>
        <v>3</v>
      </c>
      <c r="D94" s="293" t="str">
        <f aca="false">INDEX('imp-questions'!F:F, MATCH(A94, 'imp-questions'!A:A, 0))</f>
        <v>Do you enforce SLAs for fixing security defects?</v>
      </c>
      <c r="E94" s="282" t="str">
        <f aca="false">CHAR(65+INDEX('imp-questions'!H:H, MATCH(A94, 'imp-questions'!A:A, 0)))</f>
        <v>A</v>
      </c>
      <c r="F94" s="286" t="str">
        <f aca="false">IF(ISBLANK(Interview!F136),"",Interview!F136)</f>
        <v/>
      </c>
      <c r="G94" s="340" t="n">
        <f aca="true">IFERROR(INDEX(INDIRECT("Ans" &amp; E94 &amp; "TBL"), MATCH(F94, INDEX(INDIRECT("Ans" &amp; E94 &amp; "TBL"), 0, 1), 0), 2), 0)</f>
        <v>0</v>
      </c>
      <c r="H94" s="359" t="n">
        <f aca="false">IFERROR(AVERAGE(G94,G98),0)</f>
        <v>0</v>
      </c>
      <c r="I94" s="388"/>
      <c r="J94" s="327" t="str">
        <f aca="false">F94</f>
        <v/>
      </c>
      <c r="K94" s="340" t="n">
        <f aca="true">IFERROR(INDEX(INDIRECT("Ans" &amp; E94 &amp; "TBL"), MATCH(J94, INDEX(INDIRECT("Ans" &amp; E94 &amp; "TBL"), 0, 1), 0), 2), 0)</f>
        <v>0</v>
      </c>
      <c r="L94" s="359" t="n">
        <f aca="false">IFERROR(AVERAGE(K94,K98),0)</f>
        <v>0</v>
      </c>
      <c r="M94" s="388"/>
      <c r="N94" s="327" t="str">
        <f aca="false">J94</f>
        <v/>
      </c>
      <c r="O94" s="338" t="n">
        <f aca="true">IFERROR(INDEX(INDIRECT("Ans" &amp; E94 &amp; "TBL"), MATCH(N94, INDEX(INDIRECT("Ans" &amp; E94 &amp; "TBL"), 0, 1), 0), 2), 0)</f>
        <v>0</v>
      </c>
      <c r="P94" s="359" t="n">
        <f aca="false">IFERROR(AVERAGE(O94,O98),0)</f>
        <v>0</v>
      </c>
      <c r="Q94" s="388"/>
      <c r="R94" s="327" t="str">
        <f aca="false">N94</f>
        <v/>
      </c>
      <c r="S94" s="88" t="n">
        <f aca="true">IFERROR(INDEX(INDIRECT("Ans" &amp; E94 &amp; "TBL"), MATCH(R94, INDEX(INDIRECT("Ans" &amp; E94 &amp; "TBL"), 0, 1), 0), 2), 0)</f>
        <v>0</v>
      </c>
      <c r="T94" s="360" t="n">
        <f aca="false">IFERROR(AVERAGE(S94,S98),0)</f>
        <v>0</v>
      </c>
      <c r="U94" s="388"/>
      <c r="V94" s="327" t="str">
        <f aca="false">R94</f>
        <v/>
      </c>
      <c r="W94" s="340" t="n">
        <f aca="true">IFERROR(INDEX(INDIRECT("Ans" &amp; E94 &amp; "TBL"), MATCH(V94, INDEX(INDIRECT("Ans" &amp; E94 &amp; "TBL"), 0, 1), 0), 2), 0)</f>
        <v>0</v>
      </c>
      <c r="X94" s="359" t="n">
        <f aca="false">IFERROR(AVERAGE(W94,W98),0)</f>
        <v>0</v>
      </c>
      <c r="Y94" s="388"/>
      <c r="Z94" s="388"/>
    </row>
    <row r="95" customFormat="false" ht="12.75" hidden="false" customHeight="true" outlineLevel="0" collapsed="false">
      <c r="B95" s="297"/>
      <c r="C95" s="298"/>
      <c r="D95" s="76"/>
      <c r="E95" s="124"/>
      <c r="F95" s="76"/>
      <c r="G95" s="124"/>
      <c r="H95" s="124"/>
      <c r="I95" s="388"/>
      <c r="J95" s="76"/>
      <c r="K95" s="124"/>
      <c r="L95" s="124"/>
      <c r="M95" s="388"/>
      <c r="N95" s="76"/>
      <c r="O95" s="124"/>
      <c r="P95" s="124"/>
      <c r="Q95" s="388"/>
      <c r="R95" s="76"/>
      <c r="S95" s="124"/>
      <c r="T95" s="124"/>
      <c r="U95" s="388"/>
      <c r="V95" s="76"/>
      <c r="W95" s="124"/>
      <c r="X95" s="124"/>
      <c r="Y95" s="388"/>
      <c r="Z95" s="388"/>
    </row>
    <row r="96" customFormat="false" ht="27.75" hidden="false" customHeight="true" outlineLevel="0" collapsed="false">
      <c r="A96" s="19" t="str">
        <f aca="false">Interview!A139</f>
        <v>I-DM-B-1-1</v>
      </c>
      <c r="B96" s="383" t="str">
        <f aca="false">INDEX('imp-questions'!D:D, MATCH(A96, 'imp-questions'!A:A, 0))</f>
        <v>Metrics and Feedback</v>
      </c>
      <c r="C96" s="156" t="n">
        <f aca="false">INDEX('imp-questions'!E:E, MATCH(A96, 'imp-questions'!A:A, 0))</f>
        <v>1</v>
      </c>
      <c r="D96" s="281" t="str">
        <f aca="false">INDEX('imp-questions'!F:F, MATCH(A96, 'imp-questions'!A:A, 0))</f>
        <v>Do you use basic metrics about recorded security defects to carry out quick win improvement activities?</v>
      </c>
      <c r="E96" s="282" t="str">
        <f aca="false">CHAR(65+INDEX('imp-questions'!H:H, MATCH(A96, 'imp-questions'!A:A, 0)))</f>
        <v>A</v>
      </c>
      <c r="F96" s="286" t="str">
        <f aca="false">IF(ISBLANK(Interview!F139),"",Interview!F139)</f>
        <v/>
      </c>
      <c r="G96" s="335" t="n">
        <f aca="true">IFERROR(INDEX(INDIRECT("Ans" &amp; E96 &amp; "TBL"), MATCH(F96, INDEX(INDIRECT("Ans" &amp; E96 &amp; "TBL"), 0, 1), 0), 2), 0)</f>
        <v>0</v>
      </c>
      <c r="H96" s="334"/>
      <c r="I96" s="388"/>
      <c r="J96" s="327" t="str">
        <f aca="false">F96</f>
        <v/>
      </c>
      <c r="K96" s="335" t="n">
        <f aca="true">IFERROR(INDEX(INDIRECT("Ans" &amp; E96 &amp; "TBL"), MATCH(J96, INDEX(INDIRECT("Ans" &amp; E96 &amp; "TBL"), 0, 1), 0), 2), 0)</f>
        <v>0</v>
      </c>
      <c r="L96" s="334"/>
      <c r="M96" s="388"/>
      <c r="N96" s="327" t="str">
        <f aca="false">J96</f>
        <v/>
      </c>
      <c r="O96" s="333" t="n">
        <f aca="true">IFERROR(INDEX(INDIRECT("Ans" &amp; E96 &amp; "TBL"), MATCH(N96, INDEX(INDIRECT("Ans" &amp; E96 &amp; "TBL"), 0, 1), 0), 2), 0)</f>
        <v>0</v>
      </c>
      <c r="P96" s="334"/>
      <c r="Q96" s="388"/>
      <c r="R96" s="327" t="str">
        <f aca="false">N96</f>
        <v/>
      </c>
      <c r="S96" s="88" t="n">
        <f aca="true">IFERROR(INDEX(INDIRECT("Ans" &amp; E96 &amp; "TBL"), MATCH(R96, INDEX(INDIRECT("Ans" &amp; E96 &amp; "TBL"), 0, 1), 0), 2), 0)</f>
        <v>0</v>
      </c>
      <c r="T96" s="324"/>
      <c r="U96" s="388"/>
      <c r="V96" s="327" t="str">
        <f aca="false">R96</f>
        <v/>
      </c>
      <c r="W96" s="335" t="n">
        <f aca="true">IFERROR(INDEX(INDIRECT("Ans" &amp; E96 &amp; "TBL"), MATCH(V96, INDEX(INDIRECT("Ans" &amp; E96 &amp; "TBL"), 0, 1), 0), 2), 0)</f>
        <v>0</v>
      </c>
      <c r="X96" s="334"/>
      <c r="Y96" s="388"/>
      <c r="Z96" s="388"/>
    </row>
    <row r="97" customFormat="false" ht="27.75" hidden="false" customHeight="true" outlineLevel="0" collapsed="false">
      <c r="A97" s="19" t="str">
        <f aca="false">Interview!A141</f>
        <v>I-DM-B-2-1</v>
      </c>
      <c r="B97" s="383"/>
      <c r="C97" s="156" t="n">
        <f aca="false">INDEX('imp-questions'!E:E, MATCH(A97, 'imp-questions'!A:A, 0))</f>
        <v>2</v>
      </c>
      <c r="D97" s="281" t="str">
        <f aca="false">INDEX('imp-questions'!F:F, MATCH(A97, 'imp-questions'!A:A, 0))</f>
        <v>Do you improve your security assurance program upon standardized metrics?</v>
      </c>
      <c r="E97" s="282" t="str">
        <f aca="false">CHAR(65+INDEX('imp-questions'!H:H, MATCH(A97, 'imp-questions'!A:A, 0)))</f>
        <v>A</v>
      </c>
      <c r="F97" s="286" t="str">
        <f aca="false">IF(ISBLANK(Interview!F141),"",Interview!F141)</f>
        <v/>
      </c>
      <c r="G97" s="337" t="n">
        <f aca="true">IFERROR(INDEX(INDIRECT("Ans" &amp; E97 &amp; "TBL"), MATCH(F97, INDEX(INDIRECT("Ans" &amp; E97 &amp; "TBL"), 0, 1), 0), 2), 0)</f>
        <v>0</v>
      </c>
      <c r="H97" s="336"/>
      <c r="I97" s="388"/>
      <c r="J97" s="327" t="str">
        <f aca="false">F97</f>
        <v/>
      </c>
      <c r="K97" s="337" t="n">
        <f aca="true">IFERROR(INDEX(INDIRECT("Ans" &amp; E97 &amp; "TBL"), MATCH(J97, INDEX(INDIRECT("Ans" &amp; E97 &amp; "TBL"), 0, 1), 0), 2), 0)</f>
        <v>0</v>
      </c>
      <c r="L97" s="336"/>
      <c r="M97" s="388"/>
      <c r="N97" s="327" t="str">
        <f aca="false">J97</f>
        <v/>
      </c>
      <c r="O97" s="322" t="n">
        <f aca="true">IFERROR(INDEX(INDIRECT("Ans" &amp; E97 &amp; "TBL"), MATCH(N97, INDEX(INDIRECT("Ans" &amp; E97 &amp; "TBL"), 0, 1), 0), 2), 0)</f>
        <v>0</v>
      </c>
      <c r="P97" s="336"/>
      <c r="Q97" s="388"/>
      <c r="R97" s="327" t="str">
        <f aca="false">N97</f>
        <v/>
      </c>
      <c r="S97" s="88" t="n">
        <f aca="true">IFERROR(INDEX(INDIRECT("Ans" &amp; E97 &amp; "TBL"), MATCH(R97, INDEX(INDIRECT("Ans" &amp; E97 &amp; "TBL"), 0, 1), 0), 2), 0)</f>
        <v>0</v>
      </c>
      <c r="T97" s="306"/>
      <c r="U97" s="388"/>
      <c r="V97" s="327" t="str">
        <f aca="false">R97</f>
        <v/>
      </c>
      <c r="W97" s="337" t="n">
        <f aca="true">IFERROR(INDEX(INDIRECT("Ans" &amp; E97 &amp; "TBL"), MATCH(V97, INDEX(INDIRECT("Ans" &amp; E97 &amp; "TBL"), 0, 1), 0), 2), 0)</f>
        <v>0</v>
      </c>
      <c r="X97" s="336"/>
      <c r="Y97" s="388"/>
      <c r="Z97" s="388"/>
    </row>
    <row r="98" customFormat="false" ht="27.75" hidden="false" customHeight="true" outlineLevel="0" collapsed="false">
      <c r="A98" s="19" t="str">
        <f aca="false">Interview!A143</f>
        <v>I-DM-B-3-1</v>
      </c>
      <c r="B98" s="383"/>
      <c r="C98" s="156" t="n">
        <f aca="false">INDEX('imp-questions'!E:E, MATCH(A98, 'imp-questions'!A:A, 0))</f>
        <v>3</v>
      </c>
      <c r="D98" s="293" t="str">
        <f aca="false">INDEX('imp-questions'!F:F, MATCH(A98, 'imp-questions'!A:A, 0))</f>
        <v>Do you regularly evaluate the effectiveness of your security metrics so that its input helps drive your security strategy?</v>
      </c>
      <c r="E98" s="282" t="str">
        <f aca="false">CHAR(65+INDEX('imp-questions'!H:H, MATCH(A98, 'imp-questions'!A:A, 0)))</f>
        <v>A</v>
      </c>
      <c r="F98" s="286" t="str">
        <f aca="false">IF(ISBLANK(Interview!F143),"",Interview!F143)</f>
        <v/>
      </c>
      <c r="G98" s="340" t="n">
        <f aca="true">IFERROR(INDEX(INDIRECT("Ans" &amp; E98 &amp; "TBL"), MATCH(F98, INDEX(INDIRECT("Ans" &amp; E98 &amp; "TBL"), 0, 1), 0), 2), 0)</f>
        <v>0</v>
      </c>
      <c r="H98" s="339"/>
      <c r="I98" s="388"/>
      <c r="J98" s="327" t="str">
        <f aca="false">F98</f>
        <v/>
      </c>
      <c r="K98" s="340" t="n">
        <f aca="true">IFERROR(INDEX(INDIRECT("Ans" &amp; E98 &amp; "TBL"), MATCH(J98, INDEX(INDIRECT("Ans" &amp; E98 &amp; "TBL"), 0, 1), 0), 2), 0)</f>
        <v>0</v>
      </c>
      <c r="L98" s="339"/>
      <c r="M98" s="388"/>
      <c r="N98" s="327" t="str">
        <f aca="false">J98</f>
        <v/>
      </c>
      <c r="O98" s="338" t="n">
        <f aca="true">IFERROR(INDEX(INDIRECT("Ans" &amp; E98 &amp; "TBL"), MATCH(N98, INDEX(INDIRECT("Ans" &amp; E98 &amp; "TBL"), 0, 1), 0), 2), 0)</f>
        <v>0</v>
      </c>
      <c r="P98" s="339"/>
      <c r="Q98" s="388"/>
      <c r="R98" s="327" t="str">
        <f aca="false">N98</f>
        <v/>
      </c>
      <c r="S98" s="88" t="n">
        <f aca="true">IFERROR(INDEX(INDIRECT("Ans" &amp; E98 &amp; "TBL"), MATCH(R98, INDEX(INDIRECT("Ans" &amp; E98 &amp; "TBL"), 0, 1), 0), 2), 0)</f>
        <v>0</v>
      </c>
      <c r="T98" s="309"/>
      <c r="U98" s="388"/>
      <c r="V98" s="327" t="str">
        <f aca="false">R98</f>
        <v/>
      </c>
      <c r="W98" s="340" t="n">
        <f aca="true">IFERROR(INDEX(INDIRECT("Ans" &amp; E98 &amp; "TBL"), MATCH(V98, INDEX(INDIRECT("Ans" &amp; E98 &amp; "TBL"), 0, 1), 0), 2), 0)</f>
        <v>0</v>
      </c>
      <c r="X98" s="339"/>
      <c r="Y98" s="388"/>
      <c r="Z98" s="388"/>
    </row>
    <row r="99" customFormat="false" ht="12.75" hidden="false" customHeight="true" outlineLevel="0" collapsed="false">
      <c r="B99" s="297"/>
      <c r="C99" s="298"/>
      <c r="D99" s="76"/>
      <c r="E99" s="76"/>
      <c r="F99" s="76"/>
      <c r="G99" s="76"/>
      <c r="H99" s="76"/>
      <c r="I99" s="76"/>
      <c r="J99" s="76"/>
      <c r="K99" s="76"/>
      <c r="L99" s="76"/>
      <c r="M99" s="76"/>
      <c r="N99" s="76"/>
      <c r="O99" s="76"/>
      <c r="P99" s="76"/>
      <c r="Q99" s="76"/>
      <c r="R99" s="76"/>
      <c r="S99" s="76"/>
      <c r="T99" s="76"/>
      <c r="U99" s="76"/>
      <c r="V99" s="76"/>
      <c r="W99" s="76"/>
      <c r="X99" s="76"/>
      <c r="Y99" s="76"/>
      <c r="Z99" s="76"/>
    </row>
    <row r="100" customFormat="false" ht="21.75" hidden="false" customHeight="true" outlineLevel="0" collapsed="false">
      <c r="B100" s="389" t="s">
        <v>229</v>
      </c>
      <c r="C100" s="389"/>
      <c r="D100" s="389"/>
      <c r="E100" s="390"/>
      <c r="F100" s="391" t="s">
        <v>249</v>
      </c>
      <c r="G100" s="391"/>
      <c r="H100" s="391"/>
      <c r="I100" s="391"/>
      <c r="J100" s="392" t="s">
        <v>250</v>
      </c>
      <c r="K100" s="392"/>
      <c r="L100" s="392"/>
      <c r="M100" s="392"/>
      <c r="N100" s="392" t="s">
        <v>251</v>
      </c>
      <c r="O100" s="392"/>
      <c r="P100" s="392"/>
      <c r="Q100" s="392"/>
      <c r="R100" s="392" t="s">
        <v>252</v>
      </c>
      <c r="S100" s="392"/>
      <c r="T100" s="392"/>
      <c r="U100" s="392"/>
      <c r="V100" s="393" t="s">
        <v>253</v>
      </c>
      <c r="W100" s="393"/>
      <c r="X100" s="393"/>
      <c r="Y100" s="393"/>
      <c r="Z100" s="393"/>
    </row>
    <row r="101" customFormat="false" ht="15.75" hidden="false" customHeight="true" outlineLevel="0" collapsed="false">
      <c r="B101" s="394" t="s">
        <v>213</v>
      </c>
      <c r="C101" s="395" t="s">
        <v>214</v>
      </c>
      <c r="D101" s="396" t="s">
        <v>230</v>
      </c>
      <c r="E101" s="397"/>
      <c r="F101" s="395" t="s">
        <v>216</v>
      </c>
      <c r="G101" s="398"/>
      <c r="H101" s="399"/>
      <c r="I101" s="189" t="s">
        <v>218</v>
      </c>
      <c r="J101" s="395" t="s">
        <v>216</v>
      </c>
      <c r="K101" s="398"/>
      <c r="L101" s="399"/>
      <c r="M101" s="189" t="s">
        <v>218</v>
      </c>
      <c r="N101" s="395" t="s">
        <v>216</v>
      </c>
      <c r="O101" s="398"/>
      <c r="P101" s="399"/>
      <c r="Q101" s="189" t="s">
        <v>218</v>
      </c>
      <c r="R101" s="395" t="s">
        <v>216</v>
      </c>
      <c r="S101" s="398"/>
      <c r="T101" s="399"/>
      <c r="U101" s="189" t="s">
        <v>218</v>
      </c>
      <c r="V101" s="395" t="s">
        <v>216</v>
      </c>
      <c r="W101" s="398"/>
      <c r="X101" s="399"/>
      <c r="Y101" s="189" t="s">
        <v>218</v>
      </c>
      <c r="Z101" s="189" t="s">
        <v>254</v>
      </c>
    </row>
    <row r="102" customFormat="false" ht="27.75" hidden="false" customHeight="true" outlineLevel="0" collapsed="false">
      <c r="A102" s="19" t="str">
        <f aca="false">Interview!A147</f>
        <v>V-AA-A-1-1</v>
      </c>
      <c r="B102" s="400" t="str">
        <f aca="false">INDEX('imp-questions'!D:D, MATCH(A102, 'imp-questions'!A:A, 0))</f>
        <v>Architecture Validation</v>
      </c>
      <c r="C102" s="180" t="n">
        <f aca="false">INDEX('imp-questions'!E:E, MATCH(A102, 'imp-questions'!A:A, 0))</f>
        <v>1</v>
      </c>
      <c r="D102" s="281" t="str">
        <f aca="false">INDEX('imp-questions'!F:F, MATCH(A102, 'imp-questions'!A:A, 0))</f>
        <v>Do you review the application architecture for key security objectives on an ad-hoc basis?</v>
      </c>
      <c r="E102" s="282" t="str">
        <f aca="false">CHAR(65+INDEX('imp-questions'!H:H, MATCH(A102, 'imp-questions'!A:A, 0)))</f>
        <v>A</v>
      </c>
      <c r="F102" s="286" t="str">
        <f aca="false">IF(ISBLANK(Interview!F147),"",Interview!F147)</f>
        <v/>
      </c>
      <c r="G102" s="335" t="n">
        <f aca="true">IFERROR(INDEX(INDIRECT("Ans" &amp; E102 &amp; "TBL"), MATCH(F102, INDEX(INDIRECT("Ans" &amp; E102 &amp; "TBL"), 0, 1), 0), 2), 0)</f>
        <v>0</v>
      </c>
      <c r="H102" s="354" t="n">
        <f aca="false">IFERROR(AVERAGE(G102,G106),0)</f>
        <v>0</v>
      </c>
      <c r="I102" s="401" t="n">
        <f aca="false">SUM(H102:H104)</f>
        <v>0</v>
      </c>
      <c r="J102" s="117" t="str">
        <f aca="false">F102</f>
        <v/>
      </c>
      <c r="K102" s="335" t="n">
        <f aca="true">IFERROR(INDEX(INDIRECT("Ans" &amp; E102 &amp; "TBL"), MATCH(J102, INDEX(INDIRECT("Ans" &amp; E102 &amp; "TBL"), 0, 1), 0), 2), 0)</f>
        <v>0</v>
      </c>
      <c r="L102" s="354" t="n">
        <f aca="false">IFERROR(AVERAGE(K102,K106),0)</f>
        <v>0</v>
      </c>
      <c r="M102" s="401" t="n">
        <f aca="false">SUM(L102:L104)</f>
        <v>0</v>
      </c>
      <c r="N102" s="117" t="str">
        <f aca="false">J102</f>
        <v/>
      </c>
      <c r="O102" s="333" t="n">
        <f aca="true">IFERROR(INDEX(INDIRECT("Ans" &amp; E102 &amp; "TBL"), MATCH(N102, INDEX(INDIRECT("Ans" &amp; E102 &amp; "TBL"), 0, 1), 0), 2), 0)</f>
        <v>0</v>
      </c>
      <c r="P102" s="354" t="n">
        <f aca="false">IFERROR(AVERAGE(O102,O106),0)</f>
        <v>0</v>
      </c>
      <c r="Q102" s="401" t="n">
        <f aca="false">SUM(P102:P104)</f>
        <v>0</v>
      </c>
      <c r="R102" s="117" t="str">
        <f aca="false">N102</f>
        <v/>
      </c>
      <c r="S102" s="88" t="n">
        <f aca="true">IFERROR(INDEX(INDIRECT("Ans" &amp; E102 &amp; "TBL"), MATCH(R102, INDEX(INDIRECT("Ans" &amp; E102 &amp; "TBL"), 0, 1), 0), 2), 0)</f>
        <v>0</v>
      </c>
      <c r="T102" s="303" t="n">
        <f aca="false">IFERROR(AVERAGE(S102,S106),0)</f>
        <v>0</v>
      </c>
      <c r="U102" s="401" t="n">
        <f aca="false">SUM(T102:T104)</f>
        <v>0</v>
      </c>
      <c r="V102" s="117" t="str">
        <f aca="false">R102</f>
        <v/>
      </c>
      <c r="W102" s="335" t="n">
        <f aca="true">IFERROR(INDEX(INDIRECT("Ans" &amp; E102 &amp; "TBL"), MATCH(V102, INDEX(INDIRECT("Ans" &amp; E102 &amp; "TBL"), 0, 1), 0), 2), 0)</f>
        <v>0</v>
      </c>
      <c r="X102" s="354" t="n">
        <f aca="false">IFERROR(AVERAGE(W102,W106),0)</f>
        <v>0</v>
      </c>
      <c r="Y102" s="401" t="n">
        <f aca="false">SUM(X102:X104)</f>
        <v>0</v>
      </c>
      <c r="Z102" s="401" t="n">
        <f aca="false">SUM(Y102:Y104)</f>
        <v>0</v>
      </c>
    </row>
    <row r="103" customFormat="false" ht="27.75" hidden="false" customHeight="true" outlineLevel="0" collapsed="false">
      <c r="A103" s="19" t="str">
        <f aca="false">Interview!A149</f>
        <v>V-AA-A-2-1</v>
      </c>
      <c r="B103" s="400"/>
      <c r="C103" s="180" t="n">
        <f aca="false">INDEX('imp-questions'!E:E, MATCH(A103, 'imp-questions'!A:A, 0))</f>
        <v>2</v>
      </c>
      <c r="D103" s="281" t="str">
        <f aca="false">INDEX('imp-questions'!F:F, MATCH(A103, 'imp-questions'!A:A, 0))</f>
        <v>Do you regularly review the security mechanisms of your architecture?</v>
      </c>
      <c r="E103" s="282" t="str">
        <f aca="false">CHAR(65+INDEX('imp-questions'!H:H, MATCH(A103, 'imp-questions'!A:A, 0)))</f>
        <v>A</v>
      </c>
      <c r="F103" s="286" t="str">
        <f aca="false">IF(ISBLANK(Interview!F149),"",Interview!F149)</f>
        <v/>
      </c>
      <c r="G103" s="337" t="n">
        <f aca="true">IFERROR(INDEX(INDIRECT("Ans" &amp; E103 &amp; "TBL"), MATCH(F103, INDEX(INDIRECT("Ans" &amp; E103 &amp; "TBL"), 0, 1), 0), 2), 0)</f>
        <v>0</v>
      </c>
      <c r="H103" s="355" t="n">
        <f aca="false">IFERROR(AVERAGE(G103,G107),0)</f>
        <v>0</v>
      </c>
      <c r="I103" s="401"/>
      <c r="J103" s="117" t="str">
        <f aca="false">F103</f>
        <v/>
      </c>
      <c r="K103" s="337" t="n">
        <f aca="true">IFERROR(INDEX(INDIRECT("Ans" &amp; E103 &amp; "TBL"), MATCH(J103, INDEX(INDIRECT("Ans" &amp; E103 &amp; "TBL"), 0, 1), 0), 2), 0)</f>
        <v>0</v>
      </c>
      <c r="L103" s="355" t="n">
        <f aca="false">IFERROR(AVERAGE(K103,K107),0)</f>
        <v>0</v>
      </c>
      <c r="M103" s="401"/>
      <c r="N103" s="117" t="str">
        <f aca="false">J103</f>
        <v/>
      </c>
      <c r="O103" s="322" t="n">
        <f aca="true">IFERROR(INDEX(INDIRECT("Ans" &amp; E103 &amp; "TBL"), MATCH(N103, INDEX(INDIRECT("Ans" &amp; E103 &amp; "TBL"), 0, 1), 0), 2), 0)</f>
        <v>0</v>
      </c>
      <c r="P103" s="355" t="n">
        <f aca="false">IFERROR(AVERAGE(O103,O107),0)</f>
        <v>0</v>
      </c>
      <c r="Q103" s="401"/>
      <c r="R103" s="117" t="str">
        <f aca="false">N103</f>
        <v/>
      </c>
      <c r="S103" s="88" t="n">
        <f aca="true">IFERROR(INDEX(INDIRECT("Ans" &amp; E103 &amp; "TBL"), MATCH(R103, INDEX(INDIRECT("Ans" &amp; E103 &amp; "TBL"), 0, 1), 0), 2), 0)</f>
        <v>0</v>
      </c>
      <c r="T103" s="356" t="n">
        <f aca="false">IFERROR(AVERAGE(S103,S107),0)</f>
        <v>0</v>
      </c>
      <c r="U103" s="401"/>
      <c r="V103" s="117" t="str">
        <f aca="false">R103</f>
        <v/>
      </c>
      <c r="W103" s="337" t="n">
        <f aca="true">IFERROR(INDEX(INDIRECT("Ans" &amp; E103 &amp; "TBL"), MATCH(V103, INDEX(INDIRECT("Ans" &amp; E103 &amp; "TBL"), 0, 1), 0), 2), 0)</f>
        <v>0</v>
      </c>
      <c r="X103" s="355" t="n">
        <f aca="false">IFERROR(AVERAGE(W103,W107),0)</f>
        <v>0</v>
      </c>
      <c r="Y103" s="401"/>
      <c r="Z103" s="401"/>
    </row>
    <row r="104" customFormat="false" ht="27.75" hidden="false" customHeight="true" outlineLevel="0" collapsed="false">
      <c r="A104" s="19" t="str">
        <f aca="false">Interview!A151</f>
        <v>V-AA-A-3-1</v>
      </c>
      <c r="B104" s="400"/>
      <c r="C104" s="180" t="n">
        <f aca="false">INDEX('imp-questions'!E:E, MATCH(A104, 'imp-questions'!A:A, 0))</f>
        <v>3</v>
      </c>
      <c r="D104" s="293" t="str">
        <f aca="false">INDEX('imp-questions'!F:F, MATCH(A104, 'imp-questions'!A:A, 0))</f>
        <v>Do you regularly review the effectiveness of the security controls?</v>
      </c>
      <c r="E104" s="282" t="str">
        <f aca="false">CHAR(65+INDEX('imp-questions'!H:H, MATCH(A104, 'imp-questions'!A:A, 0)))</f>
        <v>A</v>
      </c>
      <c r="F104" s="286" t="str">
        <f aca="false">IF(ISBLANK(Interview!F151),"",Interview!F151)</f>
        <v/>
      </c>
      <c r="G104" s="340" t="n">
        <f aca="true">IFERROR(INDEX(INDIRECT("Ans" &amp; E104 &amp; "TBL"), MATCH(F104, INDEX(INDIRECT("Ans" &amp; E104 &amp; "TBL"), 0, 1), 0), 2), 0)</f>
        <v>0</v>
      </c>
      <c r="H104" s="359" t="n">
        <f aca="false">IFERROR(AVERAGE(G104,G108),0)</f>
        <v>0</v>
      </c>
      <c r="I104" s="401"/>
      <c r="J104" s="117" t="str">
        <f aca="false">F104</f>
        <v/>
      </c>
      <c r="K104" s="340" t="n">
        <f aca="true">IFERROR(INDEX(INDIRECT("Ans" &amp; E104 &amp; "TBL"), MATCH(J104, INDEX(INDIRECT("Ans" &amp; E104 &amp; "TBL"), 0, 1), 0), 2), 0)</f>
        <v>0</v>
      </c>
      <c r="L104" s="359" t="n">
        <f aca="false">IFERROR(AVERAGE(K104,K108),0)</f>
        <v>0</v>
      </c>
      <c r="M104" s="401"/>
      <c r="N104" s="117" t="str">
        <f aca="false">J104</f>
        <v/>
      </c>
      <c r="O104" s="338" t="n">
        <f aca="true">IFERROR(INDEX(INDIRECT("Ans" &amp; E104 &amp; "TBL"), MATCH(N104, INDEX(INDIRECT("Ans" &amp; E104 &amp; "TBL"), 0, 1), 0), 2), 0)</f>
        <v>0</v>
      </c>
      <c r="P104" s="359" t="n">
        <f aca="false">IFERROR(AVERAGE(O104,O108),0)</f>
        <v>0</v>
      </c>
      <c r="Q104" s="401"/>
      <c r="R104" s="117" t="str">
        <f aca="false">N104</f>
        <v/>
      </c>
      <c r="S104" s="88" t="n">
        <f aca="true">IFERROR(INDEX(INDIRECT("Ans" &amp; E104 &amp; "TBL"), MATCH(R104, INDEX(INDIRECT("Ans" &amp; E104 &amp; "TBL"), 0, 1), 0), 2), 0)</f>
        <v>0</v>
      </c>
      <c r="T104" s="360" t="n">
        <f aca="false">IFERROR(AVERAGE(S104,S108),0)</f>
        <v>0</v>
      </c>
      <c r="U104" s="401"/>
      <c r="V104" s="117" t="str">
        <f aca="false">R104</f>
        <v/>
      </c>
      <c r="W104" s="340" t="n">
        <f aca="true">IFERROR(INDEX(INDIRECT("Ans" &amp; E104 &amp; "TBL"), MATCH(V104, INDEX(INDIRECT("Ans" &amp; E104 &amp; "TBL"), 0, 1), 0), 2), 0)</f>
        <v>0</v>
      </c>
      <c r="X104" s="359" t="n">
        <f aca="false">IFERROR(AVERAGE(W104,W108),0)</f>
        <v>0</v>
      </c>
      <c r="Y104" s="401"/>
      <c r="Z104" s="401"/>
    </row>
    <row r="105" customFormat="false" ht="12.75" hidden="false" customHeight="true" outlineLevel="0" collapsed="false">
      <c r="B105" s="297"/>
      <c r="C105" s="298"/>
      <c r="D105" s="76"/>
      <c r="E105" s="124"/>
      <c r="F105" s="124"/>
      <c r="G105" s="124"/>
      <c r="H105" s="124"/>
      <c r="I105" s="401"/>
      <c r="J105" s="76"/>
      <c r="K105" s="124"/>
      <c r="L105" s="124"/>
      <c r="M105" s="401"/>
      <c r="N105" s="76"/>
      <c r="O105" s="124"/>
      <c r="P105" s="124"/>
      <c r="Q105" s="401"/>
      <c r="R105" s="76"/>
      <c r="S105" s="124"/>
      <c r="T105" s="124"/>
      <c r="U105" s="401"/>
      <c r="V105" s="76"/>
      <c r="W105" s="124"/>
      <c r="X105" s="124"/>
      <c r="Y105" s="401"/>
      <c r="Z105" s="401"/>
    </row>
    <row r="106" customFormat="false" ht="27.75" hidden="false" customHeight="true" outlineLevel="0" collapsed="false">
      <c r="A106" s="19" t="str">
        <f aca="false">Interview!A154</f>
        <v>V-AA-B-1-1</v>
      </c>
      <c r="B106" s="400" t="str">
        <f aca="false">INDEX('imp-questions'!D:D, MATCH(A106, 'imp-questions'!A:A, 0))</f>
        <v>Architecture Mitigation</v>
      </c>
      <c r="C106" s="180" t="n">
        <f aca="false">INDEX('imp-questions'!E:E, MATCH(A106, 'imp-questions'!A:A, 0))</f>
        <v>1</v>
      </c>
      <c r="D106" s="281" t="str">
        <f aca="false">INDEX('imp-questions'!F:F, MATCH(A106, 'imp-questions'!A:A, 0))</f>
        <v>Do you review the application architecture for mitigations of typical threats on an ad-hoc basis?</v>
      </c>
      <c r="E106" s="282" t="str">
        <f aca="false">CHAR(65+INDEX('imp-questions'!H:H, MATCH(A106, 'imp-questions'!A:A, 0)))</f>
        <v>A</v>
      </c>
      <c r="F106" s="286" t="str">
        <f aca="false">IF(ISBLANK(Interview!F154),"",Interview!F154)</f>
        <v/>
      </c>
      <c r="G106" s="370" t="n">
        <f aca="true">IFERROR(INDEX(INDIRECT("Ans" &amp; E106 &amp; "TBL"), MATCH(F106, INDEX(INDIRECT("Ans" &amp; E106 &amp; "TBL"), 0, 1), 0), 2), 0)</f>
        <v>0</v>
      </c>
      <c r="H106" s="334"/>
      <c r="I106" s="401"/>
      <c r="J106" s="117" t="str">
        <f aca="false">F106</f>
        <v/>
      </c>
      <c r="K106" s="335" t="n">
        <f aca="true">IFERROR(INDEX(INDIRECT("Ans" &amp; E106 &amp; "TBL"), MATCH(J106, INDEX(INDIRECT("Ans" &amp; E106 &amp; "TBL"), 0, 1), 0), 2), 0)</f>
        <v>0</v>
      </c>
      <c r="L106" s="334"/>
      <c r="M106" s="401"/>
      <c r="N106" s="117" t="str">
        <f aca="false">J106</f>
        <v/>
      </c>
      <c r="O106" s="333" t="n">
        <f aca="true">IFERROR(INDEX(INDIRECT("Ans" &amp; E106 &amp; "TBL"), MATCH(N106, INDEX(INDIRECT("Ans" &amp; E106 &amp; "TBL"), 0, 1), 0), 2), 0)</f>
        <v>0</v>
      </c>
      <c r="P106" s="334"/>
      <c r="Q106" s="401"/>
      <c r="R106" s="117" t="str">
        <f aca="false">N106</f>
        <v/>
      </c>
      <c r="S106" s="88" t="n">
        <f aca="true">IFERROR(INDEX(INDIRECT("Ans" &amp; E106 &amp; "TBL"), MATCH(R106, INDEX(INDIRECT("Ans" &amp; E106 &amp; "TBL"), 0, 1), 0), 2), 0)</f>
        <v>0</v>
      </c>
      <c r="T106" s="324"/>
      <c r="U106" s="401"/>
      <c r="V106" s="117" t="str">
        <f aca="false">R106</f>
        <v/>
      </c>
      <c r="W106" s="335" t="n">
        <f aca="true">IFERROR(INDEX(INDIRECT("Ans" &amp; E106 &amp; "TBL"), MATCH(V106, INDEX(INDIRECT("Ans" &amp; E106 &amp; "TBL"), 0, 1), 0), 2), 0)</f>
        <v>0</v>
      </c>
      <c r="X106" s="334"/>
      <c r="Y106" s="401"/>
      <c r="Z106" s="401"/>
    </row>
    <row r="107" customFormat="false" ht="27.75" hidden="false" customHeight="true" outlineLevel="0" collapsed="false">
      <c r="A107" s="19" t="str">
        <f aca="false">Interview!A156</f>
        <v>V-AA-B-2-1</v>
      </c>
      <c r="B107" s="400"/>
      <c r="C107" s="180" t="n">
        <f aca="false">INDEX('imp-questions'!E:E, MATCH(A107, 'imp-questions'!A:A, 0))</f>
        <v>2</v>
      </c>
      <c r="D107" s="281" t="str">
        <f aca="false">INDEX('imp-questions'!F:F, MATCH(A107, 'imp-questions'!A:A, 0))</f>
        <v>Do you regularly evaluate the threats to your architecture?</v>
      </c>
      <c r="E107" s="282" t="str">
        <f aca="false">CHAR(65+INDEX('imp-questions'!H:H, MATCH(A107, 'imp-questions'!A:A, 0)))</f>
        <v>A</v>
      </c>
      <c r="F107" s="286" t="str">
        <f aca="false">IF(ISBLANK(Interview!F156),"",Interview!F156)</f>
        <v/>
      </c>
      <c r="G107" s="371" t="n">
        <f aca="true">IFERROR(INDEX(INDIRECT("Ans" &amp; E107 &amp; "TBL"), MATCH(F107, INDEX(INDIRECT("Ans" &amp; E107 &amp; "TBL"), 0, 1), 0), 2), 0)</f>
        <v>0</v>
      </c>
      <c r="H107" s="336"/>
      <c r="I107" s="401"/>
      <c r="J107" s="117" t="str">
        <f aca="false">F107</f>
        <v/>
      </c>
      <c r="K107" s="337" t="n">
        <f aca="true">IFERROR(INDEX(INDIRECT("Ans" &amp; E107 &amp; "TBL"), MATCH(J107, INDEX(INDIRECT("Ans" &amp; E107 &amp; "TBL"), 0, 1), 0), 2), 0)</f>
        <v>0</v>
      </c>
      <c r="L107" s="336"/>
      <c r="M107" s="401"/>
      <c r="N107" s="117" t="str">
        <f aca="false">J107</f>
        <v/>
      </c>
      <c r="O107" s="322" t="n">
        <f aca="true">IFERROR(INDEX(INDIRECT("Ans" &amp; E107 &amp; "TBL"), MATCH(N107, INDEX(INDIRECT("Ans" &amp; E107 &amp; "TBL"), 0, 1), 0), 2), 0)</f>
        <v>0</v>
      </c>
      <c r="P107" s="336"/>
      <c r="Q107" s="401"/>
      <c r="R107" s="117" t="str">
        <f aca="false">N107</f>
        <v/>
      </c>
      <c r="S107" s="88" t="n">
        <f aca="true">IFERROR(INDEX(INDIRECT("Ans" &amp; E107 &amp; "TBL"), MATCH(R107, INDEX(INDIRECT("Ans" &amp; E107 &amp; "TBL"), 0, 1), 0), 2), 0)</f>
        <v>0</v>
      </c>
      <c r="T107" s="306"/>
      <c r="U107" s="401"/>
      <c r="V107" s="117" t="str">
        <f aca="false">R107</f>
        <v/>
      </c>
      <c r="W107" s="337" t="n">
        <f aca="true">IFERROR(INDEX(INDIRECT("Ans" &amp; E107 &amp; "TBL"), MATCH(V107, INDEX(INDIRECT("Ans" &amp; E107 &amp; "TBL"), 0, 1), 0), 2), 0)</f>
        <v>0</v>
      </c>
      <c r="X107" s="336"/>
      <c r="Y107" s="401"/>
      <c r="Z107" s="401"/>
    </row>
    <row r="108" customFormat="false" ht="27.75" hidden="false" customHeight="true" outlineLevel="0" collapsed="false">
      <c r="A108" s="19" t="str">
        <f aca="false">Interview!A158</f>
        <v>V-AA-B-3-1</v>
      </c>
      <c r="B108" s="400"/>
      <c r="C108" s="180" t="n">
        <f aca="false">INDEX('imp-questions'!E:E, MATCH(A108, 'imp-questions'!A:A, 0))</f>
        <v>3</v>
      </c>
      <c r="D108" s="293" t="str">
        <f aca="false">INDEX('imp-questions'!F:F, MATCH(A108, 'imp-questions'!A:A, 0))</f>
        <v>Do you regularly update your reference architectures based on architecture assessment findings?</v>
      </c>
      <c r="E108" s="282" t="str">
        <f aca="false">CHAR(65+INDEX('imp-questions'!H:H, MATCH(A108, 'imp-questions'!A:A, 0)))</f>
        <v>A</v>
      </c>
      <c r="F108" s="286" t="str">
        <f aca="false">IF(ISBLANK(Interview!F158),"",Interview!F158)</f>
        <v/>
      </c>
      <c r="G108" s="372" t="n">
        <f aca="true">IFERROR(INDEX(INDIRECT("Ans" &amp; E108 &amp; "TBL"), MATCH(F108, INDEX(INDIRECT("Ans" &amp; E108 &amp; "TBL"), 0, 1), 0), 2), 0)</f>
        <v>0</v>
      </c>
      <c r="H108" s="339"/>
      <c r="I108" s="401"/>
      <c r="J108" s="117" t="str">
        <f aca="false">F108</f>
        <v/>
      </c>
      <c r="K108" s="340" t="n">
        <f aca="true">IFERROR(INDEX(INDIRECT("Ans" &amp; E108 &amp; "TBL"), MATCH(J108, INDEX(INDIRECT("Ans" &amp; E108 &amp; "TBL"), 0, 1), 0), 2), 0)</f>
        <v>0</v>
      </c>
      <c r="L108" s="339"/>
      <c r="M108" s="401"/>
      <c r="N108" s="117" t="str">
        <f aca="false">J108</f>
        <v/>
      </c>
      <c r="O108" s="338" t="n">
        <f aca="true">IFERROR(INDEX(INDIRECT("Ans" &amp; E108 &amp; "TBL"), MATCH(N108, INDEX(INDIRECT("Ans" &amp; E108 &amp; "TBL"), 0, 1), 0), 2), 0)</f>
        <v>0</v>
      </c>
      <c r="P108" s="339"/>
      <c r="Q108" s="401"/>
      <c r="R108" s="117" t="str">
        <f aca="false">N108</f>
        <v/>
      </c>
      <c r="S108" s="88" t="n">
        <f aca="true">IFERROR(INDEX(INDIRECT("Ans" &amp; E108 &amp; "TBL"), MATCH(R108, INDEX(INDIRECT("Ans" &amp; E108 &amp; "TBL"), 0, 1), 0), 2), 0)</f>
        <v>0</v>
      </c>
      <c r="T108" s="309"/>
      <c r="U108" s="401"/>
      <c r="V108" s="117" t="str">
        <f aca="false">R108</f>
        <v/>
      </c>
      <c r="W108" s="340" t="n">
        <f aca="true">IFERROR(INDEX(INDIRECT("Ans" &amp; E108 &amp; "TBL"), MATCH(V108, INDEX(INDIRECT("Ans" &amp; E108 &amp; "TBL"), 0, 1), 0), 2), 0)</f>
        <v>0</v>
      </c>
      <c r="X108" s="339"/>
      <c r="Y108" s="401"/>
      <c r="Z108" s="401"/>
    </row>
    <row r="109" customFormat="false" ht="12.75" hidden="false" customHeight="true" outlineLevel="0" collapsed="false">
      <c r="B109" s="297"/>
      <c r="C109" s="298"/>
      <c r="D109" s="76"/>
      <c r="E109" s="76"/>
      <c r="F109" s="76"/>
      <c r="G109" s="76"/>
      <c r="H109" s="76"/>
      <c r="I109" s="76"/>
      <c r="J109" s="76"/>
      <c r="K109" s="76"/>
      <c r="L109" s="76"/>
      <c r="M109" s="76"/>
      <c r="N109" s="76"/>
      <c r="O109" s="76"/>
      <c r="P109" s="76"/>
      <c r="Q109" s="76"/>
      <c r="R109" s="76"/>
      <c r="S109" s="76"/>
      <c r="T109" s="76"/>
      <c r="U109" s="76"/>
      <c r="V109" s="76"/>
      <c r="W109" s="76"/>
      <c r="X109" s="76"/>
      <c r="Y109" s="76"/>
      <c r="Z109" s="76"/>
    </row>
    <row r="110" customFormat="false" ht="15.75" hidden="false" customHeight="true" outlineLevel="0" collapsed="false">
      <c r="B110" s="394" t="s">
        <v>213</v>
      </c>
      <c r="C110" s="395" t="s">
        <v>214</v>
      </c>
      <c r="D110" s="402" t="s">
        <v>231</v>
      </c>
      <c r="E110" s="403"/>
      <c r="F110" s="175" t="s">
        <v>216</v>
      </c>
      <c r="G110" s="404"/>
      <c r="H110" s="405"/>
      <c r="I110" s="189" t="s">
        <v>218</v>
      </c>
      <c r="J110" s="175" t="s">
        <v>216</v>
      </c>
      <c r="K110" s="404"/>
      <c r="L110" s="405"/>
      <c r="M110" s="189" t="s">
        <v>218</v>
      </c>
      <c r="N110" s="175" t="s">
        <v>216</v>
      </c>
      <c r="O110" s="404"/>
      <c r="P110" s="405"/>
      <c r="Q110" s="189" t="s">
        <v>218</v>
      </c>
      <c r="R110" s="175" t="s">
        <v>216</v>
      </c>
      <c r="S110" s="404"/>
      <c r="T110" s="405"/>
      <c r="U110" s="189" t="s">
        <v>218</v>
      </c>
      <c r="V110" s="175" t="s">
        <v>216</v>
      </c>
      <c r="W110" s="404"/>
      <c r="X110" s="405"/>
      <c r="Y110" s="189" t="s">
        <v>218</v>
      </c>
      <c r="Z110" s="189" t="s">
        <v>254</v>
      </c>
    </row>
    <row r="111" customFormat="false" ht="27.75" hidden="false" customHeight="true" outlineLevel="0" collapsed="false">
      <c r="A111" s="19" t="str">
        <f aca="false">Interview!A161</f>
        <v>V-RT-A-1-1</v>
      </c>
      <c r="B111" s="400" t="str">
        <f aca="false">INDEX('imp-questions'!D:D, MATCH(A111, 'imp-questions'!A:A, 0))</f>
        <v>Control Verification</v>
      </c>
      <c r="C111" s="180" t="n">
        <f aca="false">INDEX('imp-questions'!E:E, MATCH(A111, 'imp-questions'!A:A, 0))</f>
        <v>1</v>
      </c>
      <c r="D111" s="281" t="str">
        <f aca="false">INDEX('imp-questions'!F:F, MATCH(A111, 'imp-questions'!A:A, 0))</f>
        <v>Do you test applications for the correct functioning of standard security controls?</v>
      </c>
      <c r="E111" s="282" t="str">
        <f aca="false">CHAR(65+INDEX('imp-questions'!H:H, MATCH(A111, 'imp-questions'!A:A, 0)))</f>
        <v>B</v>
      </c>
      <c r="F111" s="286" t="str">
        <f aca="false">IF(ISBLANK(Interview!F161),"",Interview!F161)</f>
        <v/>
      </c>
      <c r="G111" s="335" t="n">
        <f aca="true">IFERROR(INDEX(INDIRECT("Ans" &amp; E111 &amp; "TBL"), MATCH(F111, INDEX(INDIRECT("Ans" &amp; E111 &amp; "TBL"), 0, 1), 0), 2), 0)</f>
        <v>0</v>
      </c>
      <c r="H111" s="354" t="n">
        <f aca="false">IFERROR(AVERAGE(G111,G115),0)</f>
        <v>0</v>
      </c>
      <c r="I111" s="401" t="n">
        <f aca="false">SUM(H111:H113)</f>
        <v>0</v>
      </c>
      <c r="J111" s="117" t="str">
        <f aca="false">F111</f>
        <v/>
      </c>
      <c r="K111" s="335" t="n">
        <f aca="true">IFERROR(INDEX(INDIRECT("Ans" &amp; E111 &amp; "TBL"), MATCH(J111, INDEX(INDIRECT("Ans" &amp; E111 &amp; "TBL"), 0, 1), 0), 2), 0)</f>
        <v>0</v>
      </c>
      <c r="L111" s="354" t="n">
        <f aca="false">IFERROR(AVERAGE(K111,K115),0)</f>
        <v>0</v>
      </c>
      <c r="M111" s="401" t="n">
        <f aca="false">SUM(L111:L113)</f>
        <v>0</v>
      </c>
      <c r="N111" s="117" t="str">
        <f aca="false">J111</f>
        <v/>
      </c>
      <c r="O111" s="333" t="n">
        <f aca="true">IFERROR(INDEX(INDIRECT("Ans" &amp; E111 &amp; "TBL"), MATCH(N111, INDEX(INDIRECT("Ans" &amp; E111 &amp; "TBL"), 0, 1), 0), 2), 0)</f>
        <v>0</v>
      </c>
      <c r="P111" s="354" t="n">
        <f aca="false">IFERROR(AVERAGE(O111,O115),0)</f>
        <v>0</v>
      </c>
      <c r="Q111" s="401" t="n">
        <f aca="false">SUM(P111:P113)</f>
        <v>0</v>
      </c>
      <c r="R111" s="117" t="str">
        <f aca="false">N111</f>
        <v/>
      </c>
      <c r="S111" s="88" t="n">
        <f aca="true">IFERROR(INDEX(INDIRECT("Ans" &amp; E111 &amp; "TBL"), MATCH(R111, INDEX(INDIRECT("Ans" &amp; E111 &amp; "TBL"), 0, 1), 0), 2), 0)</f>
        <v>0</v>
      </c>
      <c r="T111" s="303" t="n">
        <f aca="false">IFERROR(AVERAGE(S111,S115),0)</f>
        <v>0</v>
      </c>
      <c r="U111" s="401" t="n">
        <f aca="false">SUM(T111:T113)</f>
        <v>0</v>
      </c>
      <c r="V111" s="117" t="str">
        <f aca="false">R111</f>
        <v/>
      </c>
      <c r="W111" s="335" t="n">
        <f aca="true">IFERROR(INDEX(INDIRECT("Ans" &amp; E111 &amp; "TBL"), MATCH(V111, INDEX(INDIRECT("Ans" &amp; E111 &amp; "TBL"), 0, 1), 0), 2), 0)</f>
        <v>0</v>
      </c>
      <c r="X111" s="354" t="n">
        <f aca="false">IFERROR(AVERAGE(W111,W115),0)</f>
        <v>0</v>
      </c>
      <c r="Y111" s="401" t="n">
        <f aca="false">SUM(X111:X113)</f>
        <v>0</v>
      </c>
      <c r="Z111" s="401" t="n">
        <f aca="false">SUM(Y111:Y113)</f>
        <v>0</v>
      </c>
    </row>
    <row r="112" customFormat="false" ht="27.75" hidden="false" customHeight="true" outlineLevel="0" collapsed="false">
      <c r="A112" s="19" t="str">
        <f aca="false">Interview!A163</f>
        <v>V-RT-A-2-1</v>
      </c>
      <c r="B112" s="400"/>
      <c r="C112" s="180" t="n">
        <f aca="false">INDEX('imp-questions'!E:E, MATCH(A112, 'imp-questions'!A:A, 0))</f>
        <v>2</v>
      </c>
      <c r="D112" s="281" t="str">
        <f aca="false">INDEX('imp-questions'!F:F, MATCH(A112, 'imp-questions'!A:A, 0))</f>
        <v>Do you consistently write and execute test scripts to verify the functionality of security requirements?</v>
      </c>
      <c r="E112" s="282" t="str">
        <f aca="false">CHAR(65+INDEX('imp-questions'!H:H, MATCH(A112, 'imp-questions'!A:A, 0)))</f>
        <v>B</v>
      </c>
      <c r="F112" s="286" t="str">
        <f aca="false">IF(ISBLANK(Interview!F163),"",Interview!F163)</f>
        <v/>
      </c>
      <c r="G112" s="337" t="n">
        <f aca="true">IFERROR(INDEX(INDIRECT("Ans" &amp; E112 &amp; "TBL"), MATCH(F112, INDEX(INDIRECT("Ans" &amp; E112 &amp; "TBL"), 0, 1), 0), 2), 0)</f>
        <v>0</v>
      </c>
      <c r="H112" s="355" t="n">
        <f aca="false">IFERROR(AVERAGE(G112,G116),0)</f>
        <v>0</v>
      </c>
      <c r="I112" s="401"/>
      <c r="J112" s="117" t="str">
        <f aca="false">F112</f>
        <v/>
      </c>
      <c r="K112" s="337" t="n">
        <f aca="true">IFERROR(INDEX(INDIRECT("Ans" &amp; E112 &amp; "TBL"), MATCH(J112, INDEX(INDIRECT("Ans" &amp; E112 &amp; "TBL"), 0, 1), 0), 2), 0)</f>
        <v>0</v>
      </c>
      <c r="L112" s="355" t="n">
        <f aca="false">IFERROR(AVERAGE(K112,K116),0)</f>
        <v>0</v>
      </c>
      <c r="M112" s="401"/>
      <c r="N112" s="117" t="str">
        <f aca="false">J112</f>
        <v/>
      </c>
      <c r="O112" s="322" t="n">
        <f aca="true">IFERROR(INDEX(INDIRECT("Ans" &amp; E112 &amp; "TBL"), MATCH(N112, INDEX(INDIRECT("Ans" &amp; E112 &amp; "TBL"), 0, 1), 0), 2), 0)</f>
        <v>0</v>
      </c>
      <c r="P112" s="355" t="n">
        <f aca="false">IFERROR(AVERAGE(O112,O116),0)</f>
        <v>0</v>
      </c>
      <c r="Q112" s="401"/>
      <c r="R112" s="117" t="str">
        <f aca="false">N112</f>
        <v/>
      </c>
      <c r="S112" s="88" t="n">
        <f aca="true">IFERROR(INDEX(INDIRECT("Ans" &amp; E112 &amp; "TBL"), MATCH(R112, INDEX(INDIRECT("Ans" &amp; E112 &amp; "TBL"), 0, 1), 0), 2), 0)</f>
        <v>0</v>
      </c>
      <c r="T112" s="356" t="n">
        <f aca="false">IFERROR(AVERAGE(S112,S116),0)</f>
        <v>0</v>
      </c>
      <c r="U112" s="401"/>
      <c r="V112" s="117" t="str">
        <f aca="false">R112</f>
        <v/>
      </c>
      <c r="W112" s="337" t="n">
        <f aca="true">IFERROR(INDEX(INDIRECT("Ans" &amp; E112 &amp; "TBL"), MATCH(V112, INDEX(INDIRECT("Ans" &amp; E112 &amp; "TBL"), 0, 1), 0), 2), 0)</f>
        <v>0</v>
      </c>
      <c r="X112" s="355" t="n">
        <f aca="false">IFERROR(AVERAGE(W112,W116),0)</f>
        <v>0</v>
      </c>
      <c r="Y112" s="401"/>
      <c r="Z112" s="401"/>
    </row>
    <row r="113" customFormat="false" ht="27.75" hidden="false" customHeight="true" outlineLevel="0" collapsed="false">
      <c r="A113" s="19" t="str">
        <f aca="false">Interview!A165</f>
        <v>V-RT-A-3-1</v>
      </c>
      <c r="B113" s="400"/>
      <c r="C113" s="180" t="n">
        <f aca="false">INDEX('imp-questions'!E:E, MATCH(A113, 'imp-questions'!A:A, 0))</f>
        <v>3</v>
      </c>
      <c r="D113" s="293" t="str">
        <f aca="false">INDEX('imp-questions'!F:F, MATCH(A113, 'imp-questions'!A:A, 0))</f>
        <v>Do you automatically test applications for security regressions?</v>
      </c>
      <c r="E113" s="282" t="str">
        <f aca="false">CHAR(65+INDEX('imp-questions'!H:H, MATCH(A113, 'imp-questions'!A:A, 0)))</f>
        <v>A</v>
      </c>
      <c r="F113" s="286" t="str">
        <f aca="false">IF(ISBLANK(Interview!F165),"",Interview!F165)</f>
        <v/>
      </c>
      <c r="G113" s="340" t="n">
        <f aca="true">IFERROR(INDEX(INDIRECT("Ans" &amp; E113 &amp; "TBL"), MATCH(F113, INDEX(INDIRECT("Ans" &amp; E113 &amp; "TBL"), 0, 1), 0), 2), 0)</f>
        <v>0</v>
      </c>
      <c r="H113" s="359" t="n">
        <f aca="false">IFERROR(AVERAGE(G113,G117),0)</f>
        <v>0</v>
      </c>
      <c r="I113" s="401"/>
      <c r="J113" s="117" t="str">
        <f aca="false">F113</f>
        <v/>
      </c>
      <c r="K113" s="340" t="n">
        <f aca="true">IFERROR(INDEX(INDIRECT("Ans" &amp; E113 &amp; "TBL"), MATCH(J113, INDEX(INDIRECT("Ans" &amp; E113 &amp; "TBL"), 0, 1), 0), 2), 0)</f>
        <v>0</v>
      </c>
      <c r="L113" s="359" t="n">
        <f aca="false">IFERROR(AVERAGE(K113,K117),0)</f>
        <v>0</v>
      </c>
      <c r="M113" s="401"/>
      <c r="N113" s="117" t="str">
        <f aca="false">J113</f>
        <v/>
      </c>
      <c r="O113" s="338" t="n">
        <f aca="true">IFERROR(INDEX(INDIRECT("Ans" &amp; E113 &amp; "TBL"), MATCH(N113, INDEX(INDIRECT("Ans" &amp; E113 &amp; "TBL"), 0, 1), 0), 2), 0)</f>
        <v>0</v>
      </c>
      <c r="P113" s="359" t="n">
        <f aca="false">IFERROR(AVERAGE(O113,O117),0)</f>
        <v>0</v>
      </c>
      <c r="Q113" s="401"/>
      <c r="R113" s="117" t="str">
        <f aca="false">N113</f>
        <v/>
      </c>
      <c r="S113" s="88" t="n">
        <f aca="true">IFERROR(INDEX(INDIRECT("Ans" &amp; E113 &amp; "TBL"), MATCH(R113, INDEX(INDIRECT("Ans" &amp; E113 &amp; "TBL"), 0, 1), 0), 2), 0)</f>
        <v>0</v>
      </c>
      <c r="T113" s="360" t="n">
        <f aca="false">IFERROR(AVERAGE(S113,S117),0)</f>
        <v>0</v>
      </c>
      <c r="U113" s="401"/>
      <c r="V113" s="117" t="str">
        <f aca="false">R113</f>
        <v/>
      </c>
      <c r="W113" s="340" t="n">
        <f aca="true">IFERROR(INDEX(INDIRECT("Ans" &amp; E113 &amp; "TBL"), MATCH(V113, INDEX(INDIRECT("Ans" &amp; E113 &amp; "TBL"), 0, 1), 0), 2), 0)</f>
        <v>0</v>
      </c>
      <c r="X113" s="359" t="n">
        <f aca="false">IFERROR(AVERAGE(W113,W117),0)</f>
        <v>0</v>
      </c>
      <c r="Y113" s="401"/>
      <c r="Z113" s="401"/>
    </row>
    <row r="114" customFormat="false" ht="12.75" hidden="false" customHeight="true" outlineLevel="0" collapsed="false">
      <c r="B114" s="297"/>
      <c r="C114" s="298"/>
      <c r="D114" s="76"/>
      <c r="E114" s="124"/>
      <c r="F114" s="76"/>
      <c r="G114" s="124"/>
      <c r="H114" s="124"/>
      <c r="I114" s="401"/>
      <c r="J114" s="76"/>
      <c r="K114" s="124"/>
      <c r="L114" s="124"/>
      <c r="M114" s="401"/>
      <c r="N114" s="76"/>
      <c r="O114" s="124"/>
      <c r="P114" s="124"/>
      <c r="Q114" s="401"/>
      <c r="R114" s="76"/>
      <c r="S114" s="124"/>
      <c r="T114" s="124"/>
      <c r="U114" s="401"/>
      <c r="V114" s="76"/>
      <c r="W114" s="124"/>
      <c r="X114" s="124"/>
      <c r="Y114" s="401"/>
      <c r="Z114" s="401"/>
    </row>
    <row r="115" customFormat="false" ht="27.75" hidden="false" customHeight="true" outlineLevel="0" collapsed="false">
      <c r="A115" s="19" t="str">
        <f aca="false">Interview!A168</f>
        <v>V-RT-B-1-1</v>
      </c>
      <c r="B115" s="400" t="str">
        <f aca="false">INDEX('imp-questions'!D:D, MATCH(A115, 'imp-questions'!A:A, 0))</f>
        <v>Misuse/Abuse Testing</v>
      </c>
      <c r="C115" s="180" t="n">
        <f aca="false">INDEX('imp-questions'!E:E, MATCH(A115, 'imp-questions'!A:A, 0))</f>
        <v>1</v>
      </c>
      <c r="D115" s="281" t="str">
        <f aca="false">INDEX('imp-questions'!F:F, MATCH(A115, 'imp-questions'!A:A, 0))</f>
        <v>Do you test applications using randomization or fuzzing techniques?</v>
      </c>
      <c r="E115" s="282" t="str">
        <f aca="false">CHAR(65+INDEX('imp-questions'!H:H, MATCH(A115, 'imp-questions'!A:A, 0)))</f>
        <v>A</v>
      </c>
      <c r="F115" s="286" t="str">
        <f aca="false">IF(ISBLANK(Interview!F168),"",Interview!F168)</f>
        <v/>
      </c>
      <c r="G115" s="335" t="n">
        <f aca="true">IFERROR(INDEX(INDIRECT("Ans" &amp; E115 &amp; "TBL"), MATCH(F115, INDEX(INDIRECT("Ans" &amp; E115 &amp; "TBL"), 0, 1), 0), 2), 0)</f>
        <v>0</v>
      </c>
      <c r="H115" s="334"/>
      <c r="I115" s="401"/>
      <c r="J115" s="117" t="str">
        <f aca="false">F115</f>
        <v/>
      </c>
      <c r="K115" s="335" t="n">
        <f aca="true">IFERROR(INDEX(INDIRECT("Ans" &amp; E115 &amp; "TBL"), MATCH(J115, INDEX(INDIRECT("Ans" &amp; E115 &amp; "TBL"), 0, 1), 0), 2), 0)</f>
        <v>0</v>
      </c>
      <c r="L115" s="334"/>
      <c r="M115" s="401"/>
      <c r="N115" s="117" t="str">
        <f aca="false">J115</f>
        <v/>
      </c>
      <c r="O115" s="333" t="n">
        <f aca="true">IFERROR(INDEX(INDIRECT("Ans" &amp; E115 &amp; "TBL"), MATCH(N115, INDEX(INDIRECT("Ans" &amp; E115 &amp; "TBL"), 0, 1), 0), 2), 0)</f>
        <v>0</v>
      </c>
      <c r="P115" s="334"/>
      <c r="Q115" s="401"/>
      <c r="R115" s="117" t="str">
        <f aca="false">N115</f>
        <v/>
      </c>
      <c r="S115" s="88" t="n">
        <f aca="true">IFERROR(INDEX(INDIRECT("Ans" &amp; E115 &amp; "TBL"), MATCH(R115, INDEX(INDIRECT("Ans" &amp; E115 &amp; "TBL"), 0, 1), 0), 2), 0)</f>
        <v>0</v>
      </c>
      <c r="T115" s="324"/>
      <c r="U115" s="401"/>
      <c r="V115" s="117" t="str">
        <f aca="false">R115</f>
        <v/>
      </c>
      <c r="W115" s="335" t="n">
        <f aca="true">IFERROR(INDEX(INDIRECT("Ans" &amp; E115 &amp; "TBL"), MATCH(V115, INDEX(INDIRECT("Ans" &amp; E115 &amp; "TBL"), 0, 1), 0), 2), 0)</f>
        <v>0</v>
      </c>
      <c r="X115" s="334"/>
      <c r="Y115" s="401"/>
      <c r="Z115" s="401"/>
    </row>
    <row r="116" customFormat="false" ht="27.75" hidden="false" customHeight="true" outlineLevel="0" collapsed="false">
      <c r="A116" s="19" t="str">
        <f aca="false">Interview!A170</f>
        <v>V-RT-B-2-1</v>
      </c>
      <c r="B116" s="400"/>
      <c r="C116" s="180" t="n">
        <f aca="false">INDEX('imp-questions'!E:E, MATCH(A116, 'imp-questions'!A:A, 0))</f>
        <v>2</v>
      </c>
      <c r="D116" s="281" t="str">
        <f aca="false">INDEX('imp-questions'!F:F, MATCH(A116, 'imp-questions'!A:A, 0))</f>
        <v>Do you create abuse cases from functional requirements and use them to drive security tests?</v>
      </c>
      <c r="E116" s="282" t="str">
        <f aca="false">CHAR(65+INDEX('imp-questions'!H:H, MATCH(A116, 'imp-questions'!A:A, 0)))</f>
        <v>E</v>
      </c>
      <c r="F116" s="286" t="str">
        <f aca="false">IF(ISBLANK(Interview!F170),"",Interview!F170)</f>
        <v/>
      </c>
      <c r="G116" s="337" t="n">
        <f aca="true">IFERROR(INDEX(INDIRECT("Ans" &amp; E116 &amp; "TBL"), MATCH(F116, INDEX(INDIRECT("Ans" &amp; E116 &amp; "TBL"), 0, 1), 0), 2), 0)</f>
        <v>0</v>
      </c>
      <c r="H116" s="336"/>
      <c r="I116" s="401"/>
      <c r="J116" s="117" t="str">
        <f aca="false">F116</f>
        <v/>
      </c>
      <c r="K116" s="337" t="n">
        <f aca="true">IFERROR(INDEX(INDIRECT("Ans" &amp; E116 &amp; "TBL"), MATCH(J116, INDEX(INDIRECT("Ans" &amp; E116 &amp; "TBL"), 0, 1), 0), 2), 0)</f>
        <v>0</v>
      </c>
      <c r="L116" s="336"/>
      <c r="M116" s="401"/>
      <c r="N116" s="117" t="str">
        <f aca="false">J116</f>
        <v/>
      </c>
      <c r="O116" s="322" t="n">
        <f aca="true">IFERROR(INDEX(INDIRECT("Ans" &amp; E116 &amp; "TBL"), MATCH(N116, INDEX(INDIRECT("Ans" &amp; E116 &amp; "TBL"), 0, 1), 0), 2), 0)</f>
        <v>0</v>
      </c>
      <c r="P116" s="336"/>
      <c r="Q116" s="401"/>
      <c r="R116" s="117" t="str">
        <f aca="false">N116</f>
        <v/>
      </c>
      <c r="S116" s="88" t="n">
        <f aca="true">IFERROR(INDEX(INDIRECT("Ans" &amp; E116 &amp; "TBL"), MATCH(R116, INDEX(INDIRECT("Ans" &amp; E116 &amp; "TBL"), 0, 1), 0), 2), 0)</f>
        <v>0</v>
      </c>
      <c r="T116" s="306"/>
      <c r="U116" s="401"/>
      <c r="V116" s="117" t="str">
        <f aca="false">R116</f>
        <v/>
      </c>
      <c r="W116" s="337" t="n">
        <f aca="true">IFERROR(INDEX(INDIRECT("Ans" &amp; E116 &amp; "TBL"), MATCH(V116, INDEX(INDIRECT("Ans" &amp; E116 &amp; "TBL"), 0, 1), 0), 2), 0)</f>
        <v>0</v>
      </c>
      <c r="X116" s="336"/>
      <c r="Y116" s="401"/>
      <c r="Z116" s="401"/>
    </row>
    <row r="117" customFormat="false" ht="27.75" hidden="false" customHeight="true" outlineLevel="0" collapsed="false">
      <c r="A117" s="19" t="str">
        <f aca="false">Interview!A172</f>
        <v>V-RT-B-3-1</v>
      </c>
      <c r="B117" s="400"/>
      <c r="C117" s="180" t="n">
        <f aca="false">INDEX('imp-questions'!E:E, MATCH(A117, 'imp-questions'!A:A, 0))</f>
        <v>3</v>
      </c>
      <c r="D117" s="293" t="str">
        <f aca="false">INDEX('imp-questions'!F:F, MATCH(A117, 'imp-questions'!A:A, 0))</f>
        <v>Do you perform denial of service and security stress testing?</v>
      </c>
      <c r="E117" s="282" t="str">
        <f aca="false">CHAR(65+INDEX('imp-questions'!H:H, MATCH(A117, 'imp-questions'!A:A, 0)))</f>
        <v>E</v>
      </c>
      <c r="F117" s="286" t="str">
        <f aca="false">IF(ISBLANK(Interview!F172),"",Interview!F172)</f>
        <v/>
      </c>
      <c r="G117" s="340" t="n">
        <f aca="true">IFERROR(INDEX(INDIRECT("Ans" &amp; E117 &amp; "TBL"), MATCH(F117, INDEX(INDIRECT("Ans" &amp; E117 &amp; "TBL"), 0, 1), 0), 2), 0)</f>
        <v>0</v>
      </c>
      <c r="H117" s="339"/>
      <c r="I117" s="401"/>
      <c r="J117" s="117" t="str">
        <f aca="false">F117</f>
        <v/>
      </c>
      <c r="K117" s="340" t="n">
        <f aca="true">IFERROR(INDEX(INDIRECT("Ans" &amp; E117 &amp; "TBL"), MATCH(J117, INDEX(INDIRECT("Ans" &amp; E117 &amp; "TBL"), 0, 1), 0), 2), 0)</f>
        <v>0</v>
      </c>
      <c r="L117" s="339"/>
      <c r="M117" s="401"/>
      <c r="N117" s="117" t="str">
        <f aca="false">J117</f>
        <v/>
      </c>
      <c r="O117" s="338" t="n">
        <f aca="true">IFERROR(INDEX(INDIRECT("Ans" &amp; E117 &amp; "TBL"), MATCH(N117, INDEX(INDIRECT("Ans" &amp; E117 &amp; "TBL"), 0, 1), 0), 2), 0)</f>
        <v>0</v>
      </c>
      <c r="P117" s="339"/>
      <c r="Q117" s="401"/>
      <c r="R117" s="117" t="str">
        <f aca="false">N117</f>
        <v/>
      </c>
      <c r="S117" s="88" t="n">
        <f aca="true">IFERROR(INDEX(INDIRECT("Ans" &amp; E117 &amp; "TBL"), MATCH(R117, INDEX(INDIRECT("Ans" &amp; E117 &amp; "TBL"), 0, 1), 0), 2), 0)</f>
        <v>0</v>
      </c>
      <c r="T117" s="309"/>
      <c r="U117" s="401"/>
      <c r="V117" s="117" t="str">
        <f aca="false">R117</f>
        <v/>
      </c>
      <c r="W117" s="340" t="n">
        <f aca="true">IFERROR(INDEX(INDIRECT("Ans" &amp; E117 &amp; "TBL"), MATCH(V117, INDEX(INDIRECT("Ans" &amp; E117 &amp; "TBL"), 0, 1), 0), 2), 0)</f>
        <v>0</v>
      </c>
      <c r="X117" s="339"/>
      <c r="Y117" s="401"/>
      <c r="Z117" s="401"/>
    </row>
    <row r="118" customFormat="false" ht="12.75" hidden="false" customHeight="true" outlineLevel="0" collapsed="false">
      <c r="B118" s="297"/>
      <c r="C118" s="298"/>
      <c r="D118" s="76"/>
      <c r="E118" s="76"/>
      <c r="F118" s="76"/>
      <c r="G118" s="76"/>
      <c r="H118" s="76"/>
      <c r="I118" s="76"/>
      <c r="J118" s="76"/>
      <c r="K118" s="76"/>
      <c r="L118" s="76"/>
      <c r="M118" s="76"/>
      <c r="N118" s="76"/>
      <c r="O118" s="76"/>
      <c r="P118" s="76"/>
      <c r="Q118" s="76"/>
      <c r="R118" s="76"/>
      <c r="S118" s="76"/>
      <c r="T118" s="76"/>
      <c r="U118" s="76"/>
      <c r="V118" s="76"/>
      <c r="W118" s="76"/>
      <c r="X118" s="76"/>
      <c r="Y118" s="76"/>
      <c r="Z118" s="76"/>
    </row>
    <row r="119" customFormat="false" ht="15.75" hidden="false" customHeight="true" outlineLevel="0" collapsed="false">
      <c r="B119" s="394" t="s">
        <v>213</v>
      </c>
      <c r="C119" s="395" t="s">
        <v>214</v>
      </c>
      <c r="D119" s="402" t="s">
        <v>232</v>
      </c>
      <c r="E119" s="403"/>
      <c r="F119" s="404" t="s">
        <v>216</v>
      </c>
      <c r="G119" s="404"/>
      <c r="H119" s="405"/>
      <c r="I119" s="189" t="s">
        <v>218</v>
      </c>
      <c r="J119" s="175" t="s">
        <v>216</v>
      </c>
      <c r="K119" s="404"/>
      <c r="L119" s="405"/>
      <c r="M119" s="189" t="s">
        <v>218</v>
      </c>
      <c r="N119" s="175" t="s">
        <v>216</v>
      </c>
      <c r="O119" s="404"/>
      <c r="P119" s="405"/>
      <c r="Q119" s="189" t="s">
        <v>218</v>
      </c>
      <c r="R119" s="175" t="s">
        <v>216</v>
      </c>
      <c r="S119" s="404"/>
      <c r="T119" s="405"/>
      <c r="U119" s="189" t="s">
        <v>218</v>
      </c>
      <c r="V119" s="404" t="s">
        <v>216</v>
      </c>
      <c r="W119" s="404"/>
      <c r="X119" s="405"/>
      <c r="Y119" s="189" t="s">
        <v>218</v>
      </c>
      <c r="Z119" s="189" t="s">
        <v>254</v>
      </c>
    </row>
    <row r="120" customFormat="false" ht="27.75" hidden="false" customHeight="true" outlineLevel="0" collapsed="false">
      <c r="A120" s="19" t="str">
        <f aca="false">Interview!A175</f>
        <v>V-ST-A-1-1</v>
      </c>
      <c r="B120" s="400" t="str">
        <f aca="false">INDEX('imp-questions'!D:D, MATCH(A120, 'imp-questions'!A:A, 0))</f>
        <v>Scalable Baseline</v>
      </c>
      <c r="C120" s="180" t="n">
        <f aca="false">INDEX('imp-questions'!E:E, MATCH(A120, 'imp-questions'!A:A, 0))</f>
        <v>1</v>
      </c>
      <c r="D120" s="281" t="str">
        <f aca="false">INDEX('imp-questions'!F:F, MATCH(A120, 'imp-questions'!A:A, 0))</f>
        <v>Do you scan applications with automated security testing tools?</v>
      </c>
      <c r="E120" s="282" t="str">
        <f aca="false">CHAR(65+INDEX('imp-questions'!H:H, MATCH(A120, 'imp-questions'!A:A, 0)))</f>
        <v>B</v>
      </c>
      <c r="F120" s="286" t="str">
        <f aca="false">IF(ISBLANK(Interview!F175),"",Interview!F175)</f>
        <v/>
      </c>
      <c r="G120" s="335" t="n">
        <f aca="true">IFERROR(INDEX(INDIRECT("Ans" &amp; E120 &amp; "TBL"), MATCH(F120, INDEX(INDIRECT("Ans" &amp; E120 &amp; "TBL"), 0, 1), 0), 2), 0)</f>
        <v>0</v>
      </c>
      <c r="H120" s="354" t="n">
        <f aca="false">IFERROR(AVERAGE(G120,G124),0)</f>
        <v>0</v>
      </c>
      <c r="I120" s="406" t="n">
        <f aca="false">SUM(H120:H122)</f>
        <v>0</v>
      </c>
      <c r="J120" s="117" t="str">
        <f aca="false">F120</f>
        <v/>
      </c>
      <c r="K120" s="335" t="n">
        <f aca="true">IFERROR(INDEX(INDIRECT("Ans" &amp; E120 &amp; "TBL"), MATCH(J120, INDEX(INDIRECT("Ans" &amp; E120 &amp; "TBL"), 0, 1), 0), 2), 0)</f>
        <v>0</v>
      </c>
      <c r="L120" s="354" t="n">
        <f aca="false">IFERROR(AVERAGE(K120,K124),0)</f>
        <v>0</v>
      </c>
      <c r="M120" s="406" t="n">
        <f aca="false">SUM(L120:L122)</f>
        <v>0</v>
      </c>
      <c r="N120" s="117" t="str">
        <f aca="false">J120</f>
        <v/>
      </c>
      <c r="O120" s="333" t="n">
        <f aca="true">IFERROR(INDEX(INDIRECT("Ans" &amp; E120 &amp; "TBL"), MATCH(N120, INDEX(INDIRECT("Ans" &amp; E120 &amp; "TBL"), 0, 1), 0), 2), 0)</f>
        <v>0</v>
      </c>
      <c r="P120" s="354" t="n">
        <f aca="false">IFERROR(AVERAGE(O120,O124),0)</f>
        <v>0</v>
      </c>
      <c r="Q120" s="406" t="n">
        <f aca="false">SUM(P120:P122)</f>
        <v>0</v>
      </c>
      <c r="R120" s="117" t="str">
        <f aca="false">N120</f>
        <v/>
      </c>
      <c r="S120" s="88" t="n">
        <f aca="true">IFERROR(INDEX(INDIRECT("Ans" &amp; E120 &amp; "TBL"), MATCH(R120, INDEX(INDIRECT("Ans" &amp; E120 &amp; "TBL"), 0, 1), 0), 2), 0)</f>
        <v>0</v>
      </c>
      <c r="T120" s="303" t="n">
        <f aca="false">IFERROR(AVERAGE(S120,S124),0)</f>
        <v>0</v>
      </c>
      <c r="U120" s="406" t="n">
        <f aca="false">SUM(T120:T122)</f>
        <v>0</v>
      </c>
      <c r="V120" s="117" t="str">
        <f aca="false">R120</f>
        <v/>
      </c>
      <c r="W120" s="333" t="n">
        <f aca="true">IFERROR(INDEX(INDIRECT("Ans" &amp; E120 &amp; "TBL"), MATCH(V120, INDEX(INDIRECT("Ans" &amp; E120 &amp; "TBL"), 0, 1), 0), 2), 0)</f>
        <v>0</v>
      </c>
      <c r="X120" s="354" t="n">
        <f aca="false">IFERROR(AVERAGE(W120,W124),0)</f>
        <v>0</v>
      </c>
      <c r="Y120" s="406" t="n">
        <f aca="false">SUM(X120:X122)</f>
        <v>0</v>
      </c>
      <c r="Z120" s="406" t="n">
        <f aca="false">SUM(Y120:Y122)</f>
        <v>0</v>
      </c>
    </row>
    <row r="121" customFormat="false" ht="27.75" hidden="false" customHeight="true" outlineLevel="0" collapsed="false">
      <c r="A121" s="19" t="str">
        <f aca="false">Interview!A177</f>
        <v>V-ST-A-2-1</v>
      </c>
      <c r="B121" s="400"/>
      <c r="C121" s="180" t="n">
        <f aca="false">INDEX('imp-questions'!E:E, MATCH(A121, 'imp-questions'!A:A, 0))</f>
        <v>2</v>
      </c>
      <c r="D121" s="281" t="str">
        <f aca="false">INDEX('imp-questions'!F:F, MATCH(A121, 'imp-questions'!A:A, 0))</f>
        <v>Do you customize the automated security tools to your applications and technology stacks?</v>
      </c>
      <c r="E121" s="282" t="str">
        <f aca="false">CHAR(65+INDEX('imp-questions'!H:H, MATCH(A121, 'imp-questions'!A:A, 0)))</f>
        <v>B</v>
      </c>
      <c r="F121" s="286" t="str">
        <f aca="false">IF(ISBLANK(Interview!F177),"",Interview!F177)</f>
        <v/>
      </c>
      <c r="G121" s="337" t="n">
        <f aca="true">IFERROR(INDEX(INDIRECT("Ans" &amp; E121 &amp; "TBL"), MATCH(F121, INDEX(INDIRECT("Ans" &amp; E121 &amp; "TBL"), 0, 1), 0), 2), 0)</f>
        <v>0</v>
      </c>
      <c r="H121" s="355" t="n">
        <f aca="false">IFERROR(AVERAGE(G121,G125),0)</f>
        <v>0</v>
      </c>
      <c r="I121" s="406"/>
      <c r="J121" s="117" t="str">
        <f aca="false">F121</f>
        <v/>
      </c>
      <c r="K121" s="337" t="n">
        <f aca="true">IFERROR(INDEX(INDIRECT("Ans" &amp; E121 &amp; "TBL"), MATCH(J121, INDEX(INDIRECT("Ans" &amp; E121 &amp; "TBL"), 0, 1), 0), 2), 0)</f>
        <v>0</v>
      </c>
      <c r="L121" s="355" t="n">
        <f aca="false">IFERROR(AVERAGE(K121,K125),0)</f>
        <v>0</v>
      </c>
      <c r="M121" s="406"/>
      <c r="N121" s="117" t="str">
        <f aca="false">J121</f>
        <v/>
      </c>
      <c r="O121" s="322" t="n">
        <f aca="true">IFERROR(INDEX(INDIRECT("Ans" &amp; E121 &amp; "TBL"), MATCH(N121, INDEX(INDIRECT("Ans" &amp; E121 &amp; "TBL"), 0, 1), 0), 2), 0)</f>
        <v>0</v>
      </c>
      <c r="P121" s="355" t="n">
        <f aca="false">IFERROR(AVERAGE(O121,O125),0)</f>
        <v>0</v>
      </c>
      <c r="Q121" s="406"/>
      <c r="R121" s="117" t="str">
        <f aca="false">N121</f>
        <v/>
      </c>
      <c r="S121" s="88" t="n">
        <f aca="true">IFERROR(INDEX(INDIRECT("Ans" &amp; E121 &amp; "TBL"), MATCH(R121, INDEX(INDIRECT("Ans" &amp; E121 &amp; "TBL"), 0, 1), 0), 2), 0)</f>
        <v>0</v>
      </c>
      <c r="T121" s="356" t="n">
        <f aca="false">IFERROR(AVERAGE(S121,S125),0)</f>
        <v>0</v>
      </c>
      <c r="U121" s="406"/>
      <c r="V121" s="117" t="str">
        <f aca="false">R121</f>
        <v/>
      </c>
      <c r="W121" s="322" t="n">
        <f aca="true">IFERROR(INDEX(INDIRECT("Ans" &amp; E121 &amp; "TBL"), MATCH(V121, INDEX(INDIRECT("Ans" &amp; E121 &amp; "TBL"), 0, 1), 0), 2), 0)</f>
        <v>0</v>
      </c>
      <c r="X121" s="355" t="n">
        <f aca="false">IFERROR(AVERAGE(W121,W125),0)</f>
        <v>0</v>
      </c>
      <c r="Y121" s="406"/>
      <c r="Z121" s="406"/>
    </row>
    <row r="122" customFormat="false" ht="27.75" hidden="false" customHeight="true" outlineLevel="0" collapsed="false">
      <c r="A122" s="19" t="str">
        <f aca="false">Interview!A179</f>
        <v>V-ST-A-3-1</v>
      </c>
      <c r="B122" s="400"/>
      <c r="C122" s="180" t="n">
        <f aca="false">INDEX('imp-questions'!E:E, MATCH(A122, 'imp-questions'!A:A, 0))</f>
        <v>3</v>
      </c>
      <c r="D122" s="293" t="str">
        <f aca="false">INDEX('imp-questions'!F:F, MATCH(A122, 'imp-questions'!A:A, 0))</f>
        <v>Do you integrate automated security testing into the build and deploy process?</v>
      </c>
      <c r="E122" s="282" t="str">
        <f aca="false">CHAR(65+INDEX('imp-questions'!H:H, MATCH(A122, 'imp-questions'!A:A, 0)))</f>
        <v>W</v>
      </c>
      <c r="F122" s="286" t="str">
        <f aca="false">IF(ISBLANK(Interview!F179),"",Interview!F179)</f>
        <v/>
      </c>
      <c r="G122" s="340" t="n">
        <f aca="true">IFERROR(INDEX(INDIRECT("Ans" &amp; E122 &amp; "TBL"), MATCH(F122, INDEX(INDIRECT("Ans" &amp; E122 &amp; "TBL"), 0, 1), 0), 2), 0)</f>
        <v>0</v>
      </c>
      <c r="H122" s="359" t="n">
        <f aca="false">IFERROR(AVERAGE(G122,G126),0)</f>
        <v>0</v>
      </c>
      <c r="I122" s="406"/>
      <c r="J122" s="117" t="str">
        <f aca="false">F122</f>
        <v/>
      </c>
      <c r="K122" s="340" t="n">
        <f aca="true">IFERROR(INDEX(INDIRECT("Ans" &amp; E122 &amp; "TBL"), MATCH(J122, INDEX(INDIRECT("Ans" &amp; E122 &amp; "TBL"), 0, 1), 0), 2), 0)</f>
        <v>0</v>
      </c>
      <c r="L122" s="359" t="n">
        <f aca="false">IFERROR(AVERAGE(K122,K126),0)</f>
        <v>0</v>
      </c>
      <c r="M122" s="406"/>
      <c r="N122" s="117" t="str">
        <f aca="false">J122</f>
        <v/>
      </c>
      <c r="O122" s="338" t="n">
        <f aca="true">IFERROR(INDEX(INDIRECT("Ans" &amp; E122 &amp; "TBL"), MATCH(N122, INDEX(INDIRECT("Ans" &amp; E122 &amp; "TBL"), 0, 1), 0), 2), 0)</f>
        <v>0</v>
      </c>
      <c r="P122" s="359" t="n">
        <f aca="false">IFERROR(AVERAGE(O122,O126),0)</f>
        <v>0</v>
      </c>
      <c r="Q122" s="406"/>
      <c r="R122" s="117" t="str">
        <f aca="false">N122</f>
        <v/>
      </c>
      <c r="S122" s="88" t="n">
        <f aca="true">IFERROR(INDEX(INDIRECT("Ans" &amp; E122 &amp; "TBL"), MATCH(R122, INDEX(INDIRECT("Ans" &amp; E122 &amp; "TBL"), 0, 1), 0), 2), 0)</f>
        <v>0</v>
      </c>
      <c r="T122" s="360" t="n">
        <f aca="false">IFERROR(AVERAGE(S122,S126),0)</f>
        <v>0</v>
      </c>
      <c r="U122" s="406"/>
      <c r="V122" s="117" t="str">
        <f aca="false">R122</f>
        <v/>
      </c>
      <c r="W122" s="338" t="n">
        <f aca="true">IFERROR(INDEX(INDIRECT("Ans" &amp; E122 &amp; "TBL"), MATCH(V122, INDEX(INDIRECT("Ans" &amp; E122 &amp; "TBL"), 0, 1), 0), 2), 0)</f>
        <v>0</v>
      </c>
      <c r="X122" s="359" t="n">
        <f aca="false">IFERROR(AVERAGE(W122,W126),0)</f>
        <v>0</v>
      </c>
      <c r="Y122" s="406"/>
      <c r="Z122" s="406"/>
    </row>
    <row r="123" customFormat="false" ht="12.75" hidden="false" customHeight="true" outlineLevel="0" collapsed="false">
      <c r="B123" s="297"/>
      <c r="C123" s="298"/>
      <c r="D123" s="76"/>
      <c r="E123" s="124"/>
      <c r="F123" s="124"/>
      <c r="G123" s="124"/>
      <c r="H123" s="124"/>
      <c r="I123" s="406"/>
      <c r="J123" s="76"/>
      <c r="K123" s="124"/>
      <c r="L123" s="124"/>
      <c r="M123" s="406"/>
      <c r="N123" s="76"/>
      <c r="O123" s="124"/>
      <c r="P123" s="124"/>
      <c r="Q123" s="406"/>
      <c r="R123" s="76"/>
      <c r="S123" s="124"/>
      <c r="T123" s="124"/>
      <c r="U123" s="406"/>
      <c r="V123" s="76"/>
      <c r="W123" s="124"/>
      <c r="X123" s="124"/>
      <c r="Y123" s="406"/>
      <c r="Z123" s="406"/>
    </row>
    <row r="124" customFormat="false" ht="27.75" hidden="false" customHeight="true" outlineLevel="0" collapsed="false">
      <c r="A124" s="19" t="str">
        <f aca="false">Interview!A182</f>
        <v>V-ST-B-1-1</v>
      </c>
      <c r="B124" s="400" t="str">
        <f aca="false">INDEX('imp-questions'!D:D, MATCH(A124, 'imp-questions'!A:A, 0))</f>
        <v>Deep Understanding</v>
      </c>
      <c r="C124" s="180" t="n">
        <f aca="false">INDEX('imp-questions'!E:E, MATCH(A124, 'imp-questions'!A:A, 0))</f>
        <v>1</v>
      </c>
      <c r="D124" s="281" t="str">
        <f aca="false">INDEX('imp-questions'!F:F, MATCH(A124, 'imp-questions'!A:A, 0))</f>
        <v>Do you manually review the security quality of selected high-risk components?</v>
      </c>
      <c r="E124" s="282" t="str">
        <f aca="false">CHAR(65+INDEX('imp-questions'!H:H, MATCH(A124, 'imp-questions'!A:A, 0)))</f>
        <v>G</v>
      </c>
      <c r="F124" s="286" t="str">
        <f aca="false">IF(ISBLANK(Interview!F182),"",Interview!F182)</f>
        <v/>
      </c>
      <c r="G124" s="335" t="n">
        <f aca="true">IFERROR(INDEX(INDIRECT("Ans" &amp; E124 &amp; "TBL"), MATCH(F124, INDEX(INDIRECT("Ans" &amp; E124 &amp; "TBL"), 0, 1), 0), 2), 0)</f>
        <v>0</v>
      </c>
      <c r="H124" s="334"/>
      <c r="I124" s="406"/>
      <c r="J124" s="117" t="str">
        <f aca="false">F124</f>
        <v/>
      </c>
      <c r="K124" s="335" t="n">
        <f aca="true">IFERROR(INDEX(INDIRECT("Ans" &amp; E124 &amp; "TBL"), MATCH(J124, INDEX(INDIRECT("Ans" &amp; E124 &amp; "TBL"), 0, 1), 0), 2), 0)</f>
        <v>0</v>
      </c>
      <c r="L124" s="334"/>
      <c r="M124" s="406"/>
      <c r="N124" s="117" t="str">
        <f aca="false">J124</f>
        <v/>
      </c>
      <c r="O124" s="333" t="n">
        <f aca="true">IFERROR(INDEX(INDIRECT("Ans" &amp; E124 &amp; "TBL"), MATCH(N124, INDEX(INDIRECT("Ans" &amp; E124 &amp; "TBL"), 0, 1), 0), 2), 0)</f>
        <v>0</v>
      </c>
      <c r="P124" s="334"/>
      <c r="Q124" s="406"/>
      <c r="R124" s="117" t="str">
        <f aca="false">N124</f>
        <v/>
      </c>
      <c r="S124" s="88" t="n">
        <f aca="true">IFERROR(INDEX(INDIRECT("Ans" &amp; E124 &amp; "TBL"), MATCH(R124, INDEX(INDIRECT("Ans" &amp; E124 &amp; "TBL"), 0, 1), 0), 2), 0)</f>
        <v>0</v>
      </c>
      <c r="T124" s="324"/>
      <c r="U124" s="406"/>
      <c r="V124" s="117" t="str">
        <f aca="false">R124</f>
        <v/>
      </c>
      <c r="W124" s="335" t="n">
        <f aca="true">IFERROR(INDEX(INDIRECT("Ans" &amp; E124 &amp; "TBL"), MATCH(V124, INDEX(INDIRECT("Ans" &amp; E124 &amp; "TBL"), 0, 1), 0), 2), 0)</f>
        <v>0</v>
      </c>
      <c r="X124" s="334"/>
      <c r="Y124" s="406"/>
      <c r="Z124" s="406"/>
    </row>
    <row r="125" customFormat="false" ht="27.75" hidden="false" customHeight="true" outlineLevel="0" collapsed="false">
      <c r="A125" s="19" t="str">
        <f aca="false">Interview!A184</f>
        <v>V-ST-B-2-1</v>
      </c>
      <c r="B125" s="400"/>
      <c r="C125" s="180" t="n">
        <f aca="false">INDEX('imp-questions'!E:E, MATCH(A125, 'imp-questions'!A:A, 0))</f>
        <v>2</v>
      </c>
      <c r="D125" s="281" t="str">
        <f aca="false">INDEX('imp-questions'!F:F, MATCH(A125, 'imp-questions'!A:A, 0))</f>
        <v>Do you perform penetration testing for your applications at regular intervals?</v>
      </c>
      <c r="E125" s="282" t="str">
        <f aca="false">CHAR(65+INDEX('imp-questions'!H:H, MATCH(A125, 'imp-questions'!A:A, 0)))</f>
        <v>A</v>
      </c>
      <c r="F125" s="286" t="str">
        <f aca="false">IF(ISBLANK(Interview!F184),"",Interview!F184)</f>
        <v/>
      </c>
      <c r="G125" s="337" t="n">
        <f aca="true">IFERROR(INDEX(INDIRECT("Ans" &amp; E125 &amp; "TBL"), MATCH(F125, INDEX(INDIRECT("Ans" &amp; E125 &amp; "TBL"), 0, 1), 0), 2), 0)</f>
        <v>0</v>
      </c>
      <c r="H125" s="336"/>
      <c r="I125" s="406"/>
      <c r="J125" s="117" t="str">
        <f aca="false">F125</f>
        <v/>
      </c>
      <c r="K125" s="337" t="n">
        <f aca="true">IFERROR(INDEX(INDIRECT("Ans" &amp; E125 &amp; "TBL"), MATCH(J125, INDEX(INDIRECT("Ans" &amp; E125 &amp; "TBL"), 0, 1), 0), 2), 0)</f>
        <v>0</v>
      </c>
      <c r="L125" s="336"/>
      <c r="M125" s="406"/>
      <c r="N125" s="117" t="str">
        <f aca="false">J125</f>
        <v/>
      </c>
      <c r="O125" s="322" t="n">
        <f aca="true">IFERROR(INDEX(INDIRECT("Ans" &amp; E125 &amp; "TBL"), MATCH(N125, INDEX(INDIRECT("Ans" &amp; E125 &amp; "TBL"), 0, 1), 0), 2), 0)</f>
        <v>0</v>
      </c>
      <c r="P125" s="336"/>
      <c r="Q125" s="406"/>
      <c r="R125" s="117" t="str">
        <f aca="false">N125</f>
        <v/>
      </c>
      <c r="S125" s="88" t="n">
        <f aca="true">IFERROR(INDEX(INDIRECT("Ans" &amp; E125 &amp; "TBL"), MATCH(R125, INDEX(INDIRECT("Ans" &amp; E125 &amp; "TBL"), 0, 1), 0), 2), 0)</f>
        <v>0</v>
      </c>
      <c r="T125" s="306"/>
      <c r="U125" s="406"/>
      <c r="V125" s="117" t="str">
        <f aca="false">R125</f>
        <v/>
      </c>
      <c r="W125" s="337" t="n">
        <f aca="true">IFERROR(INDEX(INDIRECT("Ans" &amp; E125 &amp; "TBL"), MATCH(V125, INDEX(INDIRECT("Ans" &amp; E125 &amp; "TBL"), 0, 1), 0), 2), 0)</f>
        <v>0</v>
      </c>
      <c r="X125" s="336"/>
      <c r="Y125" s="406"/>
      <c r="Z125" s="406"/>
    </row>
    <row r="126" customFormat="false" ht="27.75" hidden="false" customHeight="true" outlineLevel="0" collapsed="false">
      <c r="A126" s="19" t="str">
        <f aca="false">Interview!A186</f>
        <v>V-ST-B-3-1</v>
      </c>
      <c r="B126" s="400"/>
      <c r="C126" s="180" t="n">
        <f aca="false">INDEX('imp-questions'!E:E, MATCH(A126, 'imp-questions'!A:A, 0))</f>
        <v>3</v>
      </c>
      <c r="D126" s="293" t="str">
        <f aca="false">INDEX('imp-questions'!F:F, MATCH(A126, 'imp-questions'!A:A, 0))</f>
        <v>Do you use the results of security testing to improve the development lifecycle?</v>
      </c>
      <c r="E126" s="282" t="str">
        <f aca="false">CHAR(65+INDEX('imp-questions'!H:H, MATCH(A126, 'imp-questions'!A:A, 0)))</f>
        <v>X</v>
      </c>
      <c r="F126" s="286" t="str">
        <f aca="false">IF(ISBLANK(Interview!F186),"",Interview!F186)</f>
        <v/>
      </c>
      <c r="G126" s="340" t="n">
        <f aca="true">IFERROR(INDEX(INDIRECT("Ans" &amp; E126 &amp; "TBL"), MATCH(F126, INDEX(INDIRECT("Ans" &amp; E126 &amp; "TBL"), 0, 1), 0), 2), 0)</f>
        <v>0</v>
      </c>
      <c r="H126" s="339"/>
      <c r="I126" s="406"/>
      <c r="J126" s="117" t="str">
        <f aca="false">F126</f>
        <v/>
      </c>
      <c r="K126" s="340" t="n">
        <f aca="true">IFERROR(INDEX(INDIRECT("Ans" &amp; E126 &amp; "TBL"), MATCH(J126, INDEX(INDIRECT("Ans" &amp; E126 &amp; "TBL"), 0, 1), 0), 2), 0)</f>
        <v>0</v>
      </c>
      <c r="L126" s="339"/>
      <c r="M126" s="406"/>
      <c r="N126" s="117" t="str">
        <f aca="false">J126</f>
        <v/>
      </c>
      <c r="O126" s="338" t="n">
        <f aca="true">IFERROR(INDEX(INDIRECT("Ans" &amp; E126 &amp; "TBL"), MATCH(N126, INDEX(INDIRECT("Ans" &amp; E126 &amp; "TBL"), 0, 1), 0), 2), 0)</f>
        <v>0</v>
      </c>
      <c r="P126" s="339"/>
      <c r="Q126" s="406"/>
      <c r="R126" s="117" t="str">
        <f aca="false">N126</f>
        <v/>
      </c>
      <c r="S126" s="88" t="n">
        <f aca="true">IFERROR(INDEX(INDIRECT("Ans" &amp; E126 &amp; "TBL"), MATCH(R126, INDEX(INDIRECT("Ans" &amp; E126 &amp; "TBL"), 0, 1), 0), 2), 0)</f>
        <v>0</v>
      </c>
      <c r="T126" s="309"/>
      <c r="U126" s="406"/>
      <c r="V126" s="117" t="str">
        <f aca="false">R126</f>
        <v/>
      </c>
      <c r="W126" s="340" t="n">
        <f aca="true">IFERROR(INDEX(INDIRECT("Ans" &amp; E126 &amp; "TBL"), MATCH(V126, INDEX(INDIRECT("Ans" &amp; E126 &amp; "TBL"), 0, 1), 0), 2), 0)</f>
        <v>0</v>
      </c>
      <c r="X126" s="339"/>
      <c r="Y126" s="406"/>
      <c r="Z126" s="406"/>
    </row>
    <row r="127" customFormat="false" ht="12.75" hidden="false" customHeight="true" outlineLevel="0" collapsed="false">
      <c r="B127" s="297"/>
      <c r="C127" s="298"/>
      <c r="D127" s="76"/>
      <c r="E127" s="76"/>
      <c r="F127" s="76"/>
      <c r="G127" s="76"/>
      <c r="H127" s="76"/>
      <c r="I127" s="76"/>
      <c r="J127" s="76"/>
      <c r="K127" s="76"/>
      <c r="L127" s="76"/>
      <c r="M127" s="76"/>
      <c r="N127" s="76"/>
      <c r="O127" s="76"/>
      <c r="P127" s="76"/>
      <c r="Q127" s="76"/>
      <c r="R127" s="76"/>
      <c r="S127" s="76"/>
      <c r="T127" s="76"/>
      <c r="U127" s="76"/>
      <c r="V127" s="76"/>
      <c r="W127" s="76"/>
      <c r="X127" s="76"/>
      <c r="Y127" s="76"/>
      <c r="Z127" s="76"/>
    </row>
    <row r="128" customFormat="false" ht="21.75" hidden="false" customHeight="true" outlineLevel="0" collapsed="false">
      <c r="B128" s="407" t="s">
        <v>233</v>
      </c>
      <c r="C128" s="407"/>
      <c r="D128" s="407"/>
      <c r="E128" s="408"/>
      <c r="F128" s="409" t="s">
        <v>249</v>
      </c>
      <c r="G128" s="409"/>
      <c r="H128" s="409"/>
      <c r="I128" s="409"/>
      <c r="J128" s="410" t="s">
        <v>250</v>
      </c>
      <c r="K128" s="410"/>
      <c r="L128" s="410"/>
      <c r="M128" s="410"/>
      <c r="N128" s="410" t="s">
        <v>251</v>
      </c>
      <c r="O128" s="410"/>
      <c r="P128" s="410"/>
      <c r="Q128" s="410"/>
      <c r="R128" s="410" t="s">
        <v>252</v>
      </c>
      <c r="S128" s="410"/>
      <c r="T128" s="410"/>
      <c r="U128" s="410"/>
      <c r="V128" s="411" t="s">
        <v>253</v>
      </c>
      <c r="W128" s="411"/>
      <c r="X128" s="411"/>
      <c r="Y128" s="411"/>
      <c r="Z128" s="411"/>
    </row>
    <row r="129" customFormat="false" ht="14.15" hidden="false" customHeight="false" outlineLevel="0" collapsed="false">
      <c r="B129" s="412" t="s">
        <v>213</v>
      </c>
      <c r="C129" s="193" t="s">
        <v>214</v>
      </c>
      <c r="D129" s="413" t="s">
        <v>234</v>
      </c>
      <c r="E129" s="414"/>
      <c r="F129" s="193" t="s">
        <v>216</v>
      </c>
      <c r="G129" s="415"/>
      <c r="H129" s="416"/>
      <c r="I129" s="196" t="s">
        <v>218</v>
      </c>
      <c r="J129" s="193" t="s">
        <v>216</v>
      </c>
      <c r="K129" s="415"/>
      <c r="L129" s="416"/>
      <c r="M129" s="196" t="s">
        <v>218</v>
      </c>
      <c r="N129" s="193" t="s">
        <v>216</v>
      </c>
      <c r="O129" s="415"/>
      <c r="P129" s="416"/>
      <c r="Q129" s="196" t="s">
        <v>218</v>
      </c>
      <c r="R129" s="193" t="s">
        <v>216</v>
      </c>
      <c r="S129" s="415"/>
      <c r="T129" s="416"/>
      <c r="U129" s="196" t="s">
        <v>218</v>
      </c>
      <c r="V129" s="193" t="s">
        <v>216</v>
      </c>
      <c r="W129" s="415"/>
      <c r="X129" s="416"/>
      <c r="Y129" s="196" t="s">
        <v>218</v>
      </c>
      <c r="Z129" s="196" t="s">
        <v>254</v>
      </c>
    </row>
    <row r="130" customFormat="false" ht="27.75" hidden="false" customHeight="true" outlineLevel="0" collapsed="false">
      <c r="A130" s="19" t="str">
        <f aca="false">Interview!A190</f>
        <v>O-IM-A-1-1</v>
      </c>
      <c r="B130" s="417" t="str">
        <f aca="false">INDEX('imp-questions'!D:D, MATCH(A130, 'imp-questions'!A:A, 0))</f>
        <v>Incident Detection</v>
      </c>
      <c r="C130" s="198" t="n">
        <f aca="false">INDEX('imp-questions'!E:E, MATCH(A130, 'imp-questions'!A:A, 0))</f>
        <v>1</v>
      </c>
      <c r="D130" s="281" t="str">
        <f aca="false">INDEX('imp-questions'!F:F, MATCH(A130, 'imp-questions'!A:A, 0))</f>
        <v>Do you analyze log data for security incidents periodically?</v>
      </c>
      <c r="E130" s="282" t="str">
        <f aca="false">CHAR(65+INDEX('imp-questions'!H:H, MATCH(A130, 'imp-questions'!A:A, 0)))</f>
        <v>A</v>
      </c>
      <c r="F130" s="286" t="str">
        <f aca="false">IF(ISBLANK(Interview!F190),"",Interview!F190)</f>
        <v/>
      </c>
      <c r="G130" s="335" t="n">
        <f aca="true">IFERROR(INDEX(INDIRECT("Ans" &amp; E130 &amp; "TBL"), MATCH(F130, INDEX(INDIRECT("Ans" &amp; E130 &amp; "TBL"), 0, 1), 0), 2), 0)</f>
        <v>0</v>
      </c>
      <c r="H130" s="354" t="n">
        <f aca="false">IFERROR(AVERAGE(G130,G134),0)</f>
        <v>0</v>
      </c>
      <c r="I130" s="418" t="n">
        <f aca="false">SUM(H130:H132)</f>
        <v>0</v>
      </c>
      <c r="J130" s="286" t="str">
        <f aca="false">F130</f>
        <v/>
      </c>
      <c r="K130" s="335" t="n">
        <f aca="true">IFERROR(INDEX(INDIRECT("Ans" &amp; E130 &amp; "TBL"), MATCH(J130, INDEX(INDIRECT("Ans" &amp; E130 &amp; "TBL"), 0, 1), 0), 2), 0)</f>
        <v>0</v>
      </c>
      <c r="L130" s="354" t="n">
        <f aca="false">IFERROR(AVERAGE(K130,K134),0)</f>
        <v>0</v>
      </c>
      <c r="M130" s="418" t="n">
        <f aca="false">SUM(L130:L132)</f>
        <v>0</v>
      </c>
      <c r="N130" s="286" t="str">
        <f aca="false">J130</f>
        <v/>
      </c>
      <c r="O130" s="333" t="n">
        <f aca="true">IFERROR(INDEX(INDIRECT("Ans" &amp; E130 &amp; "TBL"), MATCH(N130, INDEX(INDIRECT("Ans" &amp; E130 &amp; "TBL"), 0, 1), 0), 2), 0)</f>
        <v>0</v>
      </c>
      <c r="P130" s="354" t="n">
        <f aca="false">IFERROR(AVERAGE(O130,O134),0)</f>
        <v>0</v>
      </c>
      <c r="Q130" s="418" t="n">
        <f aca="false">SUM(P130:P132)</f>
        <v>0</v>
      </c>
      <c r="R130" s="286" t="str">
        <f aca="false">N130</f>
        <v/>
      </c>
      <c r="S130" s="88" t="n">
        <f aca="true">IFERROR(INDEX(INDIRECT("Ans" &amp; E130 &amp; "TBL"), MATCH(R130, INDEX(INDIRECT("Ans" &amp; E130 &amp; "TBL"), 0, 1), 0), 2), 0)</f>
        <v>0</v>
      </c>
      <c r="T130" s="303" t="n">
        <f aca="false">IFERROR(AVERAGE(S130,S134),0)</f>
        <v>0</v>
      </c>
      <c r="U130" s="418" t="n">
        <f aca="false">SUM(T130:T132)</f>
        <v>0</v>
      </c>
      <c r="V130" s="286" t="str">
        <f aca="false">R130</f>
        <v/>
      </c>
      <c r="W130" s="335" t="n">
        <f aca="true">IFERROR(INDEX(INDIRECT("Ans" &amp; E130 &amp; "TBL"), MATCH(V130, INDEX(INDIRECT("Ans" &amp; E130 &amp; "TBL"), 0, 1), 0), 2), 0)</f>
        <v>0</v>
      </c>
      <c r="X130" s="354" t="n">
        <f aca="false">IFERROR(AVERAGE(W130,W134),0)</f>
        <v>0</v>
      </c>
      <c r="Y130" s="418" t="n">
        <f aca="false">SUM(X130:X132)</f>
        <v>0</v>
      </c>
      <c r="Z130" s="418" t="n">
        <f aca="false">SUM(Y130:Y132)</f>
        <v>0</v>
      </c>
    </row>
    <row r="131" customFormat="false" ht="27.75" hidden="false" customHeight="true" outlineLevel="0" collapsed="false">
      <c r="A131" s="19" t="str">
        <f aca="false">Interview!A192</f>
        <v>O-IM-A-2-1</v>
      </c>
      <c r="B131" s="417"/>
      <c r="C131" s="198" t="n">
        <f aca="false">INDEX('imp-questions'!E:E, MATCH(A131, 'imp-questions'!A:A, 0))</f>
        <v>2</v>
      </c>
      <c r="D131" s="281" t="str">
        <f aca="false">INDEX('imp-questions'!F:F, MATCH(A131, 'imp-questions'!A:A, 0))</f>
        <v>Do you follow a documented process for incident detection?</v>
      </c>
      <c r="E131" s="282" t="str">
        <f aca="false">CHAR(65+INDEX('imp-questions'!H:H, MATCH(A131, 'imp-questions'!A:A, 0)))</f>
        <v>A</v>
      </c>
      <c r="F131" s="286" t="str">
        <f aca="false">IF(ISBLANK(Interview!F192),"",Interview!F192)</f>
        <v/>
      </c>
      <c r="G131" s="337" t="n">
        <f aca="true">IFERROR(INDEX(INDIRECT("Ans" &amp; E131 &amp; "TBL"), MATCH(F131, INDEX(INDIRECT("Ans" &amp; E131 &amp; "TBL"), 0, 1), 0), 2), 0)</f>
        <v>0</v>
      </c>
      <c r="H131" s="355" t="n">
        <f aca="false">IFERROR(AVERAGE(G131,G135),0)</f>
        <v>0</v>
      </c>
      <c r="I131" s="418"/>
      <c r="J131" s="286" t="str">
        <f aca="false">F131</f>
        <v/>
      </c>
      <c r="K131" s="337" t="n">
        <f aca="true">IFERROR(INDEX(INDIRECT("Ans" &amp; E131 &amp; "TBL"), MATCH(J131, INDEX(INDIRECT("Ans" &amp; E131 &amp; "TBL"), 0, 1), 0), 2), 0)</f>
        <v>0</v>
      </c>
      <c r="L131" s="355" t="n">
        <f aca="false">IFERROR(AVERAGE(K131,K135),0)</f>
        <v>0</v>
      </c>
      <c r="M131" s="418"/>
      <c r="N131" s="286" t="str">
        <f aca="false">J131</f>
        <v/>
      </c>
      <c r="O131" s="322" t="n">
        <f aca="true">IFERROR(INDEX(INDIRECT("Ans" &amp; E131 &amp; "TBL"), MATCH(N131, INDEX(INDIRECT("Ans" &amp; E131 &amp; "TBL"), 0, 1), 0), 2), 0)</f>
        <v>0</v>
      </c>
      <c r="P131" s="355" t="n">
        <f aca="false">IFERROR(AVERAGE(O131,O135),0)</f>
        <v>0</v>
      </c>
      <c r="Q131" s="418"/>
      <c r="R131" s="286" t="str">
        <f aca="false">N131</f>
        <v/>
      </c>
      <c r="S131" s="88" t="n">
        <f aca="true">IFERROR(INDEX(INDIRECT("Ans" &amp; E131 &amp; "TBL"), MATCH(R131, INDEX(INDIRECT("Ans" &amp; E131 &amp; "TBL"), 0, 1), 0), 2), 0)</f>
        <v>0</v>
      </c>
      <c r="T131" s="356" t="n">
        <f aca="false">IFERROR(AVERAGE(S131,S135),0)</f>
        <v>0</v>
      </c>
      <c r="U131" s="418"/>
      <c r="V131" s="286" t="str">
        <f aca="false">R131</f>
        <v/>
      </c>
      <c r="W131" s="337" t="n">
        <f aca="true">IFERROR(INDEX(INDIRECT("Ans" &amp; E131 &amp; "TBL"), MATCH(V131, INDEX(INDIRECT("Ans" &amp; E131 &amp; "TBL"), 0, 1), 0), 2), 0)</f>
        <v>0</v>
      </c>
      <c r="X131" s="355" t="n">
        <f aca="false">IFERROR(AVERAGE(W131,W135),0)</f>
        <v>0</v>
      </c>
      <c r="Y131" s="418"/>
      <c r="Z131" s="418"/>
    </row>
    <row r="132" customFormat="false" ht="27.75" hidden="false" customHeight="true" outlineLevel="0" collapsed="false">
      <c r="A132" s="19" t="str">
        <f aca="false">Interview!A194</f>
        <v>O-IM-A-3-1</v>
      </c>
      <c r="B132" s="417"/>
      <c r="C132" s="198" t="n">
        <f aca="false">INDEX('imp-questions'!E:E, MATCH(A132, 'imp-questions'!A:A, 0))</f>
        <v>3</v>
      </c>
      <c r="D132" s="293" t="str">
        <f aca="false">INDEX('imp-questions'!F:F, MATCH(A132, 'imp-questions'!A:A, 0))</f>
        <v>Do you review and update the incident detection process regularly?</v>
      </c>
      <c r="E132" s="282" t="str">
        <f aca="false">CHAR(65+INDEX('imp-questions'!H:H, MATCH(A132, 'imp-questions'!A:A, 0)))</f>
        <v>A</v>
      </c>
      <c r="F132" s="286" t="str">
        <f aca="false">IF(ISBLANK(Interview!F194),"",Interview!F194)</f>
        <v/>
      </c>
      <c r="G132" s="340" t="n">
        <f aca="true">IFERROR(INDEX(INDIRECT("Ans" &amp; E132 &amp; "TBL"), MATCH(F132, INDEX(INDIRECT("Ans" &amp; E132 &amp; "TBL"), 0, 1), 0), 2), 0)</f>
        <v>0</v>
      </c>
      <c r="H132" s="359" t="n">
        <f aca="false">IFERROR(AVERAGE(G132,G136),0)</f>
        <v>0</v>
      </c>
      <c r="I132" s="418"/>
      <c r="J132" s="286" t="str">
        <f aca="false">F132</f>
        <v/>
      </c>
      <c r="K132" s="340" t="n">
        <f aca="true">IFERROR(INDEX(INDIRECT("Ans" &amp; E132 &amp; "TBL"), MATCH(J132, INDEX(INDIRECT("Ans" &amp; E132 &amp; "TBL"), 0, 1), 0), 2), 0)</f>
        <v>0</v>
      </c>
      <c r="L132" s="359" t="n">
        <f aca="false">IFERROR(AVERAGE(K132,K136),0)</f>
        <v>0</v>
      </c>
      <c r="M132" s="418"/>
      <c r="N132" s="286" t="str">
        <f aca="false">J132</f>
        <v/>
      </c>
      <c r="O132" s="338" t="n">
        <f aca="true">IFERROR(INDEX(INDIRECT("Ans" &amp; E132 &amp; "TBL"), MATCH(N132, INDEX(INDIRECT("Ans" &amp; E132 &amp; "TBL"), 0, 1), 0), 2), 0)</f>
        <v>0</v>
      </c>
      <c r="P132" s="359" t="n">
        <f aca="false">IFERROR(AVERAGE(O132,O136),0)</f>
        <v>0</v>
      </c>
      <c r="Q132" s="418"/>
      <c r="R132" s="286" t="str">
        <f aca="false">N132</f>
        <v/>
      </c>
      <c r="S132" s="88" t="n">
        <f aca="true">IFERROR(INDEX(INDIRECT("Ans" &amp; E132 &amp; "TBL"), MATCH(R132, INDEX(INDIRECT("Ans" &amp; E132 &amp; "TBL"), 0, 1), 0), 2), 0)</f>
        <v>0</v>
      </c>
      <c r="T132" s="360" t="n">
        <f aca="false">IFERROR(AVERAGE(S132,S136),0)</f>
        <v>0</v>
      </c>
      <c r="U132" s="418"/>
      <c r="V132" s="286" t="str">
        <f aca="false">R132</f>
        <v/>
      </c>
      <c r="W132" s="340" t="n">
        <f aca="true">IFERROR(INDEX(INDIRECT("Ans" &amp; E132 &amp; "TBL"), MATCH(V132, INDEX(INDIRECT("Ans" &amp; E132 &amp; "TBL"), 0, 1), 0), 2), 0)</f>
        <v>0</v>
      </c>
      <c r="X132" s="359" t="n">
        <f aca="false">IFERROR(AVERAGE(W132,W136),0)</f>
        <v>0</v>
      </c>
      <c r="Y132" s="418"/>
      <c r="Z132" s="418"/>
    </row>
    <row r="133" customFormat="false" ht="12.75" hidden="false" customHeight="true" outlineLevel="0" collapsed="false">
      <c r="B133" s="366"/>
      <c r="C133" s="298"/>
      <c r="D133" s="76"/>
      <c r="E133" s="124"/>
      <c r="F133" s="76"/>
      <c r="G133" s="124"/>
      <c r="H133" s="124"/>
      <c r="I133" s="418"/>
      <c r="J133" s="76"/>
      <c r="K133" s="124"/>
      <c r="L133" s="124"/>
      <c r="M133" s="418"/>
      <c r="N133" s="76"/>
      <c r="O133" s="124"/>
      <c r="P133" s="124"/>
      <c r="Q133" s="418"/>
      <c r="R133" s="76"/>
      <c r="S133" s="124"/>
      <c r="T133" s="124"/>
      <c r="U133" s="418"/>
      <c r="V133" s="76"/>
      <c r="W133" s="124"/>
      <c r="X133" s="124"/>
      <c r="Y133" s="418"/>
      <c r="Z133" s="418"/>
    </row>
    <row r="134" customFormat="false" ht="27.75" hidden="false" customHeight="true" outlineLevel="0" collapsed="false">
      <c r="A134" s="19" t="str">
        <f aca="false">Interview!A197</f>
        <v>O-IM-B-1-1</v>
      </c>
      <c r="B134" s="419" t="str">
        <f aca="false">INDEX('imp-questions'!D:D, MATCH(A134, 'imp-questions'!A:A, 0))</f>
        <v>Incident Response</v>
      </c>
      <c r="C134" s="198" t="n">
        <f aca="false">INDEX('imp-questions'!E:E, MATCH(A134, 'imp-questions'!A:A, 0))</f>
        <v>1</v>
      </c>
      <c r="D134" s="281" t="str">
        <f aca="false">INDEX('imp-questions'!F:F, MATCH(A134, 'imp-questions'!A:A, 0))</f>
        <v>Do you respond to detected incidents?</v>
      </c>
      <c r="E134" s="282" t="str">
        <f aca="false">CHAR(65+INDEX('imp-questions'!H:H, MATCH(A134, 'imp-questions'!A:A, 0)))</f>
        <v>H</v>
      </c>
      <c r="F134" s="286" t="str">
        <f aca="false">IF(ISBLANK(Interview!F197),"",Interview!F197)</f>
        <v/>
      </c>
      <c r="G134" s="335" t="n">
        <f aca="true">IFERROR(INDEX(INDIRECT("Ans" &amp; E134 &amp; "TBL"), MATCH(F134, INDEX(INDIRECT("Ans" &amp; E134 &amp; "TBL"), 0, 1), 0), 2), 0)</f>
        <v>0</v>
      </c>
      <c r="H134" s="334"/>
      <c r="I134" s="418"/>
      <c r="J134" s="286" t="str">
        <f aca="false">F134</f>
        <v/>
      </c>
      <c r="K134" s="335" t="n">
        <f aca="true">IFERROR(INDEX(INDIRECT("Ans" &amp; E134 &amp; "TBL"), MATCH(J134, INDEX(INDIRECT("Ans" &amp; E134 &amp; "TBL"), 0, 1), 0), 2), 0)</f>
        <v>0</v>
      </c>
      <c r="L134" s="334"/>
      <c r="M134" s="418"/>
      <c r="N134" s="286" t="str">
        <f aca="false">J134</f>
        <v/>
      </c>
      <c r="O134" s="333" t="n">
        <f aca="true">IFERROR(INDEX(INDIRECT("Ans" &amp; E134 &amp; "TBL"), MATCH(N134, INDEX(INDIRECT("Ans" &amp; E134 &amp; "TBL"), 0, 1), 0), 2), 0)</f>
        <v>0</v>
      </c>
      <c r="P134" s="334"/>
      <c r="Q134" s="418"/>
      <c r="R134" s="286" t="str">
        <f aca="false">N134</f>
        <v/>
      </c>
      <c r="S134" s="88" t="n">
        <f aca="true">IFERROR(INDEX(INDIRECT("Ans" &amp; E134 &amp; "TBL"), MATCH(R134, INDEX(INDIRECT("Ans" &amp; E134 &amp; "TBL"), 0, 1), 0), 2), 0)</f>
        <v>0</v>
      </c>
      <c r="T134" s="324"/>
      <c r="U134" s="418"/>
      <c r="V134" s="286" t="str">
        <f aca="false">R134</f>
        <v/>
      </c>
      <c r="W134" s="335" t="n">
        <f aca="true">IFERROR(INDEX(INDIRECT("Ans" &amp; E134 &amp; "TBL"), MATCH(V134, INDEX(INDIRECT("Ans" &amp; E134 &amp; "TBL"), 0, 1), 0), 2), 0)</f>
        <v>0</v>
      </c>
      <c r="X134" s="334"/>
      <c r="Y134" s="418"/>
      <c r="Z134" s="418"/>
    </row>
    <row r="135" customFormat="false" ht="27.75" hidden="false" customHeight="true" outlineLevel="0" collapsed="false">
      <c r="A135" s="19" t="str">
        <f aca="false">Interview!A199</f>
        <v>O-IM-B-2-1</v>
      </c>
      <c r="B135" s="419"/>
      <c r="C135" s="198" t="n">
        <f aca="false">INDEX('imp-questions'!E:E, MATCH(A135, 'imp-questions'!A:A, 0))</f>
        <v>2</v>
      </c>
      <c r="D135" s="281" t="str">
        <f aca="false">INDEX('imp-questions'!F:F, MATCH(A135, 'imp-questions'!A:A, 0))</f>
        <v>Do you use a repeatable process for incident handling?</v>
      </c>
      <c r="E135" s="282" t="str">
        <f aca="false">CHAR(65+INDEX('imp-questions'!H:H, MATCH(A135, 'imp-questions'!A:A, 0)))</f>
        <v>I</v>
      </c>
      <c r="F135" s="294" t="str">
        <f aca="false">IF(ISBLANK(Interview!F199),"",Interview!F199)</f>
        <v/>
      </c>
      <c r="G135" s="337" t="n">
        <f aca="true">IFERROR(INDEX(INDIRECT("Ans" &amp; E135 &amp; "TBL"), MATCH(F135, INDEX(INDIRECT("Ans" &amp; E135 &amp; "TBL"), 0, 1), 0), 2), 0)</f>
        <v>0</v>
      </c>
      <c r="H135" s="336"/>
      <c r="I135" s="418"/>
      <c r="J135" s="286" t="str">
        <f aca="false">F135</f>
        <v/>
      </c>
      <c r="K135" s="337" t="n">
        <f aca="true">IFERROR(INDEX(INDIRECT("Ans" &amp; E135 &amp; "TBL"), MATCH(J135, INDEX(INDIRECT("Ans" &amp; E135 &amp; "TBL"), 0, 1), 0), 2), 0)</f>
        <v>0</v>
      </c>
      <c r="L135" s="336"/>
      <c r="M135" s="418"/>
      <c r="N135" s="286" t="str">
        <f aca="false">J135</f>
        <v/>
      </c>
      <c r="O135" s="322" t="n">
        <f aca="true">IFERROR(INDEX(INDIRECT("Ans" &amp; E135 &amp; "TBL"), MATCH(N135, INDEX(INDIRECT("Ans" &amp; E135 &amp; "TBL"), 0, 1), 0), 2), 0)</f>
        <v>0</v>
      </c>
      <c r="P135" s="336"/>
      <c r="Q135" s="418"/>
      <c r="R135" s="286" t="str">
        <f aca="false">N135</f>
        <v/>
      </c>
      <c r="S135" s="88" t="n">
        <f aca="true">IFERROR(INDEX(INDIRECT("Ans" &amp; E135 &amp; "TBL"), MATCH(R135, INDEX(INDIRECT("Ans" &amp; E135 &amp; "TBL"), 0, 1), 0), 2), 0)</f>
        <v>0</v>
      </c>
      <c r="T135" s="306"/>
      <c r="U135" s="418"/>
      <c r="V135" s="286" t="str">
        <f aca="false">R135</f>
        <v/>
      </c>
      <c r="W135" s="337" t="n">
        <f aca="true">IFERROR(INDEX(INDIRECT("Ans" &amp; E135 &amp; "TBL"), MATCH(V135, INDEX(INDIRECT("Ans" &amp; E135 &amp; "TBL"), 0, 1), 0), 2), 0)</f>
        <v>0</v>
      </c>
      <c r="X135" s="336"/>
      <c r="Y135" s="418"/>
      <c r="Z135" s="418"/>
    </row>
    <row r="136" customFormat="false" ht="27.75" hidden="false" customHeight="true" outlineLevel="0" collapsed="false">
      <c r="A136" s="19" t="str">
        <f aca="false">Interview!A201</f>
        <v>O-IM-B-3-1</v>
      </c>
      <c r="B136" s="419"/>
      <c r="C136" s="198" t="n">
        <f aca="false">INDEX('imp-questions'!E:E, MATCH(A136, 'imp-questions'!A:A, 0))</f>
        <v>3</v>
      </c>
      <c r="D136" s="293" t="str">
        <f aca="false">INDEX('imp-questions'!F:F, MATCH(A136, 'imp-questions'!A:A, 0))</f>
        <v>Do you have a dedicated incident response team available?</v>
      </c>
      <c r="E136" s="282" t="str">
        <f aca="false">CHAR(65+INDEX('imp-questions'!H:H, MATCH(A136, 'imp-questions'!A:A, 0)))</f>
        <v>E</v>
      </c>
      <c r="F136" s="294" t="str">
        <f aca="false">IF(ISBLANK(Interview!F201),"",Interview!F201)</f>
        <v/>
      </c>
      <c r="G136" s="340" t="n">
        <f aca="true">IFERROR(INDEX(INDIRECT("Ans" &amp; E136 &amp; "TBL"), MATCH(F136, INDEX(INDIRECT("Ans" &amp; E136 &amp; "TBL"), 0, 1), 0), 2), 0)</f>
        <v>0</v>
      </c>
      <c r="H136" s="339"/>
      <c r="I136" s="418"/>
      <c r="J136" s="286" t="str">
        <f aca="false">F136</f>
        <v/>
      </c>
      <c r="K136" s="340" t="n">
        <f aca="true">IFERROR(INDEX(INDIRECT("Ans" &amp; E136 &amp; "TBL"), MATCH(J136, INDEX(INDIRECT("Ans" &amp; E136 &amp; "TBL"), 0, 1), 0), 2), 0)</f>
        <v>0</v>
      </c>
      <c r="L136" s="339"/>
      <c r="M136" s="418"/>
      <c r="N136" s="286" t="str">
        <f aca="false">J136</f>
        <v/>
      </c>
      <c r="O136" s="338" t="n">
        <f aca="true">IFERROR(INDEX(INDIRECT("Ans" &amp; E136 &amp; "TBL"), MATCH(N136, INDEX(INDIRECT("Ans" &amp; E136 &amp; "TBL"), 0, 1), 0), 2), 0)</f>
        <v>0</v>
      </c>
      <c r="P136" s="339"/>
      <c r="Q136" s="418"/>
      <c r="R136" s="286" t="str">
        <f aca="false">N136</f>
        <v/>
      </c>
      <c r="S136" s="88" t="n">
        <f aca="true">IFERROR(INDEX(INDIRECT("Ans" &amp; E136 &amp; "TBL"), MATCH(R136, INDEX(INDIRECT("Ans" &amp; E136 &amp; "TBL"), 0, 1), 0), 2), 0)</f>
        <v>0</v>
      </c>
      <c r="T136" s="309"/>
      <c r="U136" s="418"/>
      <c r="V136" s="286" t="str">
        <f aca="false">R136</f>
        <v/>
      </c>
      <c r="W136" s="340" t="n">
        <f aca="true">IFERROR(INDEX(INDIRECT("Ans" &amp; E136 &amp; "TBL"), MATCH(V136, INDEX(INDIRECT("Ans" &amp; E136 &amp; "TBL"), 0, 1), 0), 2), 0)</f>
        <v>0</v>
      </c>
      <c r="X136" s="339"/>
      <c r="Y136" s="418"/>
      <c r="Z136" s="418"/>
    </row>
    <row r="137" customFormat="false" ht="12.75" hidden="false" customHeight="true" outlineLevel="0" collapsed="false">
      <c r="B137" s="366"/>
      <c r="C137" s="298"/>
      <c r="D137" s="76"/>
      <c r="E137" s="76"/>
      <c r="F137" s="76"/>
      <c r="G137" s="76"/>
      <c r="H137" s="76"/>
      <c r="I137" s="76"/>
      <c r="J137" s="76"/>
      <c r="K137" s="76"/>
      <c r="L137" s="76"/>
      <c r="M137" s="76"/>
      <c r="N137" s="76"/>
      <c r="O137" s="76"/>
      <c r="P137" s="76"/>
      <c r="Q137" s="76"/>
      <c r="R137" s="76"/>
      <c r="S137" s="76"/>
      <c r="T137" s="76"/>
      <c r="U137" s="76"/>
      <c r="V137" s="76"/>
      <c r="W137" s="76"/>
      <c r="X137" s="76"/>
      <c r="Y137" s="76"/>
      <c r="Z137" s="76"/>
    </row>
    <row r="138" customFormat="false" ht="15.75" hidden="false" customHeight="true" outlineLevel="0" collapsed="false">
      <c r="B138" s="412" t="s">
        <v>213</v>
      </c>
      <c r="C138" s="193" t="s">
        <v>214</v>
      </c>
      <c r="D138" s="420" t="s">
        <v>235</v>
      </c>
      <c r="E138" s="421"/>
      <c r="F138" s="211" t="s">
        <v>216</v>
      </c>
      <c r="G138" s="422"/>
      <c r="H138" s="423"/>
      <c r="I138" s="196" t="s">
        <v>218</v>
      </c>
      <c r="J138" s="211" t="s">
        <v>216</v>
      </c>
      <c r="K138" s="422"/>
      <c r="L138" s="423"/>
      <c r="M138" s="196" t="s">
        <v>218</v>
      </c>
      <c r="N138" s="211" t="s">
        <v>216</v>
      </c>
      <c r="O138" s="422"/>
      <c r="P138" s="423"/>
      <c r="Q138" s="196" t="s">
        <v>218</v>
      </c>
      <c r="R138" s="211" t="s">
        <v>216</v>
      </c>
      <c r="S138" s="422"/>
      <c r="T138" s="423"/>
      <c r="U138" s="196" t="s">
        <v>218</v>
      </c>
      <c r="V138" s="211" t="s">
        <v>216</v>
      </c>
      <c r="W138" s="422"/>
      <c r="X138" s="423"/>
      <c r="Y138" s="196" t="s">
        <v>218</v>
      </c>
      <c r="Z138" s="196" t="s">
        <v>254</v>
      </c>
    </row>
    <row r="139" customFormat="false" ht="27.75" hidden="false" customHeight="true" outlineLevel="0" collapsed="false">
      <c r="A139" s="19" t="str">
        <f aca="false">Interview!A204</f>
        <v>O-EM-A-1-1</v>
      </c>
      <c r="B139" s="417" t="str">
        <f aca="false">INDEX('imp-questions'!D:D, MATCH(A139, 'imp-questions'!A:A, 0))</f>
        <v>Configuration Hardening</v>
      </c>
      <c r="C139" s="198" t="n">
        <f aca="false">INDEX('imp-questions'!E:E, MATCH(A139, 'imp-questions'!A:A, 0))</f>
        <v>1</v>
      </c>
      <c r="D139" s="281" t="str">
        <f aca="false">INDEX('imp-questions'!F:F, MATCH(A139, 'imp-questions'!A:A, 0))</f>
        <v>Do you harden configurations for key components of your technology stacks?</v>
      </c>
      <c r="E139" s="282" t="str">
        <f aca="false">CHAR(65+INDEX('imp-questions'!H:H, MATCH(A139, 'imp-questions'!A:A, 0)))</f>
        <v>G</v>
      </c>
      <c r="F139" s="286" t="str">
        <f aca="false">IF(ISBLANK(Interview!F204),"",Interview!F204)</f>
        <v/>
      </c>
      <c r="G139" s="335" t="n">
        <f aca="true">IFERROR(INDEX(INDIRECT("Ans" &amp; E139 &amp; "TBL"), MATCH(F139, INDEX(INDIRECT("Ans" &amp; E139 &amp; "TBL"), 0, 1), 0), 2), 0)</f>
        <v>0</v>
      </c>
      <c r="H139" s="354" t="n">
        <f aca="false">IFERROR(AVERAGE(G139,G143),0)</f>
        <v>0</v>
      </c>
      <c r="I139" s="418" t="n">
        <f aca="false">SUM(H139:H141)</f>
        <v>0</v>
      </c>
      <c r="J139" s="286" t="str">
        <f aca="false">F139</f>
        <v/>
      </c>
      <c r="K139" s="335" t="n">
        <f aca="true">IFERROR(INDEX(INDIRECT("Ans" &amp; E139 &amp; "TBL"), MATCH(J139, INDEX(INDIRECT("Ans" &amp; E139 &amp; "TBL"), 0, 1), 0), 2), 0)</f>
        <v>0</v>
      </c>
      <c r="L139" s="354" t="n">
        <f aca="false">IFERROR(AVERAGE(K139,K143),0)</f>
        <v>0</v>
      </c>
      <c r="M139" s="418" t="n">
        <f aca="false">SUM(L139:L141)</f>
        <v>0</v>
      </c>
      <c r="N139" s="286" t="str">
        <f aca="false">J139</f>
        <v/>
      </c>
      <c r="O139" s="333" t="n">
        <f aca="true">IFERROR(INDEX(INDIRECT("Ans" &amp; E139 &amp; "TBL"), MATCH(N139, INDEX(INDIRECT("Ans" &amp; E139 &amp; "TBL"), 0, 1), 0), 2), 0)</f>
        <v>0</v>
      </c>
      <c r="P139" s="354" t="n">
        <f aca="false">IFERROR(AVERAGE(O139,O143),0)</f>
        <v>0</v>
      </c>
      <c r="Q139" s="418" t="n">
        <f aca="false">SUM(P139:P141)</f>
        <v>0</v>
      </c>
      <c r="R139" s="286" t="str">
        <f aca="false">N139</f>
        <v/>
      </c>
      <c r="S139" s="88" t="n">
        <f aca="true">IFERROR(INDEX(INDIRECT("Ans" &amp; E139 &amp; "TBL"), MATCH(R139, INDEX(INDIRECT("Ans" &amp; E139 &amp; "TBL"), 0, 1), 0), 2), 0)</f>
        <v>0</v>
      </c>
      <c r="T139" s="303" t="n">
        <f aca="false">IFERROR(AVERAGE(S139,S143),0)</f>
        <v>0</v>
      </c>
      <c r="U139" s="418" t="n">
        <f aca="false">SUM(T139:T141)</f>
        <v>0</v>
      </c>
      <c r="V139" s="286" t="str">
        <f aca="false">R139</f>
        <v/>
      </c>
      <c r="W139" s="335" t="n">
        <f aca="true">IFERROR(INDEX(INDIRECT("Ans" &amp; E139 &amp; "TBL"), MATCH(V139, INDEX(INDIRECT("Ans" &amp; E139 &amp; "TBL"), 0, 1), 0), 2), 0)</f>
        <v>0</v>
      </c>
      <c r="X139" s="354" t="n">
        <f aca="false">IFERROR(AVERAGE(W139,W143),0)</f>
        <v>0</v>
      </c>
      <c r="Y139" s="418" t="n">
        <f aca="false">SUM(X139:X141)</f>
        <v>0</v>
      </c>
      <c r="Z139" s="418" t="n">
        <f aca="false">SUM(Y139:Y141)</f>
        <v>0</v>
      </c>
    </row>
    <row r="140" customFormat="false" ht="27.75" hidden="false" customHeight="true" outlineLevel="0" collapsed="false">
      <c r="A140" s="19" t="str">
        <f aca="false">Interview!A206</f>
        <v>O-EM-A-2-1</v>
      </c>
      <c r="B140" s="417"/>
      <c r="C140" s="198" t="n">
        <f aca="false">INDEX('imp-questions'!E:E, MATCH(A140, 'imp-questions'!A:A, 0))</f>
        <v>2</v>
      </c>
      <c r="D140" s="281" t="str">
        <f aca="false">INDEX('imp-questions'!F:F, MATCH(A140, 'imp-questions'!A:A, 0))</f>
        <v>Do you have hardening baselines for your components?</v>
      </c>
      <c r="E140" s="282" t="str">
        <f aca="false">CHAR(65+INDEX('imp-questions'!H:H, MATCH(A140, 'imp-questions'!A:A, 0)))</f>
        <v>G</v>
      </c>
      <c r="F140" s="30" t="str">
        <f aca="false">IF(ISBLANK(Interview!F206),"",Interview!F206)</f>
        <v/>
      </c>
      <c r="G140" s="337" t="n">
        <f aca="true">IFERROR(INDEX(INDIRECT("Ans" &amp; E140 &amp; "TBL"), MATCH(F140, INDEX(INDIRECT("Ans" &amp; E140 &amp; "TBL"), 0, 1), 0), 2), 0)</f>
        <v>0</v>
      </c>
      <c r="H140" s="355" t="n">
        <f aca="false">IFERROR(AVERAGE(G140,G144),0)</f>
        <v>0</v>
      </c>
      <c r="I140" s="418"/>
      <c r="J140" s="286" t="str">
        <f aca="false">F140</f>
        <v/>
      </c>
      <c r="K140" s="337" t="n">
        <f aca="true">IFERROR(INDEX(INDIRECT("Ans" &amp; E140 &amp; "TBL"), MATCH(J140, INDEX(INDIRECT("Ans" &amp; E140 &amp; "TBL"), 0, 1), 0), 2), 0)</f>
        <v>0</v>
      </c>
      <c r="L140" s="355" t="n">
        <f aca="false">IFERROR(AVERAGE(K140,K144),0)</f>
        <v>0</v>
      </c>
      <c r="M140" s="418"/>
      <c r="N140" s="286" t="str">
        <f aca="false">J140</f>
        <v/>
      </c>
      <c r="O140" s="322" t="n">
        <f aca="true">IFERROR(INDEX(INDIRECT("Ans" &amp; E140 &amp; "TBL"), MATCH(N140, INDEX(INDIRECT("Ans" &amp; E140 &amp; "TBL"), 0, 1), 0), 2), 0)</f>
        <v>0</v>
      </c>
      <c r="P140" s="355" t="n">
        <f aca="false">IFERROR(AVERAGE(O140,O144),0)</f>
        <v>0</v>
      </c>
      <c r="Q140" s="418"/>
      <c r="R140" s="286" t="str">
        <f aca="false">N140</f>
        <v/>
      </c>
      <c r="S140" s="88" t="n">
        <f aca="true">IFERROR(INDEX(INDIRECT("Ans" &amp; E140 &amp; "TBL"), MATCH(R140, INDEX(INDIRECT("Ans" &amp; E140 &amp; "TBL"), 0, 1), 0), 2), 0)</f>
        <v>0</v>
      </c>
      <c r="T140" s="356" t="n">
        <f aca="false">IFERROR(AVERAGE(S140,S144),0)</f>
        <v>0</v>
      </c>
      <c r="U140" s="418"/>
      <c r="V140" s="286" t="str">
        <f aca="false">R140</f>
        <v/>
      </c>
      <c r="W140" s="337" t="n">
        <f aca="true">IFERROR(INDEX(INDIRECT("Ans" &amp; E140 &amp; "TBL"), MATCH(V140, INDEX(INDIRECT("Ans" &amp; E140 &amp; "TBL"), 0, 1), 0), 2), 0)</f>
        <v>0</v>
      </c>
      <c r="X140" s="355" t="n">
        <f aca="false">IFERROR(AVERAGE(W140,W144),0)</f>
        <v>0</v>
      </c>
      <c r="Y140" s="418"/>
      <c r="Z140" s="418"/>
    </row>
    <row r="141" customFormat="false" ht="27.75" hidden="false" customHeight="true" outlineLevel="0" collapsed="false">
      <c r="A141" s="19" t="str">
        <f aca="false">Interview!A208</f>
        <v>O-EM-A-3-1</v>
      </c>
      <c r="B141" s="417"/>
      <c r="C141" s="198" t="n">
        <f aca="false">INDEX('imp-questions'!E:E, MATCH(A141, 'imp-questions'!A:A, 0))</f>
        <v>3</v>
      </c>
      <c r="D141" s="293" t="str">
        <f aca="false">INDEX('imp-questions'!F:F, MATCH(A141, 'imp-questions'!A:A, 0))</f>
        <v>Do you monitor and enforce conformity with hardening baselines?</v>
      </c>
      <c r="E141" s="282" t="str">
        <f aca="false">CHAR(65+INDEX('imp-questions'!H:H, MATCH(A141, 'imp-questions'!A:A, 0)))</f>
        <v>G</v>
      </c>
      <c r="F141" s="286" t="str">
        <f aca="false">IF(ISBLANK(Interview!F208),"",Interview!F208)</f>
        <v/>
      </c>
      <c r="G141" s="340" t="n">
        <f aca="true">IFERROR(INDEX(INDIRECT("Ans" &amp; E141 &amp; "TBL"), MATCH(F141, INDEX(INDIRECT("Ans" &amp; E141 &amp; "TBL"), 0, 1), 0), 2), 0)</f>
        <v>0</v>
      </c>
      <c r="H141" s="359" t="n">
        <f aca="false">IFERROR(AVERAGE(G141,G145),0)</f>
        <v>0</v>
      </c>
      <c r="I141" s="418"/>
      <c r="J141" s="286" t="str">
        <f aca="false">F141</f>
        <v/>
      </c>
      <c r="K141" s="340" t="n">
        <f aca="true">IFERROR(INDEX(INDIRECT("Ans" &amp; E141 &amp; "TBL"), MATCH(J141, INDEX(INDIRECT("Ans" &amp; E141 &amp; "TBL"), 0, 1), 0), 2), 0)</f>
        <v>0</v>
      </c>
      <c r="L141" s="359" t="n">
        <f aca="false">IFERROR(AVERAGE(K141,K145),0)</f>
        <v>0</v>
      </c>
      <c r="M141" s="418"/>
      <c r="N141" s="286" t="str">
        <f aca="false">J141</f>
        <v/>
      </c>
      <c r="O141" s="338" t="n">
        <f aca="true">IFERROR(INDEX(INDIRECT("Ans" &amp; E141 &amp; "TBL"), MATCH(N141, INDEX(INDIRECT("Ans" &amp; E141 &amp; "TBL"), 0, 1), 0), 2), 0)</f>
        <v>0</v>
      </c>
      <c r="P141" s="359" t="n">
        <f aca="false">IFERROR(AVERAGE(O141,O145),0)</f>
        <v>0</v>
      </c>
      <c r="Q141" s="418"/>
      <c r="R141" s="286" t="str">
        <f aca="false">N141</f>
        <v/>
      </c>
      <c r="S141" s="88" t="n">
        <f aca="true">IFERROR(INDEX(INDIRECT("Ans" &amp; E141 &amp; "TBL"), MATCH(R141, INDEX(INDIRECT("Ans" &amp; E141 &amp; "TBL"), 0, 1), 0), 2), 0)</f>
        <v>0</v>
      </c>
      <c r="T141" s="360" t="n">
        <f aca="false">IFERROR(AVERAGE(S141,S145),0)</f>
        <v>0</v>
      </c>
      <c r="U141" s="418"/>
      <c r="V141" s="286" t="str">
        <f aca="false">R141</f>
        <v/>
      </c>
      <c r="W141" s="340" t="n">
        <f aca="true">IFERROR(INDEX(INDIRECT("Ans" &amp; E141 &amp; "TBL"), MATCH(V141, INDEX(INDIRECT("Ans" &amp; E141 &amp; "TBL"), 0, 1), 0), 2), 0)</f>
        <v>0</v>
      </c>
      <c r="X141" s="359" t="n">
        <f aca="false">IFERROR(AVERAGE(W141,W145),0)</f>
        <v>0</v>
      </c>
      <c r="Y141" s="418"/>
      <c r="Z141" s="418"/>
    </row>
    <row r="142" customFormat="false" ht="12.75" hidden="false" customHeight="true" outlineLevel="0" collapsed="false">
      <c r="B142" s="366"/>
      <c r="C142" s="298"/>
      <c r="D142" s="76"/>
      <c r="E142" s="124"/>
      <c r="F142" s="76"/>
      <c r="G142" s="124"/>
      <c r="H142" s="124"/>
      <c r="I142" s="418"/>
      <c r="J142" s="76"/>
      <c r="K142" s="124"/>
      <c r="L142" s="124"/>
      <c r="M142" s="418"/>
      <c r="N142" s="76"/>
      <c r="O142" s="124"/>
      <c r="P142" s="124"/>
      <c r="Q142" s="418"/>
      <c r="R142" s="76"/>
      <c r="S142" s="124"/>
      <c r="T142" s="124"/>
      <c r="U142" s="418"/>
      <c r="V142" s="76"/>
      <c r="W142" s="124"/>
      <c r="X142" s="124"/>
      <c r="Y142" s="418"/>
      <c r="Z142" s="418"/>
    </row>
    <row r="143" customFormat="false" ht="27.75" hidden="false" customHeight="true" outlineLevel="0" collapsed="false">
      <c r="A143" s="19" t="str">
        <f aca="false">Interview!A211</f>
        <v>O-EM-B-1-1</v>
      </c>
      <c r="B143" s="419" t="str">
        <f aca="false">INDEX('imp-questions'!D:D, MATCH(A143, 'imp-questions'!A:A, 0))</f>
        <v>Patching and Updating</v>
      </c>
      <c r="C143" s="198" t="n">
        <f aca="false">INDEX('imp-questions'!E:E, MATCH(A143, 'imp-questions'!A:A, 0))</f>
        <v>1</v>
      </c>
      <c r="D143" s="281" t="str">
        <f aca="false">INDEX('imp-questions'!F:F, MATCH(A143, 'imp-questions'!A:A, 0))</f>
        <v>Do you identify and patch vulnerable components?</v>
      </c>
      <c r="E143" s="282" t="str">
        <f aca="false">CHAR(65+INDEX('imp-questions'!H:H, MATCH(A143, 'imp-questions'!A:A, 0)))</f>
        <v>G</v>
      </c>
      <c r="F143" s="286" t="str">
        <f aca="false">IF(ISBLANK(Interview!F211),"",Interview!F211)</f>
        <v/>
      </c>
      <c r="G143" s="335" t="n">
        <f aca="true">IFERROR(INDEX(INDIRECT("Ans" &amp; E143 &amp; "TBL"), MATCH(F143, INDEX(INDIRECT("Ans" &amp; E143 &amp; "TBL"), 0, 1), 0), 2), 0)</f>
        <v>0</v>
      </c>
      <c r="H143" s="334"/>
      <c r="I143" s="418"/>
      <c r="J143" s="286" t="str">
        <f aca="false">F143</f>
        <v/>
      </c>
      <c r="K143" s="335" t="n">
        <f aca="true">IFERROR(INDEX(INDIRECT("Ans" &amp; E143 &amp; "TBL"), MATCH(J143, INDEX(INDIRECT("Ans" &amp; E143 &amp; "TBL"), 0, 1), 0), 2), 0)</f>
        <v>0</v>
      </c>
      <c r="L143" s="334"/>
      <c r="M143" s="418"/>
      <c r="N143" s="286" t="str">
        <f aca="false">J143</f>
        <v/>
      </c>
      <c r="O143" s="335" t="n">
        <f aca="true">IFERROR(INDEX(INDIRECT("Ans" &amp; E143 &amp; "TBL"), MATCH(N143, INDEX(INDIRECT("Ans" &amp; E143 &amp; "TBL"), 0, 1), 0), 2), 0)</f>
        <v>0</v>
      </c>
      <c r="P143" s="334"/>
      <c r="Q143" s="418"/>
      <c r="R143" s="286" t="str">
        <f aca="false">N143</f>
        <v/>
      </c>
      <c r="S143" s="88" t="n">
        <f aca="true">IFERROR(INDEX(INDIRECT("Ans" &amp; E143 &amp; "TBL"), MATCH(R143, INDEX(INDIRECT("Ans" &amp; E143 &amp; "TBL"), 0, 1), 0), 2), 0)</f>
        <v>0</v>
      </c>
      <c r="T143" s="324"/>
      <c r="U143" s="418"/>
      <c r="V143" s="286" t="str">
        <f aca="false">R143</f>
        <v/>
      </c>
      <c r="W143" s="335" t="n">
        <f aca="true">IFERROR(INDEX(INDIRECT("Ans" &amp; E143 &amp; "TBL"), MATCH(V143, INDEX(INDIRECT("Ans" &amp; E143 &amp; "TBL"), 0, 1), 0), 2), 0)</f>
        <v>0</v>
      </c>
      <c r="X143" s="334"/>
      <c r="Y143" s="418"/>
      <c r="Z143" s="418"/>
    </row>
    <row r="144" customFormat="false" ht="27.75" hidden="false" customHeight="true" outlineLevel="0" collapsed="false">
      <c r="A144" s="19" t="str">
        <f aca="false">Interview!A213</f>
        <v>O-EM-B-2-1</v>
      </c>
      <c r="B144" s="419"/>
      <c r="C144" s="198" t="n">
        <f aca="false">INDEX('imp-questions'!E:E, MATCH(A144, 'imp-questions'!A:A, 0))</f>
        <v>2</v>
      </c>
      <c r="D144" s="281" t="str">
        <f aca="false">INDEX('imp-questions'!F:F, MATCH(A144, 'imp-questions'!A:A, 0))</f>
        <v>Do you follow an established process for updating components of your technology stacks?</v>
      </c>
      <c r="E144" s="282" t="str">
        <f aca="false">CHAR(65+INDEX('imp-questions'!H:H, MATCH(A144, 'imp-questions'!A:A, 0)))</f>
        <v>G</v>
      </c>
      <c r="F144" s="294" t="str">
        <f aca="false">IF(ISBLANK(Interview!F213),"",Interview!F213)</f>
        <v/>
      </c>
      <c r="G144" s="337" t="n">
        <f aca="true">IFERROR(INDEX(INDIRECT("Ans" &amp; E144 &amp; "TBL"), MATCH(F144, INDEX(INDIRECT("Ans" &amp; E144 &amp; "TBL"), 0, 1), 0), 2), 0)</f>
        <v>0</v>
      </c>
      <c r="H144" s="336"/>
      <c r="I144" s="418"/>
      <c r="J144" s="286" t="str">
        <f aca="false">F144</f>
        <v/>
      </c>
      <c r="K144" s="337" t="n">
        <f aca="true">IFERROR(INDEX(INDIRECT("Ans" &amp; E144 &amp; "TBL"), MATCH(J144, INDEX(INDIRECT("Ans" &amp; E144 &amp; "TBL"), 0, 1), 0), 2), 0)</f>
        <v>0</v>
      </c>
      <c r="L144" s="336"/>
      <c r="M144" s="418"/>
      <c r="N144" s="286" t="str">
        <f aca="false">J144</f>
        <v/>
      </c>
      <c r="O144" s="337" t="n">
        <f aca="true">IFERROR(INDEX(INDIRECT("Ans" &amp; E144 &amp; "TBL"), MATCH(N144, INDEX(INDIRECT("Ans" &amp; E144 &amp; "TBL"), 0, 1), 0), 2), 0)</f>
        <v>0</v>
      </c>
      <c r="P144" s="336"/>
      <c r="Q144" s="418"/>
      <c r="R144" s="286" t="str">
        <f aca="false">N144</f>
        <v/>
      </c>
      <c r="S144" s="88" t="n">
        <f aca="true">IFERROR(INDEX(INDIRECT("Ans" &amp; E144 &amp; "TBL"), MATCH(R144, INDEX(INDIRECT("Ans" &amp; E144 &amp; "TBL"), 0, 1), 0), 2), 0)</f>
        <v>0</v>
      </c>
      <c r="T144" s="306"/>
      <c r="U144" s="418"/>
      <c r="V144" s="286" t="str">
        <f aca="false">R144</f>
        <v/>
      </c>
      <c r="W144" s="337" t="n">
        <f aca="true">IFERROR(INDEX(INDIRECT("Ans" &amp; E144 &amp; "TBL"), MATCH(V144, INDEX(INDIRECT("Ans" &amp; E144 &amp; "TBL"), 0, 1), 0), 2), 0)</f>
        <v>0</v>
      </c>
      <c r="X144" s="336"/>
      <c r="Y144" s="418"/>
      <c r="Z144" s="418"/>
    </row>
    <row r="145" customFormat="false" ht="27.75" hidden="false" customHeight="true" outlineLevel="0" collapsed="false">
      <c r="A145" s="19" t="str">
        <f aca="false">Interview!A215</f>
        <v>O-EM-B-3-1</v>
      </c>
      <c r="B145" s="419"/>
      <c r="C145" s="198" t="n">
        <f aca="false">INDEX('imp-questions'!E:E, MATCH(A145, 'imp-questions'!A:A, 0))</f>
        <v>3</v>
      </c>
      <c r="D145" s="293" t="str">
        <f aca="false">INDEX('imp-questions'!F:F, MATCH(A145, 'imp-questions'!A:A, 0))</f>
        <v>Do you regularly evaluate components and review patch level status?</v>
      </c>
      <c r="E145" s="282" t="str">
        <f aca="false">CHAR(65+INDEX('imp-questions'!H:H, MATCH(A145, 'imp-questions'!A:A, 0)))</f>
        <v>G</v>
      </c>
      <c r="F145" s="294" t="str">
        <f aca="false">IF(ISBLANK(Interview!F215),"",Interview!F215)</f>
        <v/>
      </c>
      <c r="G145" s="340" t="n">
        <f aca="true">IFERROR(INDEX(INDIRECT("Ans" &amp; E145 &amp; "TBL"), MATCH(F145, INDEX(INDIRECT("Ans" &amp; E145 &amp; "TBL"), 0, 1), 0), 2), 0)</f>
        <v>0</v>
      </c>
      <c r="H145" s="339"/>
      <c r="I145" s="418"/>
      <c r="J145" s="286" t="str">
        <f aca="false">F145</f>
        <v/>
      </c>
      <c r="K145" s="340" t="n">
        <f aca="true">IFERROR(INDEX(INDIRECT("Ans" &amp; E145 &amp; "TBL"), MATCH(J145, INDEX(INDIRECT("Ans" &amp; E145 &amp; "TBL"), 0, 1), 0), 2), 0)</f>
        <v>0</v>
      </c>
      <c r="L145" s="339"/>
      <c r="M145" s="418"/>
      <c r="N145" s="286" t="str">
        <f aca="false">J145</f>
        <v/>
      </c>
      <c r="O145" s="340" t="n">
        <f aca="true">IFERROR(INDEX(INDIRECT("Ans" &amp; E145 &amp; "TBL"), MATCH(N145, INDEX(INDIRECT("Ans" &amp; E145 &amp; "TBL"), 0, 1), 0), 2), 0)</f>
        <v>0</v>
      </c>
      <c r="P145" s="339"/>
      <c r="Q145" s="418"/>
      <c r="R145" s="286" t="str">
        <f aca="false">N145</f>
        <v/>
      </c>
      <c r="S145" s="88" t="n">
        <f aca="true">IFERROR(INDEX(INDIRECT("Ans" &amp; E145 &amp; "TBL"), MATCH(R145, INDEX(INDIRECT("Ans" &amp; E145 &amp; "TBL"), 0, 1), 0), 2), 0)</f>
        <v>0</v>
      </c>
      <c r="T145" s="309"/>
      <c r="U145" s="418"/>
      <c r="V145" s="286" t="str">
        <f aca="false">R145</f>
        <v/>
      </c>
      <c r="W145" s="340" t="n">
        <f aca="true">IFERROR(INDEX(INDIRECT("Ans" &amp; E145 &amp; "TBL"), MATCH(V145, INDEX(INDIRECT("Ans" &amp; E145 &amp; "TBL"), 0, 1), 0), 2), 0)</f>
        <v>0</v>
      </c>
      <c r="X145" s="339"/>
      <c r="Y145" s="418"/>
      <c r="Z145" s="418"/>
    </row>
    <row r="146" customFormat="false" ht="12.75" hidden="false" customHeight="true" outlineLevel="0" collapsed="false">
      <c r="B146" s="366"/>
      <c r="C146" s="298"/>
      <c r="D146" s="76"/>
      <c r="E146" s="76"/>
      <c r="F146" s="76"/>
      <c r="G146" s="76"/>
      <c r="H146" s="76"/>
      <c r="I146" s="76"/>
      <c r="J146" s="76"/>
      <c r="K146" s="76"/>
      <c r="L146" s="76"/>
      <c r="M146" s="76"/>
      <c r="N146" s="76"/>
      <c r="O146" s="320"/>
      <c r="P146" s="320"/>
      <c r="Q146" s="76"/>
      <c r="R146" s="76"/>
      <c r="S146" s="76"/>
      <c r="T146" s="76"/>
      <c r="U146" s="76"/>
      <c r="V146" s="76"/>
      <c r="W146" s="76"/>
      <c r="X146" s="76"/>
      <c r="Y146" s="76"/>
      <c r="Z146" s="76"/>
    </row>
    <row r="147" customFormat="false" ht="15.75" hidden="false" customHeight="true" outlineLevel="0" collapsed="false">
      <c r="B147" s="412" t="s">
        <v>213</v>
      </c>
      <c r="C147" s="193" t="s">
        <v>214</v>
      </c>
      <c r="D147" s="420" t="s">
        <v>236</v>
      </c>
      <c r="E147" s="421"/>
      <c r="F147" s="211" t="s">
        <v>216</v>
      </c>
      <c r="G147" s="422"/>
      <c r="H147" s="423"/>
      <c r="I147" s="196" t="s">
        <v>218</v>
      </c>
      <c r="J147" s="211" t="s">
        <v>216</v>
      </c>
      <c r="K147" s="422"/>
      <c r="L147" s="423"/>
      <c r="M147" s="196" t="s">
        <v>218</v>
      </c>
      <c r="N147" s="211" t="s">
        <v>216</v>
      </c>
      <c r="O147" s="422"/>
      <c r="P147" s="423"/>
      <c r="Q147" s="196" t="s">
        <v>218</v>
      </c>
      <c r="R147" s="211" t="s">
        <v>216</v>
      </c>
      <c r="S147" s="211"/>
      <c r="T147" s="212"/>
      <c r="U147" s="196" t="s">
        <v>218</v>
      </c>
      <c r="V147" s="211" t="s">
        <v>216</v>
      </c>
      <c r="W147" s="422"/>
      <c r="X147" s="423"/>
      <c r="Y147" s="196" t="s">
        <v>218</v>
      </c>
      <c r="Z147" s="196" t="s">
        <v>254</v>
      </c>
    </row>
    <row r="148" customFormat="false" ht="27.75" hidden="false" customHeight="true" outlineLevel="0" collapsed="false">
      <c r="A148" s="19" t="str">
        <f aca="false">Interview!A218</f>
        <v>O-OM-A-1-1</v>
      </c>
      <c r="B148" s="417" t="str">
        <f aca="false">INDEX('imp-questions'!D:D, MATCH(A148, 'imp-questions'!A:A, 0))</f>
        <v>Data Protection</v>
      </c>
      <c r="C148" s="198" t="n">
        <f aca="false">INDEX('imp-questions'!E:E, MATCH(A148, 'imp-questions'!A:A, 0))</f>
        <v>1</v>
      </c>
      <c r="D148" s="281" t="str">
        <f aca="false">INDEX('imp-questions'!F:F, MATCH(A148, 'imp-questions'!A:A, 0))</f>
        <v>Do you protect and handle information according to protection requirements for data stored and processed on each application?</v>
      </c>
      <c r="E148" s="282" t="str">
        <f aca="false">CHAR(65+INDEX('imp-questions'!H:H, MATCH(A148, 'imp-questions'!A:A, 0)))</f>
        <v>A</v>
      </c>
      <c r="F148" s="286" t="str">
        <f aca="false">IF(ISBLANK(Interview!F218),"",Interview!F218)</f>
        <v/>
      </c>
      <c r="G148" s="335" t="n">
        <f aca="true">IFERROR(INDEX(INDIRECT("Ans" &amp; E148 &amp; "TBL"), MATCH(F148, INDEX(INDIRECT("Ans" &amp; E148 &amp; "TBL"), 0, 1), 0), 2), 0)</f>
        <v>0</v>
      </c>
      <c r="H148" s="354" t="n">
        <f aca="false">IFERROR(AVERAGE(G148,G152),0)</f>
        <v>0</v>
      </c>
      <c r="I148" s="424" t="n">
        <f aca="false">SUM(H148:H150)</f>
        <v>0</v>
      </c>
      <c r="J148" s="286" t="str">
        <f aca="false">F148</f>
        <v/>
      </c>
      <c r="K148" s="335" t="n">
        <f aca="true">IFERROR(INDEX(INDIRECT("Ans" &amp; E148 &amp; "TBL"), MATCH(J148, INDEX(INDIRECT("Ans" &amp; E148 &amp; "TBL"), 0, 1), 0), 2), 0)</f>
        <v>0</v>
      </c>
      <c r="L148" s="354" t="n">
        <f aca="false">IFERROR(AVERAGE(K148,K152),0)</f>
        <v>0</v>
      </c>
      <c r="M148" s="424" t="n">
        <f aca="false">SUM(L148:L150)</f>
        <v>0</v>
      </c>
      <c r="N148" s="286" t="str">
        <f aca="false">J148</f>
        <v/>
      </c>
      <c r="O148" s="335" t="n">
        <f aca="true">IFERROR(INDEX(INDIRECT("Ans" &amp; E148 &amp; "TBL"), MATCH(N148, INDEX(INDIRECT("Ans" &amp; E148 &amp; "TBL"), 0, 1), 0), 2), 0)</f>
        <v>0</v>
      </c>
      <c r="P148" s="354" t="n">
        <f aca="false">IFERROR(AVERAGE(O148,O152),0)</f>
        <v>0</v>
      </c>
      <c r="Q148" s="424" t="n">
        <f aca="false">SUM(P148:P150)</f>
        <v>0</v>
      </c>
      <c r="R148" s="286" t="str">
        <f aca="false">N148</f>
        <v/>
      </c>
      <c r="S148" s="88" t="n">
        <f aca="true">IFERROR(INDEX(INDIRECT("Ans" &amp; E148 &amp; "TBL"), MATCH(R148, INDEX(INDIRECT("Ans" &amp; E148 &amp; "TBL"), 0, 1), 0), 2), 0)</f>
        <v>0</v>
      </c>
      <c r="T148" s="118" t="n">
        <f aca="false">IFERROR(AVERAGE(S148,S152),0)</f>
        <v>0</v>
      </c>
      <c r="U148" s="424" t="n">
        <f aca="false">SUM(T148:T150)</f>
        <v>0</v>
      </c>
      <c r="V148" s="286" t="str">
        <f aca="false">R148</f>
        <v/>
      </c>
      <c r="W148" s="335" t="n">
        <f aca="true">IFERROR(INDEX(INDIRECT("Ans" &amp; E148 &amp; "TBL"), MATCH(V148, INDEX(INDIRECT("Ans" &amp; E148 &amp; "TBL"), 0, 1), 0), 2), 0)</f>
        <v>0</v>
      </c>
      <c r="X148" s="354" t="n">
        <f aca="false">IFERROR(AVERAGE(W148,W152),0)</f>
        <v>0</v>
      </c>
      <c r="Y148" s="424" t="n">
        <f aca="false">SUM(X148:X150)</f>
        <v>0</v>
      </c>
      <c r="Z148" s="424" t="n">
        <f aca="false">SUM(Y148:Y150)</f>
        <v>0</v>
      </c>
    </row>
    <row r="149" customFormat="false" ht="27.75" hidden="false" customHeight="true" outlineLevel="0" collapsed="false">
      <c r="A149" s="19" t="str">
        <f aca="false">Interview!A220</f>
        <v>O-OM-A-2-1</v>
      </c>
      <c r="B149" s="417"/>
      <c r="C149" s="198" t="n">
        <f aca="false">INDEX('imp-questions'!E:E, MATCH(A149, 'imp-questions'!A:A, 0))</f>
        <v>2</v>
      </c>
      <c r="D149" s="281" t="str">
        <f aca="false">INDEX('imp-questions'!F:F, MATCH(A149, 'imp-questions'!A:A, 0))</f>
        <v>Do you maintain a data catalog, including types, sensitivity levels, and processing and storage locations?</v>
      </c>
      <c r="E149" s="282" t="str">
        <f aca="false">CHAR(65+INDEX('imp-questions'!H:H, MATCH(A149, 'imp-questions'!A:A, 0)))</f>
        <v>J</v>
      </c>
      <c r="F149" s="283" t="str">
        <f aca="false">IF(ISBLANK(Interview!F220),"",Interview!F220)</f>
        <v/>
      </c>
      <c r="G149" s="337" t="n">
        <f aca="true">IFERROR(INDEX(INDIRECT("Ans" &amp; E149 &amp; "TBL"), MATCH(F149, INDEX(INDIRECT("Ans" &amp; E149 &amp; "TBL"), 0, 1), 0), 2), 0)</f>
        <v>0</v>
      </c>
      <c r="H149" s="355" t="n">
        <f aca="false">IFERROR(AVERAGE(G149,G153),0)</f>
        <v>0</v>
      </c>
      <c r="I149" s="424"/>
      <c r="J149" s="286" t="str">
        <f aca="false">F149</f>
        <v/>
      </c>
      <c r="K149" s="337" t="n">
        <f aca="true">IFERROR(INDEX(INDIRECT("Ans" &amp; E149 &amp; "TBL"), MATCH(J149, INDEX(INDIRECT("Ans" &amp; E149 &amp; "TBL"), 0, 1), 0), 2), 0)</f>
        <v>0</v>
      </c>
      <c r="L149" s="355" t="n">
        <f aca="false">IFERROR(AVERAGE(K149,K153),0)</f>
        <v>0</v>
      </c>
      <c r="M149" s="424"/>
      <c r="N149" s="286" t="str">
        <f aca="false">J149</f>
        <v/>
      </c>
      <c r="O149" s="337" t="n">
        <f aca="true">IFERROR(INDEX(INDIRECT("Ans" &amp; E149 &amp; "TBL"), MATCH(N149, INDEX(INDIRECT("Ans" &amp; E149 &amp; "TBL"), 0, 1), 0), 2), 0)</f>
        <v>0</v>
      </c>
      <c r="P149" s="355" t="n">
        <f aca="false">IFERROR(AVERAGE(O149,O153),0)</f>
        <v>0</v>
      </c>
      <c r="Q149" s="424"/>
      <c r="R149" s="286" t="str">
        <f aca="false">N149</f>
        <v/>
      </c>
      <c r="S149" s="88" t="n">
        <f aca="true">IFERROR(INDEX(INDIRECT("Ans" &amp; E149 &amp; "TBL"), MATCH(R149, INDEX(INDIRECT("Ans" &amp; E149 &amp; "TBL"), 0, 1), 0), 2), 0)</f>
        <v>0</v>
      </c>
      <c r="T149" s="118" t="n">
        <f aca="false">IFERROR(AVERAGE(S149,S153),0)</f>
        <v>0</v>
      </c>
      <c r="U149" s="424"/>
      <c r="V149" s="286" t="str">
        <f aca="false">R149</f>
        <v/>
      </c>
      <c r="W149" s="337" t="n">
        <f aca="true">IFERROR(INDEX(INDIRECT("Ans" &amp; E149 &amp; "TBL"), MATCH(V149, INDEX(INDIRECT("Ans" &amp; E149 &amp; "TBL"), 0, 1), 0), 2), 0)</f>
        <v>0</v>
      </c>
      <c r="X149" s="355" t="n">
        <f aca="false">IFERROR(AVERAGE(W149,W153),0)</f>
        <v>0</v>
      </c>
      <c r="Y149" s="424"/>
      <c r="Z149" s="424"/>
    </row>
    <row r="150" customFormat="false" ht="27.75" hidden="false" customHeight="true" outlineLevel="0" collapsed="false">
      <c r="A150" s="19" t="str">
        <f aca="false">Interview!A222</f>
        <v>O-OM-A-3-1</v>
      </c>
      <c r="B150" s="417"/>
      <c r="C150" s="198" t="n">
        <f aca="false">INDEX('imp-questions'!E:E, MATCH(A150, 'imp-questions'!A:A, 0))</f>
        <v>3</v>
      </c>
      <c r="D150" s="293" t="str">
        <f aca="false">INDEX('imp-questions'!F:F, MATCH(A150, 'imp-questions'!A:A, 0))</f>
        <v>Do you regularly review and update the data catalog and your data protection policies and procedures?</v>
      </c>
      <c r="E150" s="282" t="str">
        <f aca="false">CHAR(65+INDEX('imp-questions'!H:H, MATCH(A150, 'imp-questions'!A:A, 0)))</f>
        <v>K</v>
      </c>
      <c r="F150" s="294" t="str">
        <f aca="false">IF(ISBLANK(Interview!F222),"",Interview!F222)</f>
        <v/>
      </c>
      <c r="G150" s="340" t="n">
        <f aca="true">IFERROR(INDEX(INDIRECT("Ans" &amp; E150 &amp; "TBL"), MATCH(F150, INDEX(INDIRECT("Ans" &amp; E150 &amp; "TBL"), 0, 1), 0), 2), 0)</f>
        <v>0</v>
      </c>
      <c r="H150" s="359" t="n">
        <f aca="false">IFERROR(AVERAGE(G150,G154),0)</f>
        <v>0</v>
      </c>
      <c r="I150" s="424"/>
      <c r="J150" s="286" t="str">
        <f aca="false">F150</f>
        <v/>
      </c>
      <c r="K150" s="340" t="n">
        <f aca="true">IFERROR(INDEX(INDIRECT("Ans" &amp; E150 &amp; "TBL"), MATCH(J150, INDEX(INDIRECT("Ans" &amp; E150 &amp; "TBL"), 0, 1), 0), 2), 0)</f>
        <v>0</v>
      </c>
      <c r="L150" s="359" t="n">
        <f aca="false">IFERROR(AVERAGE(K150,K154),0)</f>
        <v>0</v>
      </c>
      <c r="M150" s="424"/>
      <c r="N150" s="286" t="str">
        <f aca="false">J150</f>
        <v/>
      </c>
      <c r="O150" s="340" t="n">
        <f aca="true">IFERROR(INDEX(INDIRECT("Ans" &amp; E150 &amp; "TBL"), MATCH(N150, INDEX(INDIRECT("Ans" &amp; E150 &amp; "TBL"), 0, 1), 0), 2), 0)</f>
        <v>0</v>
      </c>
      <c r="P150" s="359" t="n">
        <f aca="false">IFERROR(AVERAGE(O150,O154),0)</f>
        <v>0</v>
      </c>
      <c r="Q150" s="424"/>
      <c r="R150" s="286" t="str">
        <f aca="false">N150</f>
        <v/>
      </c>
      <c r="S150" s="88" t="n">
        <f aca="true">IFERROR(INDEX(INDIRECT("Ans" &amp; E150 &amp; "TBL"), MATCH(R150, INDEX(INDIRECT("Ans" &amp; E150 &amp; "TBL"), 0, 1), 0), 2), 0)</f>
        <v>0</v>
      </c>
      <c r="T150" s="118" t="n">
        <f aca="false">IFERROR(AVERAGE(S150,S154),0)</f>
        <v>0</v>
      </c>
      <c r="U150" s="424"/>
      <c r="V150" s="286" t="str">
        <f aca="false">R150</f>
        <v/>
      </c>
      <c r="W150" s="340" t="n">
        <f aca="true">IFERROR(INDEX(INDIRECT("Ans" &amp; E150 &amp; "TBL"), MATCH(V150, INDEX(INDIRECT("Ans" &amp; E150 &amp; "TBL"), 0, 1), 0), 2), 0)</f>
        <v>0</v>
      </c>
      <c r="X150" s="359" t="n">
        <f aca="false">IFERROR(AVERAGE(W150,W154),0)</f>
        <v>0</v>
      </c>
      <c r="Y150" s="424"/>
      <c r="Z150" s="424"/>
    </row>
    <row r="151" customFormat="false" ht="12.75" hidden="false" customHeight="true" outlineLevel="0" collapsed="false">
      <c r="B151" s="366"/>
      <c r="C151" s="298"/>
      <c r="D151" s="76"/>
      <c r="E151" s="124"/>
      <c r="F151" s="76"/>
      <c r="G151" s="124"/>
      <c r="H151" s="124"/>
      <c r="I151" s="424"/>
      <c r="J151" s="76"/>
      <c r="K151" s="124"/>
      <c r="L151" s="124"/>
      <c r="M151" s="424"/>
      <c r="N151" s="76"/>
      <c r="O151" s="76"/>
      <c r="P151" s="124"/>
      <c r="Q151" s="424"/>
      <c r="R151" s="76"/>
      <c r="S151" s="124"/>
      <c r="T151" s="124"/>
      <c r="U151" s="424"/>
      <c r="V151" s="76"/>
      <c r="W151" s="76"/>
      <c r="X151" s="124"/>
      <c r="Y151" s="424"/>
      <c r="Z151" s="424"/>
    </row>
    <row r="152" customFormat="false" ht="39.75" hidden="false" customHeight="true" outlineLevel="0" collapsed="false">
      <c r="A152" s="19" t="str">
        <f aca="false">Interview!A225</f>
        <v>O-OM-B-1-1</v>
      </c>
      <c r="B152" s="425" t="str">
        <f aca="false">INDEX('imp-questions'!D:D, MATCH(A152, 'imp-questions'!A:A, 0))</f>
        <v>System Decommissioning / Legacy Management</v>
      </c>
      <c r="C152" s="198" t="n">
        <f aca="false">INDEX('imp-questions'!E:E, MATCH(A152, 'imp-questions'!A:A, 0))</f>
        <v>1</v>
      </c>
      <c r="D152" s="281" t="str">
        <f aca="false">INDEX('imp-questions'!F:F, MATCH(A152, 'imp-questions'!A:A, 0))</f>
        <v>Do you identify and remove systems, applications, application dependencies, or services that are no longer used, have reached end of life, or are no longer actively developed or supported?</v>
      </c>
      <c r="E152" s="282" t="str">
        <f aca="false">CHAR(65+INDEX('imp-questions'!H:H, MATCH(A152, 'imp-questions'!A:A, 0)))</f>
        <v>A</v>
      </c>
      <c r="F152" s="286" t="str">
        <f aca="false">IF(ISBLANK(Interview!F225),"",Interview!F225)</f>
        <v/>
      </c>
      <c r="G152" s="335" t="n">
        <f aca="true">IFERROR(INDEX(INDIRECT("Ans" &amp; E152 &amp; "TBL"), MATCH(F152, INDEX(INDIRECT("Ans" &amp; E152 &amp; "TBL"), 0, 1), 0), 2), 0)</f>
        <v>0</v>
      </c>
      <c r="H152" s="334"/>
      <c r="I152" s="424"/>
      <c r="J152" s="286" t="str">
        <f aca="false">F152</f>
        <v/>
      </c>
      <c r="K152" s="335" t="n">
        <f aca="true">IFERROR(INDEX(INDIRECT("Ans" &amp; E152 &amp; "TBL"), MATCH(J152, INDEX(INDIRECT("Ans" &amp; E152 &amp; "TBL"), 0, 1), 0), 2), 0)</f>
        <v>0</v>
      </c>
      <c r="L152" s="334"/>
      <c r="M152" s="424"/>
      <c r="N152" s="286" t="str">
        <f aca="false">J152</f>
        <v/>
      </c>
      <c r="O152" s="302" t="n">
        <f aca="true">IFERROR(INDEX(INDIRECT("Ans" &amp; E152 &amp; "TBL"), MATCH(N152, INDEX(INDIRECT("Ans" &amp; E152 &amp; "TBL"), 0, 1), 0), 2), 0)</f>
        <v>0</v>
      </c>
      <c r="P152" s="321"/>
      <c r="Q152" s="424"/>
      <c r="R152" s="286" t="str">
        <f aca="false">N152</f>
        <v/>
      </c>
      <c r="S152" s="88" t="n">
        <f aca="true">IFERROR(INDEX(INDIRECT("Ans" &amp; E152 &amp; "TBL"), MATCH(R152, INDEX(INDIRECT("Ans" &amp; E152 &amp; "TBL"), 0, 1), 0), 2), 0)</f>
        <v>0</v>
      </c>
      <c r="T152" s="324"/>
      <c r="U152" s="424"/>
      <c r="V152" s="286" t="str">
        <f aca="false">R152</f>
        <v/>
      </c>
      <c r="W152" s="302" t="n">
        <f aca="true">IFERROR(INDEX(INDIRECT("Ans" &amp; E152 &amp; "TBL"), MATCH(V152, INDEX(INDIRECT("Ans" &amp; E152 &amp; "TBL"), 0, 1), 0), 2), 0)</f>
        <v>0</v>
      </c>
      <c r="X152" s="321"/>
      <c r="Y152" s="424"/>
      <c r="Z152" s="424"/>
    </row>
    <row r="153" customFormat="false" ht="39.75" hidden="false" customHeight="true" outlineLevel="0" collapsed="false">
      <c r="A153" s="19" t="str">
        <f aca="false">Interview!A227</f>
        <v>O-OM-B-2-1</v>
      </c>
      <c r="B153" s="425"/>
      <c r="C153" s="198" t="n">
        <f aca="false">INDEX('imp-questions'!E:E, MATCH(A153, 'imp-questions'!A:A, 0))</f>
        <v>2</v>
      </c>
      <c r="D153" s="281" t="str">
        <f aca="false">INDEX('imp-questions'!F:F, MATCH(A153, 'imp-questions'!A:A, 0))</f>
        <v>Do you follow an established process for removing all associated resources, as part of decommissioning of unused systems, applications, application dependencies, or services?</v>
      </c>
      <c r="E153" s="282" t="str">
        <f aca="false">CHAR(65+INDEX('imp-questions'!H:H, MATCH(A153, 'imp-questions'!A:A, 0)))</f>
        <v>E</v>
      </c>
      <c r="F153" s="283" t="str">
        <f aca="false">IF(ISBLANK(Interview!F227),"",Interview!F227)</f>
        <v/>
      </c>
      <c r="G153" s="337" t="n">
        <f aca="true">IFERROR(INDEX(INDIRECT("Ans" &amp; E153 &amp; "TBL"), MATCH(F153, INDEX(INDIRECT("Ans" &amp; E153 &amp; "TBL"), 0, 1), 0), 2), 0)</f>
        <v>0</v>
      </c>
      <c r="H153" s="336"/>
      <c r="I153" s="424"/>
      <c r="J153" s="286" t="str">
        <f aca="false">F153</f>
        <v/>
      </c>
      <c r="K153" s="337" t="n">
        <f aca="true">IFERROR(INDEX(INDIRECT("Ans" &amp; E153 &amp; "TBL"), MATCH(J153, INDEX(INDIRECT("Ans" &amp; E153 &amp; "TBL"), 0, 1), 0), 2), 0)</f>
        <v>0</v>
      </c>
      <c r="L153" s="336"/>
      <c r="M153" s="424"/>
      <c r="N153" s="286" t="str">
        <f aca="false">J153</f>
        <v/>
      </c>
      <c r="O153" s="302" t="n">
        <f aca="true">IFERROR(INDEX(INDIRECT("Ans" &amp; E153 &amp; "TBL"), MATCH(N153, INDEX(INDIRECT("Ans" &amp; E153 &amp; "TBL"), 0, 1), 0), 2), 0)</f>
        <v>0</v>
      </c>
      <c r="P153" s="305"/>
      <c r="Q153" s="424"/>
      <c r="R153" s="286" t="str">
        <f aca="false">N153</f>
        <v/>
      </c>
      <c r="S153" s="88" t="n">
        <f aca="true">IFERROR(INDEX(INDIRECT("Ans" &amp; E153 &amp; "TBL"), MATCH(R153, INDEX(INDIRECT("Ans" &amp; E153 &amp; "TBL"), 0, 1), 0), 2), 0)</f>
        <v>0</v>
      </c>
      <c r="T153" s="306"/>
      <c r="U153" s="424"/>
      <c r="V153" s="286" t="str">
        <f aca="false">R153</f>
        <v/>
      </c>
      <c r="W153" s="302" t="n">
        <f aca="true">IFERROR(INDEX(INDIRECT("Ans" &amp; E153 &amp; "TBL"), MATCH(V153, INDEX(INDIRECT("Ans" &amp; E153 &amp; "TBL"), 0, 1), 0), 2), 0)</f>
        <v>0</v>
      </c>
      <c r="X153" s="305"/>
      <c r="Y153" s="424"/>
      <c r="Z153" s="424"/>
    </row>
    <row r="154" customFormat="false" ht="27.75" hidden="false" customHeight="true" outlineLevel="0" collapsed="false">
      <c r="A154" s="19" t="str">
        <f aca="false">Interview!A229</f>
        <v>O-OM-B-3-1</v>
      </c>
      <c r="B154" s="425"/>
      <c r="C154" s="198" t="n">
        <f aca="false">INDEX('imp-questions'!E:E, MATCH(A154, 'imp-questions'!A:A, 0))</f>
        <v>3</v>
      </c>
      <c r="D154" s="293" t="str">
        <f aca="false">INDEX('imp-questions'!F:F, MATCH(A154, 'imp-questions'!A:A, 0))</f>
        <v>Do you regularly evaluate the lifecycle state and support status of every software asset and underlying infrastructure component, and estimate their end of life?</v>
      </c>
      <c r="E154" s="282" t="str">
        <f aca="false">CHAR(65+INDEX('imp-questions'!H:H, MATCH(A154, 'imp-questions'!A:A, 0)))</f>
        <v>L</v>
      </c>
      <c r="F154" s="283" t="str">
        <f aca="false">IF(ISBLANK(Interview!F229),"",Interview!F229)</f>
        <v/>
      </c>
      <c r="G154" s="340" t="n">
        <f aca="true">IFERROR(INDEX(INDIRECT("Ans" &amp; E154 &amp; "TBL"), MATCH(F154, INDEX(INDIRECT("Ans" &amp; E154 &amp; "TBL"), 0, 1), 0), 2), 0)</f>
        <v>0</v>
      </c>
      <c r="H154" s="339"/>
      <c r="I154" s="424"/>
      <c r="J154" s="286" t="str">
        <f aca="false">F154</f>
        <v/>
      </c>
      <c r="K154" s="340" t="n">
        <f aca="true">IFERROR(INDEX(INDIRECT("Ans" &amp; E154 &amp; "TBL"), MATCH(J154, INDEX(INDIRECT("Ans" &amp; E154 &amp; "TBL"), 0, 1), 0), 2), 0)</f>
        <v>0</v>
      </c>
      <c r="L154" s="339"/>
      <c r="M154" s="424"/>
      <c r="N154" s="286" t="str">
        <f aca="false">J154</f>
        <v/>
      </c>
      <c r="O154" s="426" t="n">
        <f aca="true">IFERROR(INDEX(INDIRECT("Ans" &amp; E154 &amp; "TBL"), MATCH(N154, INDEX(INDIRECT("Ans" &amp; E154 &amp; "TBL"), 0, 1), 0), 2), 0)</f>
        <v>0</v>
      </c>
      <c r="P154" s="308"/>
      <c r="Q154" s="424"/>
      <c r="R154" s="286" t="str">
        <f aca="false">N154</f>
        <v/>
      </c>
      <c r="S154" s="88" t="n">
        <f aca="true">IFERROR(INDEX(INDIRECT("Ans" &amp; E154 &amp; "TBL"), MATCH(R154, INDEX(INDIRECT("Ans" &amp; E154 &amp; "TBL"), 0, 1), 0), 2), 0)</f>
        <v>0</v>
      </c>
      <c r="T154" s="309"/>
      <c r="U154" s="424"/>
      <c r="V154" s="286" t="str">
        <f aca="false">R154</f>
        <v/>
      </c>
      <c r="W154" s="88" t="n">
        <f aca="true">IFERROR(INDEX(INDIRECT("Ans" &amp; E154 &amp; "TBL"), MATCH(V154, INDEX(INDIRECT("Ans" &amp; E154 &amp; "TBL"), 0, 1), 0), 2), 0)</f>
        <v>0</v>
      </c>
      <c r="X154" s="308"/>
      <c r="Y154" s="424"/>
      <c r="Z154" s="424"/>
    </row>
  </sheetData>
  <mergeCells count="155">
    <mergeCell ref="B10:C10"/>
    <mergeCell ref="B11:C11"/>
    <mergeCell ref="B12:C12"/>
    <mergeCell ref="B13:C13"/>
    <mergeCell ref="B14:C14"/>
    <mergeCell ref="B16:D16"/>
    <mergeCell ref="F16:I16"/>
    <mergeCell ref="J16:M16"/>
    <mergeCell ref="N16:Q16"/>
    <mergeCell ref="R16:U16"/>
    <mergeCell ref="V16:Z16"/>
    <mergeCell ref="B18:B20"/>
    <mergeCell ref="I18:I24"/>
    <mergeCell ref="M18:M24"/>
    <mergeCell ref="Q18:Q24"/>
    <mergeCell ref="U18:U24"/>
    <mergeCell ref="Y18:Y24"/>
    <mergeCell ref="Z18:Z24"/>
    <mergeCell ref="B22:B24"/>
    <mergeCell ref="B27:B29"/>
    <mergeCell ref="I27:I33"/>
    <mergeCell ref="M27:M33"/>
    <mergeCell ref="Q27:Q33"/>
    <mergeCell ref="U27:U33"/>
    <mergeCell ref="Y27:Y33"/>
    <mergeCell ref="Z27:Z33"/>
    <mergeCell ref="B31:B33"/>
    <mergeCell ref="B36:B38"/>
    <mergeCell ref="I36:I42"/>
    <mergeCell ref="M36:M42"/>
    <mergeCell ref="Q36:Q42"/>
    <mergeCell ref="U36:U42"/>
    <mergeCell ref="Y36:Y42"/>
    <mergeCell ref="Z36:Z42"/>
    <mergeCell ref="B40:B42"/>
    <mergeCell ref="B44:D44"/>
    <mergeCell ref="F44:I44"/>
    <mergeCell ref="J44:M44"/>
    <mergeCell ref="N44:Q44"/>
    <mergeCell ref="R44:U44"/>
    <mergeCell ref="V44:Z44"/>
    <mergeCell ref="B46:B48"/>
    <mergeCell ref="I46:I52"/>
    <mergeCell ref="M46:M52"/>
    <mergeCell ref="Q46:Q52"/>
    <mergeCell ref="U46:U52"/>
    <mergeCell ref="Y46:Y52"/>
    <mergeCell ref="Z46:Z52"/>
    <mergeCell ref="B50:B52"/>
    <mergeCell ref="B55:B57"/>
    <mergeCell ref="I55:I61"/>
    <mergeCell ref="M55:M61"/>
    <mergeCell ref="Q55:Q61"/>
    <mergeCell ref="U55:U61"/>
    <mergeCell ref="Y55:Y61"/>
    <mergeCell ref="Z55:Z61"/>
    <mergeCell ref="B59:B61"/>
    <mergeCell ref="B64:B66"/>
    <mergeCell ref="I64:I70"/>
    <mergeCell ref="M64:M70"/>
    <mergeCell ref="Q64:Q70"/>
    <mergeCell ref="U64:U70"/>
    <mergeCell ref="Y64:Y70"/>
    <mergeCell ref="Z64:Z70"/>
    <mergeCell ref="B68:B70"/>
    <mergeCell ref="B72:D72"/>
    <mergeCell ref="F72:I72"/>
    <mergeCell ref="J72:M72"/>
    <mergeCell ref="N72:Q72"/>
    <mergeCell ref="R72:U72"/>
    <mergeCell ref="V72:Z72"/>
    <mergeCell ref="B74:B76"/>
    <mergeCell ref="I74:I80"/>
    <mergeCell ref="M74:M80"/>
    <mergeCell ref="Q74:Q80"/>
    <mergeCell ref="U74:U80"/>
    <mergeCell ref="Y74:Y80"/>
    <mergeCell ref="Z74:Z80"/>
    <mergeCell ref="B78:B80"/>
    <mergeCell ref="B83:B85"/>
    <mergeCell ref="I83:I89"/>
    <mergeCell ref="M83:M89"/>
    <mergeCell ref="Q83:Q89"/>
    <mergeCell ref="U83:U89"/>
    <mergeCell ref="Y83:Y89"/>
    <mergeCell ref="Z83:Z89"/>
    <mergeCell ref="B87:B89"/>
    <mergeCell ref="B92:B94"/>
    <mergeCell ref="I92:I98"/>
    <mergeCell ref="M92:M98"/>
    <mergeCell ref="Q92:Q98"/>
    <mergeCell ref="U92:U98"/>
    <mergeCell ref="Y92:Y98"/>
    <mergeCell ref="Z92:Z98"/>
    <mergeCell ref="B96:B98"/>
    <mergeCell ref="B100:D100"/>
    <mergeCell ref="F100:I100"/>
    <mergeCell ref="J100:M100"/>
    <mergeCell ref="N100:Q100"/>
    <mergeCell ref="R100:U100"/>
    <mergeCell ref="V100:Z100"/>
    <mergeCell ref="B102:B104"/>
    <mergeCell ref="I102:I108"/>
    <mergeCell ref="M102:M108"/>
    <mergeCell ref="Q102:Q108"/>
    <mergeCell ref="U102:U108"/>
    <mergeCell ref="Y102:Y108"/>
    <mergeCell ref="Z102:Z108"/>
    <mergeCell ref="B106:B108"/>
    <mergeCell ref="B111:B113"/>
    <mergeCell ref="I111:I117"/>
    <mergeCell ref="M111:M117"/>
    <mergeCell ref="Q111:Q117"/>
    <mergeCell ref="U111:U117"/>
    <mergeCell ref="Y111:Y117"/>
    <mergeCell ref="Z111:Z117"/>
    <mergeCell ref="B115:B117"/>
    <mergeCell ref="B120:B122"/>
    <mergeCell ref="I120:I126"/>
    <mergeCell ref="M120:M126"/>
    <mergeCell ref="Q120:Q126"/>
    <mergeCell ref="U120:U126"/>
    <mergeCell ref="Y120:Y126"/>
    <mergeCell ref="Z120:Z126"/>
    <mergeCell ref="B124:B126"/>
    <mergeCell ref="B128:D128"/>
    <mergeCell ref="F128:I128"/>
    <mergeCell ref="J128:M128"/>
    <mergeCell ref="N128:Q128"/>
    <mergeCell ref="R128:U128"/>
    <mergeCell ref="V128:Z128"/>
    <mergeCell ref="B130:B132"/>
    <mergeCell ref="I130:I136"/>
    <mergeCell ref="M130:M136"/>
    <mergeCell ref="Q130:Q136"/>
    <mergeCell ref="U130:U136"/>
    <mergeCell ref="Y130:Y136"/>
    <mergeCell ref="Z130:Z136"/>
    <mergeCell ref="B134:B136"/>
    <mergeCell ref="B139:B141"/>
    <mergeCell ref="I139:I145"/>
    <mergeCell ref="M139:M145"/>
    <mergeCell ref="Q139:Q145"/>
    <mergeCell ref="U139:U145"/>
    <mergeCell ref="Y139:Y145"/>
    <mergeCell ref="Z139:Z145"/>
    <mergeCell ref="B143:B145"/>
    <mergeCell ref="B148:B150"/>
    <mergeCell ref="I148:I154"/>
    <mergeCell ref="M148:M154"/>
    <mergeCell ref="Q148:Q154"/>
    <mergeCell ref="U148:U154"/>
    <mergeCell ref="Y148:Y154"/>
    <mergeCell ref="Z148:Z154"/>
    <mergeCell ref="B152:B154"/>
  </mergeCells>
  <conditionalFormatting sqref="V18:V20">
    <cfRule type="expression" priority="2" aboveAverage="0" equalAverage="0" bottom="0" percent="0" rank="0" text="" dxfId="0">
      <formula>W18&lt;S18</formula>
    </cfRule>
    <cfRule type="expression" priority="3" aboveAverage="0" equalAverage="0" bottom="0" percent="0" rank="0" text="" dxfId="1">
      <formula>W18&gt;S18</formula>
    </cfRule>
  </conditionalFormatting>
  <conditionalFormatting sqref="R18:R20">
    <cfRule type="expression" priority="4" aboveAverage="0" equalAverage="0" bottom="0" percent="0" rank="0" text="" dxfId="2">
      <formula>S18&lt;O18</formula>
    </cfRule>
    <cfRule type="expression" priority="5" aboveAverage="0" equalAverage="0" bottom="0" percent="0" rank="0" text="" dxfId="3">
      <formula>S18&gt;O18</formula>
    </cfRule>
  </conditionalFormatting>
  <conditionalFormatting sqref="N18:N20">
    <cfRule type="expression" priority="6" aboveAverage="0" equalAverage="0" bottom="0" percent="0" rank="0" text="" dxfId="4">
      <formula>O18&lt;K18</formula>
    </cfRule>
    <cfRule type="expression" priority="7" aboveAverage="0" equalAverage="0" bottom="0" percent="0" rank="0" text="" dxfId="5">
      <formula>O18&gt;K18</formula>
    </cfRule>
  </conditionalFormatting>
  <conditionalFormatting sqref="J18:J20">
    <cfRule type="expression" priority="8" aboveAverage="0" equalAverage="0" bottom="0" percent="0" rank="0" text="" dxfId="6">
      <formula>K18&lt;G18</formula>
    </cfRule>
    <cfRule type="expression" priority="9" aboveAverage="0" equalAverage="0" bottom="0" percent="0" rank="0" text="" dxfId="7">
      <formula>K18&gt;G18</formula>
    </cfRule>
  </conditionalFormatting>
  <conditionalFormatting sqref="V152:V154">
    <cfRule type="expression" priority="10" aboveAverage="0" equalAverage="0" bottom="0" percent="0" rank="0" text="" dxfId="8">
      <formula>W152&lt;S152</formula>
    </cfRule>
    <cfRule type="expression" priority="11" aboveAverage="0" equalAverage="0" bottom="0" percent="0" rank="0" text="" dxfId="9">
      <formula>W152&gt;S152</formula>
    </cfRule>
  </conditionalFormatting>
  <conditionalFormatting sqref="V148:V150">
    <cfRule type="expression" priority="12" aboveAverage="0" equalAverage="0" bottom="0" percent="0" rank="0" text="" dxfId="10">
      <formula>W148&lt;S148</formula>
    </cfRule>
    <cfRule type="expression" priority="13" aboveAverage="0" equalAverage="0" bottom="0" percent="0" rank="0" text="" dxfId="11">
      <formula>W148&gt;S148</formula>
    </cfRule>
  </conditionalFormatting>
  <conditionalFormatting sqref="R152:R154">
    <cfRule type="expression" priority="14" aboveAverage="0" equalAverage="0" bottom="0" percent="0" rank="0" text="" dxfId="12">
      <formula>S152&lt;O152</formula>
    </cfRule>
    <cfRule type="expression" priority="15" aboveAverage="0" equalAverage="0" bottom="0" percent="0" rank="0" text="" dxfId="13">
      <formula>S152&gt;O152</formula>
    </cfRule>
  </conditionalFormatting>
  <conditionalFormatting sqref="R148:R150">
    <cfRule type="expression" priority="16" aboveAverage="0" equalAverage="0" bottom="0" percent="0" rank="0" text="" dxfId="14">
      <formula>S148&lt;O148</formula>
    </cfRule>
    <cfRule type="expression" priority="17" aboveAverage="0" equalAverage="0" bottom="0" percent="0" rank="0" text="" dxfId="15">
      <formula>S148&gt;O148</formula>
    </cfRule>
  </conditionalFormatting>
  <conditionalFormatting sqref="N152:N154">
    <cfRule type="expression" priority="18" aboveAverage="0" equalAverage="0" bottom="0" percent="0" rank="0" text="" dxfId="16">
      <formula>O152&lt;K152</formula>
    </cfRule>
    <cfRule type="expression" priority="19" aboveAverage="0" equalAverage="0" bottom="0" percent="0" rank="0" text="" dxfId="17">
      <formula>O152&gt;K152</formula>
    </cfRule>
  </conditionalFormatting>
  <conditionalFormatting sqref="N148:N150">
    <cfRule type="expression" priority="20" aboveAverage="0" equalAverage="0" bottom="0" percent="0" rank="0" text="" dxfId="18">
      <formula>O148&lt;K148</formula>
    </cfRule>
    <cfRule type="expression" priority="21" aboveAverage="0" equalAverage="0" bottom="0" percent="0" rank="0" text="" dxfId="19">
      <formula>O148&gt;K148</formula>
    </cfRule>
  </conditionalFormatting>
  <conditionalFormatting sqref="J152:J154">
    <cfRule type="expression" priority="22" aboveAverage="0" equalAverage="0" bottom="0" percent="0" rank="0" text="" dxfId="20">
      <formula>K152&lt;G152</formula>
    </cfRule>
    <cfRule type="expression" priority="23" aboveAverage="0" equalAverage="0" bottom="0" percent="0" rank="0" text="" dxfId="21">
      <formula>K152&gt;G152</formula>
    </cfRule>
  </conditionalFormatting>
  <conditionalFormatting sqref="J148:J150">
    <cfRule type="expression" priority="24" aboveAverage="0" equalAverage="0" bottom="0" percent="0" rank="0" text="" dxfId="22">
      <formula>K148&lt;G148</formula>
    </cfRule>
    <cfRule type="expression" priority="25" aboveAverage="0" equalAverage="0" bottom="0" percent="0" rank="0" text="" dxfId="23">
      <formula>K148&gt;G148</formula>
    </cfRule>
  </conditionalFormatting>
  <conditionalFormatting sqref="V143:V145">
    <cfRule type="expression" priority="26" aboveAverage="0" equalAverage="0" bottom="0" percent="0" rank="0" text="" dxfId="24">
      <formula>W143&lt;S143</formula>
    </cfRule>
    <cfRule type="expression" priority="27" aboveAverage="0" equalAverage="0" bottom="0" percent="0" rank="0" text="" dxfId="25">
      <formula>W143&gt;S143</formula>
    </cfRule>
  </conditionalFormatting>
  <conditionalFormatting sqref="V139:V141">
    <cfRule type="expression" priority="28" aboveAverage="0" equalAverage="0" bottom="0" percent="0" rank="0" text="" dxfId="26">
      <formula>W139&lt;S139</formula>
    </cfRule>
    <cfRule type="expression" priority="29" aboveAverage="0" equalAverage="0" bottom="0" percent="0" rank="0" text="" dxfId="27">
      <formula>W139&gt;S139</formula>
    </cfRule>
  </conditionalFormatting>
  <conditionalFormatting sqref="V134:V136">
    <cfRule type="expression" priority="30" aboveAverage="0" equalAverage="0" bottom="0" percent="0" rank="0" text="" dxfId="28">
      <formula>W134&lt;S134</formula>
    </cfRule>
    <cfRule type="expression" priority="31" aboveAverage="0" equalAverage="0" bottom="0" percent="0" rank="0" text="" dxfId="29">
      <formula>W134&gt;S134</formula>
    </cfRule>
  </conditionalFormatting>
  <conditionalFormatting sqref="V130:V132">
    <cfRule type="expression" priority="32" aboveAverage="0" equalAverage="0" bottom="0" percent="0" rank="0" text="" dxfId="30">
      <formula>W130&lt;S130</formula>
    </cfRule>
    <cfRule type="expression" priority="33" aboveAverage="0" equalAverage="0" bottom="0" percent="0" rank="0" text="" dxfId="31">
      <formula>W130&gt;S130</formula>
    </cfRule>
  </conditionalFormatting>
  <conditionalFormatting sqref="R143:R145">
    <cfRule type="expression" priority="34" aboveAverage="0" equalAverage="0" bottom="0" percent="0" rank="0" text="" dxfId="32">
      <formula>S143&lt;O143</formula>
    </cfRule>
    <cfRule type="expression" priority="35" aboveAverage="0" equalAverage="0" bottom="0" percent="0" rank="0" text="" dxfId="33">
      <formula>S143&gt;O143</formula>
    </cfRule>
  </conditionalFormatting>
  <conditionalFormatting sqref="R139:R141">
    <cfRule type="expression" priority="36" aboveAverage="0" equalAverage="0" bottom="0" percent="0" rank="0" text="" dxfId="34">
      <formula>S139&lt;O139</formula>
    </cfRule>
    <cfRule type="expression" priority="37" aboveAverage="0" equalAverage="0" bottom="0" percent="0" rank="0" text="" dxfId="35">
      <formula>S139&gt;O139</formula>
    </cfRule>
  </conditionalFormatting>
  <conditionalFormatting sqref="R134:R136">
    <cfRule type="expression" priority="38" aboveAverage="0" equalAverage="0" bottom="0" percent="0" rank="0" text="" dxfId="36">
      <formula>S134&lt;O134</formula>
    </cfRule>
    <cfRule type="expression" priority="39" aboveAverage="0" equalAverage="0" bottom="0" percent="0" rank="0" text="" dxfId="37">
      <formula>S134&gt;O134</formula>
    </cfRule>
  </conditionalFormatting>
  <conditionalFormatting sqref="R130:R132">
    <cfRule type="expression" priority="40" aboveAverage="0" equalAverage="0" bottom="0" percent="0" rank="0" text="" dxfId="38">
      <formula>S130&lt;O130</formula>
    </cfRule>
    <cfRule type="expression" priority="41" aboveAverage="0" equalAverage="0" bottom="0" percent="0" rank="0" text="" dxfId="39">
      <formula>S130&gt;O130</formula>
    </cfRule>
  </conditionalFormatting>
  <conditionalFormatting sqref="N143:N145">
    <cfRule type="expression" priority="42" aboveAverage="0" equalAverage="0" bottom="0" percent="0" rank="0" text="" dxfId="40">
      <formula>O143&lt;K143</formula>
    </cfRule>
    <cfRule type="expression" priority="43" aboveAverage="0" equalAverage="0" bottom="0" percent="0" rank="0" text="" dxfId="41">
      <formula>O143&gt;K143</formula>
    </cfRule>
  </conditionalFormatting>
  <conditionalFormatting sqref="N139:N141">
    <cfRule type="expression" priority="44" aboveAverage="0" equalAverage="0" bottom="0" percent="0" rank="0" text="" dxfId="42">
      <formula>O139&lt;K139</formula>
    </cfRule>
    <cfRule type="expression" priority="45" aboveAverage="0" equalAverage="0" bottom="0" percent="0" rank="0" text="" dxfId="43">
      <formula>O139&gt;K139</formula>
    </cfRule>
  </conditionalFormatting>
  <conditionalFormatting sqref="N134:N136">
    <cfRule type="expression" priority="46" aboveAverage="0" equalAverage="0" bottom="0" percent="0" rank="0" text="" dxfId="44">
      <formula>O134&lt;K134</formula>
    </cfRule>
    <cfRule type="expression" priority="47" aboveAverage="0" equalAverage="0" bottom="0" percent="0" rank="0" text="" dxfId="45">
      <formula>O134&gt;K134</formula>
    </cfRule>
  </conditionalFormatting>
  <conditionalFormatting sqref="N130:N132">
    <cfRule type="expression" priority="48" aboveAverage="0" equalAverage="0" bottom="0" percent="0" rank="0" text="" dxfId="46">
      <formula>O130&lt;K130</formula>
    </cfRule>
    <cfRule type="expression" priority="49" aboveAverage="0" equalAverage="0" bottom="0" percent="0" rank="0" text="" dxfId="47">
      <formula>O130&gt;K130</formula>
    </cfRule>
  </conditionalFormatting>
  <conditionalFormatting sqref="J143:J145">
    <cfRule type="expression" priority="50" aboveAverage="0" equalAverage="0" bottom="0" percent="0" rank="0" text="" dxfId="48">
      <formula>K143&lt;G143</formula>
    </cfRule>
    <cfRule type="expression" priority="51" aboveAverage="0" equalAverage="0" bottom="0" percent="0" rank="0" text="" dxfId="49">
      <formula>K143&gt;G143</formula>
    </cfRule>
  </conditionalFormatting>
  <conditionalFormatting sqref="J139:J141">
    <cfRule type="expression" priority="52" aboveAverage="0" equalAverage="0" bottom="0" percent="0" rank="0" text="" dxfId="50">
      <formula>K139&lt;G139</formula>
    </cfRule>
    <cfRule type="expression" priority="53" aboveAverage="0" equalAverage="0" bottom="0" percent="0" rank="0" text="" dxfId="51">
      <formula>K139&gt;G139</formula>
    </cfRule>
  </conditionalFormatting>
  <conditionalFormatting sqref="J134:J136">
    <cfRule type="expression" priority="54" aboveAverage="0" equalAverage="0" bottom="0" percent="0" rank="0" text="" dxfId="52">
      <formula>K134&lt;G134</formula>
    </cfRule>
    <cfRule type="expression" priority="55" aboveAverage="0" equalAverage="0" bottom="0" percent="0" rank="0" text="" dxfId="53">
      <formula>K134&gt;G134</formula>
    </cfRule>
  </conditionalFormatting>
  <conditionalFormatting sqref="V124:V126">
    <cfRule type="expression" priority="56" aboveAverage="0" equalAverage="0" bottom="0" percent="0" rank="0" text="" dxfId="54">
      <formula>W124&gt;S124</formula>
    </cfRule>
    <cfRule type="expression" priority="57" aboveAverage="0" equalAverage="0" bottom="0" percent="0" rank="0" text="" dxfId="55">
      <formula>W124&lt;S124</formula>
    </cfRule>
  </conditionalFormatting>
  <conditionalFormatting sqref="V120:V122">
    <cfRule type="expression" priority="58" aboveAverage="0" equalAverage="0" bottom="0" percent="0" rank="0" text="" dxfId="56">
      <formula>W120&gt;S120</formula>
    </cfRule>
    <cfRule type="expression" priority="59" aboveAverage="0" equalAverage="0" bottom="0" percent="0" rank="0" text="" dxfId="57">
      <formula>W120&lt;S120</formula>
    </cfRule>
  </conditionalFormatting>
  <conditionalFormatting sqref="R124:R126">
    <cfRule type="expression" priority="60" aboveAverage="0" equalAverage="0" bottom="0" percent="0" rank="0" text="" dxfId="58">
      <formula>S124&gt;O124</formula>
    </cfRule>
    <cfRule type="expression" priority="61" aboveAverage="0" equalAverage="0" bottom="0" percent="0" rank="0" text="" dxfId="59">
      <formula>S124&lt;O124</formula>
    </cfRule>
  </conditionalFormatting>
  <conditionalFormatting sqref="R120:R122">
    <cfRule type="expression" priority="62" aboveAverage="0" equalAverage="0" bottom="0" percent="0" rank="0" text="" dxfId="60">
      <formula>S120&gt;O120</formula>
    </cfRule>
    <cfRule type="expression" priority="63" aboveAverage="0" equalAverage="0" bottom="0" percent="0" rank="0" text="" dxfId="61">
      <formula>S120&lt;O120</formula>
    </cfRule>
  </conditionalFormatting>
  <conditionalFormatting sqref="N124:N126">
    <cfRule type="expression" priority="64" aboveAverage="0" equalAverage="0" bottom="0" percent="0" rank="0" text="" dxfId="62">
      <formula>O124&gt;K124</formula>
    </cfRule>
    <cfRule type="expression" priority="65" aboveAverage="0" equalAverage="0" bottom="0" percent="0" rank="0" text="" dxfId="63">
      <formula>O124&lt;K124</formula>
    </cfRule>
  </conditionalFormatting>
  <conditionalFormatting sqref="N120:N122">
    <cfRule type="expression" priority="66" aboveAverage="0" equalAverage="0" bottom="0" percent="0" rank="0" text="" dxfId="64">
      <formula>O120&gt;K120</formula>
    </cfRule>
    <cfRule type="expression" priority="67" aboveAverage="0" equalAverage="0" bottom="0" percent="0" rank="0" text="" dxfId="65">
      <formula>O120&lt;K120</formula>
    </cfRule>
  </conditionalFormatting>
  <conditionalFormatting sqref="J124:J126">
    <cfRule type="expression" priority="68" aboveAverage="0" equalAverage="0" bottom="0" percent="0" rank="0" text="" dxfId="66">
      <formula>K124&gt;G124</formula>
    </cfRule>
    <cfRule type="expression" priority="69" aboveAverage="0" equalAverage="0" bottom="0" percent="0" rank="0" text="" dxfId="67">
      <formula>K124&lt;G124</formula>
    </cfRule>
  </conditionalFormatting>
  <conditionalFormatting sqref="J120:J122">
    <cfRule type="expression" priority="70" aboveAverage="0" equalAverage="0" bottom="0" percent="0" rank="0" text="" dxfId="68">
      <formula>K120&gt;G120</formula>
    </cfRule>
    <cfRule type="expression" priority="71" aboveAverage="0" equalAverage="0" bottom="0" percent="0" rank="0" text="" dxfId="69">
      <formula>K120&lt;G120</formula>
    </cfRule>
  </conditionalFormatting>
  <conditionalFormatting sqref="V115:V117">
    <cfRule type="expression" priority="72" aboveAverage="0" equalAverage="0" bottom="0" percent="0" rank="0" text="" dxfId="70">
      <formula>W115&gt;S115</formula>
    </cfRule>
    <cfRule type="expression" priority="73" aboveAverage="0" equalAverage="0" bottom="0" percent="0" rank="0" text="" dxfId="71">
      <formula>W115&lt;S115</formula>
    </cfRule>
  </conditionalFormatting>
  <conditionalFormatting sqref="V111:V113">
    <cfRule type="expression" priority="74" aboveAverage="0" equalAverage="0" bottom="0" percent="0" rank="0" text="" dxfId="72">
      <formula>W111&gt;S111</formula>
    </cfRule>
    <cfRule type="expression" priority="75" aboveAverage="0" equalAverage="0" bottom="0" percent="0" rank="0" text="" dxfId="73">
      <formula>W111&lt;S111</formula>
    </cfRule>
  </conditionalFormatting>
  <conditionalFormatting sqref="V106:V108">
    <cfRule type="expression" priority="76" aboveAverage="0" equalAverage="0" bottom="0" percent="0" rank="0" text="" dxfId="74">
      <formula>W106&gt;S106</formula>
    </cfRule>
    <cfRule type="expression" priority="77" aboveAverage="0" equalAverage="0" bottom="0" percent="0" rank="0" text="" dxfId="75">
      <formula>W106&lt;S106</formula>
    </cfRule>
  </conditionalFormatting>
  <conditionalFormatting sqref="V102:V104">
    <cfRule type="expression" priority="78" aboveAverage="0" equalAverage="0" bottom="0" percent="0" rank="0" text="" dxfId="76">
      <formula>W102&gt;S102</formula>
    </cfRule>
    <cfRule type="expression" priority="79" aboveAverage="0" equalAverage="0" bottom="0" percent="0" rank="0" text="" dxfId="77">
      <formula>W102&lt;S102</formula>
    </cfRule>
  </conditionalFormatting>
  <conditionalFormatting sqref="R115:R117">
    <cfRule type="expression" priority="80" aboveAverage="0" equalAverage="0" bottom="0" percent="0" rank="0" text="" dxfId="78">
      <formula>S115&gt;O115</formula>
    </cfRule>
    <cfRule type="expression" priority="81" aboveAverage="0" equalAverage="0" bottom="0" percent="0" rank="0" text="" dxfId="79">
      <formula>S115&lt;O115</formula>
    </cfRule>
  </conditionalFormatting>
  <conditionalFormatting sqref="R111:R113">
    <cfRule type="expression" priority="82" aboveAverage="0" equalAverage="0" bottom="0" percent="0" rank="0" text="" dxfId="80">
      <formula>S111&gt;O111</formula>
    </cfRule>
    <cfRule type="expression" priority="83" aboveAverage="0" equalAverage="0" bottom="0" percent="0" rank="0" text="" dxfId="81">
      <formula>S111&lt;O111</formula>
    </cfRule>
  </conditionalFormatting>
  <conditionalFormatting sqref="R106:R108">
    <cfRule type="expression" priority="84" aboveAverage="0" equalAverage="0" bottom="0" percent="0" rank="0" text="" dxfId="82">
      <formula>S106&gt;O106</formula>
    </cfRule>
    <cfRule type="expression" priority="85" aboveAverage="0" equalAverage="0" bottom="0" percent="0" rank="0" text="" dxfId="83">
      <formula>S106&lt;O106</formula>
    </cfRule>
  </conditionalFormatting>
  <conditionalFormatting sqref="R102:R104">
    <cfRule type="expression" priority="86" aboveAverage="0" equalAverage="0" bottom="0" percent="0" rank="0" text="" dxfId="84">
      <formula>S102&gt;O102</formula>
    </cfRule>
    <cfRule type="expression" priority="87" aboveAverage="0" equalAverage="0" bottom="0" percent="0" rank="0" text="" dxfId="85">
      <formula>S102&lt;O102</formula>
    </cfRule>
  </conditionalFormatting>
  <conditionalFormatting sqref="N115:N117">
    <cfRule type="expression" priority="88" aboveAverage="0" equalAverage="0" bottom="0" percent="0" rank="0" text="" dxfId="86">
      <formula>O115&gt;K115</formula>
    </cfRule>
    <cfRule type="expression" priority="89" aboveAverage="0" equalAverage="0" bottom="0" percent="0" rank="0" text="" dxfId="87">
      <formula>O115&lt;K115</formula>
    </cfRule>
  </conditionalFormatting>
  <conditionalFormatting sqref="N111:N113">
    <cfRule type="expression" priority="90" aboveAverage="0" equalAverage="0" bottom="0" percent="0" rank="0" text="" dxfId="88">
      <formula>O111&gt;K111</formula>
    </cfRule>
    <cfRule type="expression" priority="91" aboveAverage="0" equalAverage="0" bottom="0" percent="0" rank="0" text="" dxfId="89">
      <formula>O111&lt;K111</formula>
    </cfRule>
  </conditionalFormatting>
  <conditionalFormatting sqref="N106:N108">
    <cfRule type="expression" priority="92" aboveAverage="0" equalAverage="0" bottom="0" percent="0" rank="0" text="" dxfId="90">
      <formula>O106&gt;K106</formula>
    </cfRule>
    <cfRule type="expression" priority="93" aboveAverage="0" equalAverage="0" bottom="0" percent="0" rank="0" text="" dxfId="91">
      <formula>O106&lt;K106</formula>
    </cfRule>
  </conditionalFormatting>
  <conditionalFormatting sqref="N102:N104">
    <cfRule type="expression" priority="94" aboveAverage="0" equalAverage="0" bottom="0" percent="0" rank="0" text="" dxfId="92">
      <formula>O102&gt;K102</formula>
    </cfRule>
    <cfRule type="expression" priority="95" aboveAverage="0" equalAverage="0" bottom="0" percent="0" rank="0" text="" dxfId="93">
      <formula>O102&lt;K102</formula>
    </cfRule>
  </conditionalFormatting>
  <conditionalFormatting sqref="J115:J117">
    <cfRule type="expression" priority="96" aboveAverage="0" equalAverage="0" bottom="0" percent="0" rank="0" text="" dxfId="94">
      <formula>K115&gt;G115</formula>
    </cfRule>
    <cfRule type="expression" priority="97" aboveAverage="0" equalAverage="0" bottom="0" percent="0" rank="0" text="" dxfId="95">
      <formula>K115&lt;G115</formula>
    </cfRule>
  </conditionalFormatting>
  <conditionalFormatting sqref="J111:J113">
    <cfRule type="expression" priority="98" aboveAverage="0" equalAverage="0" bottom="0" percent="0" rank="0" text="" dxfId="96">
      <formula>K111&gt;G111</formula>
    </cfRule>
    <cfRule type="expression" priority="99" aboveAverage="0" equalAverage="0" bottom="0" percent="0" rank="0" text="" dxfId="97">
      <formula>K111&lt;G111</formula>
    </cfRule>
  </conditionalFormatting>
  <conditionalFormatting sqref="J106:J108">
    <cfRule type="expression" priority="100" aboveAverage="0" equalAverage="0" bottom="0" percent="0" rank="0" text="" dxfId="98">
      <formula>K106&gt;G106</formula>
    </cfRule>
    <cfRule type="expression" priority="101" aboveAverage="0" equalAverage="0" bottom="0" percent="0" rank="0" text="" dxfId="99">
      <formula>K106&lt;G106</formula>
    </cfRule>
  </conditionalFormatting>
  <conditionalFormatting sqref="V96:V98">
    <cfRule type="expression" priority="102" aboveAverage="0" equalAverage="0" bottom="0" percent="0" rank="0" text="" dxfId="100">
      <formula>W96&lt;S96</formula>
    </cfRule>
    <cfRule type="expression" priority="103" aboveAverage="0" equalAverage="0" bottom="0" percent="0" rank="0" text="" dxfId="101">
      <formula>W96&gt;S96</formula>
    </cfRule>
  </conditionalFormatting>
  <conditionalFormatting sqref="V92:V94">
    <cfRule type="expression" priority="104" aboveAverage="0" equalAverage="0" bottom="0" percent="0" rank="0" text="" dxfId="102">
      <formula>W92&lt;S92</formula>
    </cfRule>
    <cfRule type="expression" priority="105" aboveAverage="0" equalAverage="0" bottom="0" percent="0" rank="0" text="" dxfId="103">
      <formula>W92&gt;S92</formula>
    </cfRule>
  </conditionalFormatting>
  <conditionalFormatting sqref="R96:R98">
    <cfRule type="expression" priority="106" aboveAverage="0" equalAverage="0" bottom="0" percent="0" rank="0" text="" dxfId="104">
      <formula>S96&lt;O96</formula>
    </cfRule>
    <cfRule type="expression" priority="107" aboveAverage="0" equalAverage="0" bottom="0" percent="0" rank="0" text="" dxfId="105">
      <formula>S96&gt;O96</formula>
    </cfRule>
  </conditionalFormatting>
  <conditionalFormatting sqref="R92:R94">
    <cfRule type="expression" priority="108" aboveAverage="0" equalAverage="0" bottom="0" percent="0" rank="0" text="" dxfId="106">
      <formula>S92&lt;O92</formula>
    </cfRule>
    <cfRule type="expression" priority="109" aboveAverage="0" equalAverage="0" bottom="0" percent="0" rank="0" text="" dxfId="107">
      <formula>S92&gt;O92</formula>
    </cfRule>
  </conditionalFormatting>
  <conditionalFormatting sqref="N96:N98">
    <cfRule type="expression" priority="110" aboveAverage="0" equalAverage="0" bottom="0" percent="0" rank="0" text="" dxfId="108">
      <formula>O96&lt;K96</formula>
    </cfRule>
    <cfRule type="expression" priority="111" aboveAverage="0" equalAverage="0" bottom="0" percent="0" rank="0" text="" dxfId="109">
      <formula>O96&gt;K96</formula>
    </cfRule>
  </conditionalFormatting>
  <conditionalFormatting sqref="N92:N94">
    <cfRule type="expression" priority="112" aboveAverage="0" equalAverage="0" bottom="0" percent="0" rank="0" text="" dxfId="110">
      <formula>O92&lt;K92</formula>
    </cfRule>
    <cfRule type="expression" priority="113" aboveAverage="0" equalAverage="0" bottom="0" percent="0" rank="0" text="" dxfId="111">
      <formula>O92&gt;K92</formula>
    </cfRule>
  </conditionalFormatting>
  <conditionalFormatting sqref="J96:J98">
    <cfRule type="expression" priority="114" aboveAverage="0" equalAverage="0" bottom="0" percent="0" rank="0" text="" dxfId="112">
      <formula>K96&lt;G96</formula>
    </cfRule>
    <cfRule type="expression" priority="115" aboveAverage="0" equalAverage="0" bottom="0" percent="0" rank="0" text="" dxfId="113">
      <formula>K96&gt;G96</formula>
    </cfRule>
  </conditionalFormatting>
  <conditionalFormatting sqref="J92:J94">
    <cfRule type="expression" priority="116" aboveAverage="0" equalAverage="0" bottom="0" percent="0" rank="0" text="" dxfId="114">
      <formula>K92&lt;G92</formula>
    </cfRule>
    <cfRule type="expression" priority="117" aboveAverage="0" equalAverage="0" bottom="0" percent="0" rank="0" text="" dxfId="115">
      <formula>K92&gt;G92</formula>
    </cfRule>
  </conditionalFormatting>
  <conditionalFormatting sqref="V87:V89">
    <cfRule type="expression" priority="118" aboveAverage="0" equalAverage="0" bottom="0" percent="0" rank="0" text="" dxfId="116">
      <formula>W87&lt;S87</formula>
    </cfRule>
    <cfRule type="expression" priority="119" aboveAverage="0" equalAverage="0" bottom="0" percent="0" rank="0" text="" dxfId="117">
      <formula>W87&gt;S87</formula>
    </cfRule>
  </conditionalFormatting>
  <conditionalFormatting sqref="V83:V85">
    <cfRule type="expression" priority="120" aboveAverage="0" equalAverage="0" bottom="0" percent="0" rank="0" text="" dxfId="118">
      <formula>W83&lt;S83</formula>
    </cfRule>
    <cfRule type="expression" priority="121" aboveAverage="0" equalAverage="0" bottom="0" percent="0" rank="0" text="" dxfId="119">
      <formula>W83&gt;S83</formula>
    </cfRule>
  </conditionalFormatting>
  <conditionalFormatting sqref="V78:V80">
    <cfRule type="expression" priority="122" aboveAverage="0" equalAverage="0" bottom="0" percent="0" rank="0" text="" dxfId="120">
      <formula>W78&lt;S78</formula>
    </cfRule>
    <cfRule type="expression" priority="123" aboveAverage="0" equalAverage="0" bottom="0" percent="0" rank="0" text="" dxfId="121">
      <formula>W78&gt;S78</formula>
    </cfRule>
  </conditionalFormatting>
  <conditionalFormatting sqref="V74:V76">
    <cfRule type="expression" priority="124" aboveAverage="0" equalAverage="0" bottom="0" percent="0" rank="0" text="" dxfId="122">
      <formula>W74&lt;S74</formula>
    </cfRule>
    <cfRule type="expression" priority="125" aboveAverage="0" equalAverage="0" bottom="0" percent="0" rank="0" text="" dxfId="123">
      <formula>W74&gt;S74</formula>
    </cfRule>
  </conditionalFormatting>
  <conditionalFormatting sqref="R87:R89">
    <cfRule type="expression" priority="126" aboveAverage="0" equalAverage="0" bottom="0" percent="0" rank="0" text="" dxfId="124">
      <formula>S87&lt;O87</formula>
    </cfRule>
    <cfRule type="expression" priority="127" aboveAverage="0" equalAverage="0" bottom="0" percent="0" rank="0" text="" dxfId="125">
      <formula>S87&gt;O87</formula>
    </cfRule>
  </conditionalFormatting>
  <conditionalFormatting sqref="R83:R85">
    <cfRule type="expression" priority="128" aboveAverage="0" equalAverage="0" bottom="0" percent="0" rank="0" text="" dxfId="126">
      <formula>S83&lt;O83</formula>
    </cfRule>
    <cfRule type="expression" priority="129" aboveAverage="0" equalAverage="0" bottom="0" percent="0" rank="0" text="" dxfId="127">
      <formula>S83&gt;O83</formula>
    </cfRule>
  </conditionalFormatting>
  <conditionalFormatting sqref="R78:R80">
    <cfRule type="expression" priority="130" aboveAverage="0" equalAverage="0" bottom="0" percent="0" rank="0" text="" dxfId="128">
      <formula>S78&lt;O78</formula>
    </cfRule>
    <cfRule type="expression" priority="131" aboveAverage="0" equalAverage="0" bottom="0" percent="0" rank="0" text="" dxfId="129">
      <formula>S78&gt;O78</formula>
    </cfRule>
  </conditionalFormatting>
  <conditionalFormatting sqref="R74:R76">
    <cfRule type="expression" priority="132" aboveAverage="0" equalAverage="0" bottom="0" percent="0" rank="0" text="" dxfId="130">
      <formula>S74&lt;O74</formula>
    </cfRule>
    <cfRule type="expression" priority="133" aboveAverage="0" equalAverage="0" bottom="0" percent="0" rank="0" text="" dxfId="131">
      <formula>S74&gt;O74</formula>
    </cfRule>
  </conditionalFormatting>
  <conditionalFormatting sqref="N87:N89">
    <cfRule type="expression" priority="134" aboveAverage="0" equalAverage="0" bottom="0" percent="0" rank="0" text="" dxfId="132">
      <formula>O87&lt;K87</formula>
    </cfRule>
    <cfRule type="expression" priority="135" aboveAverage="0" equalAverage="0" bottom="0" percent="0" rank="0" text="" dxfId="133">
      <formula>O87&gt;K87</formula>
    </cfRule>
  </conditionalFormatting>
  <conditionalFormatting sqref="N83:N85">
    <cfRule type="expression" priority="136" aboveAverage="0" equalAverage="0" bottom="0" percent="0" rank="0" text="" dxfId="134">
      <formula>O83&lt;K83</formula>
    </cfRule>
    <cfRule type="expression" priority="137" aboveAverage="0" equalAverage="0" bottom="0" percent="0" rank="0" text="" dxfId="135">
      <formula>O83&gt;K83</formula>
    </cfRule>
  </conditionalFormatting>
  <conditionalFormatting sqref="N78:N80">
    <cfRule type="expression" priority="138" aboveAverage="0" equalAverage="0" bottom="0" percent="0" rank="0" text="" dxfId="136">
      <formula>O78&lt;K78</formula>
    </cfRule>
    <cfRule type="expression" priority="139" aboveAverage="0" equalAverage="0" bottom="0" percent="0" rank="0" text="" dxfId="137">
      <formula>O78&gt;K78</formula>
    </cfRule>
  </conditionalFormatting>
  <conditionalFormatting sqref="N74:N76">
    <cfRule type="expression" priority="140" aboveAverage="0" equalAverage="0" bottom="0" percent="0" rank="0" text="" dxfId="138">
      <formula>O74&lt;K74</formula>
    </cfRule>
    <cfRule type="expression" priority="141" aboveAverage="0" equalAverage="0" bottom="0" percent="0" rank="0" text="" dxfId="139">
      <formula>O74&gt;K74</formula>
    </cfRule>
  </conditionalFormatting>
  <conditionalFormatting sqref="J87:J89">
    <cfRule type="expression" priority="142" aboveAverage="0" equalAverage="0" bottom="0" percent="0" rank="0" text="" dxfId="140">
      <formula>K87&lt;G87</formula>
    </cfRule>
    <cfRule type="expression" priority="143" aboveAverage="0" equalAverage="0" bottom="0" percent="0" rank="0" text="" dxfId="141">
      <formula>K87&gt;G87</formula>
    </cfRule>
  </conditionalFormatting>
  <conditionalFormatting sqref="J83:J85">
    <cfRule type="expression" priority="144" aboveAverage="0" equalAverage="0" bottom="0" percent="0" rank="0" text="" dxfId="142">
      <formula>K83&lt;G83</formula>
    </cfRule>
    <cfRule type="expression" priority="145" aboveAverage="0" equalAverage="0" bottom="0" percent="0" rank="0" text="" dxfId="143">
      <formula>K83&gt;G83</formula>
    </cfRule>
  </conditionalFormatting>
  <conditionalFormatting sqref="J78:J80">
    <cfRule type="expression" priority="146" aboveAverage="0" equalAverage="0" bottom="0" percent="0" rank="0" text="" dxfId="144">
      <formula>K78&lt;G78</formula>
    </cfRule>
    <cfRule type="expression" priority="147" aboveAverage="0" equalAverage="0" bottom="0" percent="0" rank="0" text="" dxfId="145">
      <formula>K78&gt;G78</formula>
    </cfRule>
  </conditionalFormatting>
  <conditionalFormatting sqref="J102:J104">
    <cfRule type="expression" priority="148" aboveAverage="0" equalAverage="0" bottom="0" percent="0" rank="0" text="" dxfId="146">
      <formula>K102&gt;G102</formula>
    </cfRule>
    <cfRule type="expression" priority="149" aboveAverage="0" equalAverage="0" bottom="0" percent="0" rank="0" text="" dxfId="147">
      <formula>K102&lt;G102</formula>
    </cfRule>
  </conditionalFormatting>
  <conditionalFormatting sqref="J74:J76">
    <cfRule type="expression" priority="150" aboveAverage="0" equalAverage="0" bottom="0" percent="0" rank="0" text="" dxfId="148">
      <formula>K74&lt;G74</formula>
    </cfRule>
    <cfRule type="expression" priority="151" aboveAverage="0" equalAverage="0" bottom="0" percent="0" rank="0" text="" dxfId="149">
      <formula>K74&gt;G74</formula>
    </cfRule>
  </conditionalFormatting>
  <conditionalFormatting sqref="V68:V70">
    <cfRule type="expression" priority="152" aboveAverage="0" equalAverage="0" bottom="0" percent="0" rank="0" text="" dxfId="150">
      <formula>W68&lt;S68</formula>
    </cfRule>
    <cfRule type="expression" priority="153" aboveAverage="0" equalAverage="0" bottom="0" percent="0" rank="0" text="" dxfId="151">
      <formula>W68&gt;S68</formula>
    </cfRule>
  </conditionalFormatting>
  <conditionalFormatting sqref="V64:V66">
    <cfRule type="expression" priority="154" aboveAverage="0" equalAverage="0" bottom="0" percent="0" rank="0" text="" dxfId="152">
      <formula>W64&lt;S64</formula>
    </cfRule>
    <cfRule type="expression" priority="155" aboveAverage="0" equalAverage="0" bottom="0" percent="0" rank="0" text="" dxfId="153">
      <formula>W64&gt;S64</formula>
    </cfRule>
  </conditionalFormatting>
  <conditionalFormatting sqref="R68:R70">
    <cfRule type="expression" priority="156" aboveAverage="0" equalAverage="0" bottom="0" percent="0" rank="0" text="" dxfId="154">
      <formula>S68&lt;O68</formula>
    </cfRule>
    <cfRule type="expression" priority="157" aboveAverage="0" equalAverage="0" bottom="0" percent="0" rank="0" text="" dxfId="155">
      <formula>S68&gt;O68</formula>
    </cfRule>
  </conditionalFormatting>
  <conditionalFormatting sqref="R64:R66">
    <cfRule type="expression" priority="158" aboveAverage="0" equalAverage="0" bottom="0" percent="0" rank="0" text="" dxfId="156">
      <formula>S64&lt;O64</formula>
    </cfRule>
    <cfRule type="expression" priority="159" aboveAverage="0" equalAverage="0" bottom="0" percent="0" rank="0" text="" dxfId="157">
      <formula>S64&gt;O64</formula>
    </cfRule>
  </conditionalFormatting>
  <conditionalFormatting sqref="N68:N70">
    <cfRule type="expression" priority="160" aboveAverage="0" equalAverage="0" bottom="0" percent="0" rank="0" text="" dxfId="158">
      <formula>O68&lt;K68</formula>
    </cfRule>
    <cfRule type="expression" priority="161" aboveAverage="0" equalAverage="0" bottom="0" percent="0" rank="0" text="" dxfId="159">
      <formula>O68&gt;K68</formula>
    </cfRule>
  </conditionalFormatting>
  <conditionalFormatting sqref="N64:N66">
    <cfRule type="expression" priority="162" aboveAverage="0" equalAverage="0" bottom="0" percent="0" rank="0" text="" dxfId="160">
      <formula>O64&lt;K64</formula>
    </cfRule>
    <cfRule type="expression" priority="163" aboveAverage="0" equalAverage="0" bottom="0" percent="0" rank="0" text="" dxfId="161">
      <formula>O64&gt;K64</formula>
    </cfRule>
  </conditionalFormatting>
  <conditionalFormatting sqref="J68:J70">
    <cfRule type="expression" priority="164" aboveAverage="0" equalAverage="0" bottom="0" percent="0" rank="0" text="" dxfId="162">
      <formula>K68&lt;G68</formula>
    </cfRule>
    <cfRule type="expression" priority="165" aboveAverage="0" equalAverage="0" bottom="0" percent="0" rank="0" text="" dxfId="163">
      <formula>K68&gt;G68</formula>
    </cfRule>
  </conditionalFormatting>
  <conditionalFormatting sqref="J64:J66">
    <cfRule type="expression" priority="166" aboveAverage="0" equalAverage="0" bottom="0" percent="0" rank="0" text="" dxfId="164">
      <formula>K64&lt;G64</formula>
    </cfRule>
    <cfRule type="expression" priority="167" aboveAverage="0" equalAverage="0" bottom="0" percent="0" rank="0" text="" dxfId="165">
      <formula>K64&gt;G64</formula>
    </cfRule>
  </conditionalFormatting>
  <conditionalFormatting sqref="V59:V61">
    <cfRule type="expression" priority="168" aboveAverage="0" equalAverage="0" bottom="0" percent="0" rank="0" text="" dxfId="166">
      <formula>W59&lt;S59</formula>
    </cfRule>
    <cfRule type="expression" priority="169" aboveAverage="0" equalAverage="0" bottom="0" percent="0" rank="0" text="" dxfId="167">
      <formula>W59&gt;S59</formula>
    </cfRule>
  </conditionalFormatting>
  <conditionalFormatting sqref="V55:V57">
    <cfRule type="expression" priority="170" aboveAverage="0" equalAverage="0" bottom="0" percent="0" rank="0" text="" dxfId="168">
      <formula>W55&lt;S55</formula>
    </cfRule>
    <cfRule type="expression" priority="171" aboveAverage="0" equalAverage="0" bottom="0" percent="0" rank="0" text="" dxfId="169">
      <formula>W55&gt;S55</formula>
    </cfRule>
  </conditionalFormatting>
  <conditionalFormatting sqref="V50:V52">
    <cfRule type="expression" priority="172" aboveAverage="0" equalAverage="0" bottom="0" percent="0" rank="0" text="" dxfId="170">
      <formula>W50&lt;S50</formula>
    </cfRule>
    <cfRule type="expression" priority="173" aboveAverage="0" equalAverage="0" bottom="0" percent="0" rank="0" text="" dxfId="171">
      <formula>W50&gt;S50</formula>
    </cfRule>
  </conditionalFormatting>
  <conditionalFormatting sqref="V46:V48">
    <cfRule type="expression" priority="174" aboveAverage="0" equalAverage="0" bottom="0" percent="0" rank="0" text="" dxfId="172">
      <formula>W46&lt;S46</formula>
    </cfRule>
    <cfRule type="expression" priority="175" aboveAverage="0" equalAverage="0" bottom="0" percent="0" rank="0" text="" dxfId="173">
      <formula>W46&gt;S46</formula>
    </cfRule>
  </conditionalFormatting>
  <conditionalFormatting sqref="R59:R61">
    <cfRule type="expression" priority="176" aboveAverage="0" equalAverage="0" bottom="0" percent="0" rank="0" text="" dxfId="174">
      <formula>S59&lt;O59</formula>
    </cfRule>
    <cfRule type="expression" priority="177" aboveAverage="0" equalAverage="0" bottom="0" percent="0" rank="0" text="" dxfId="175">
      <formula>S59&gt;O59</formula>
    </cfRule>
  </conditionalFormatting>
  <conditionalFormatting sqref="R55:R57">
    <cfRule type="expression" priority="178" aboveAverage="0" equalAverage="0" bottom="0" percent="0" rank="0" text="" dxfId="176">
      <formula>S55&lt;O55</formula>
    </cfRule>
    <cfRule type="expression" priority="179" aboveAverage="0" equalAverage="0" bottom="0" percent="0" rank="0" text="" dxfId="177">
      <formula>S55&gt;O55</formula>
    </cfRule>
  </conditionalFormatting>
  <conditionalFormatting sqref="R50:R52">
    <cfRule type="expression" priority="180" aboveAverage="0" equalAverage="0" bottom="0" percent="0" rank="0" text="" dxfId="178">
      <formula>S50&lt;O50</formula>
    </cfRule>
    <cfRule type="expression" priority="181" aboveAverage="0" equalAverage="0" bottom="0" percent="0" rank="0" text="" dxfId="179">
      <formula>S50&gt;O50</formula>
    </cfRule>
  </conditionalFormatting>
  <conditionalFormatting sqref="R46:R48">
    <cfRule type="expression" priority="182" aboveAverage="0" equalAverage="0" bottom="0" percent="0" rank="0" text="" dxfId="180">
      <formula>S46&lt;O46</formula>
    </cfRule>
    <cfRule type="expression" priority="183" aboveAverage="0" equalAverage="0" bottom="0" percent="0" rank="0" text="" dxfId="181">
      <formula>S46&gt;O46</formula>
    </cfRule>
  </conditionalFormatting>
  <conditionalFormatting sqref="N59:N61">
    <cfRule type="expression" priority="184" aboveAverage="0" equalAverage="0" bottom="0" percent="0" rank="0" text="" dxfId="182">
      <formula>O59&lt;K59</formula>
    </cfRule>
    <cfRule type="expression" priority="185" aboveAverage="0" equalAverage="0" bottom="0" percent="0" rank="0" text="" dxfId="183">
      <formula>O59&gt;K59</formula>
    </cfRule>
  </conditionalFormatting>
  <conditionalFormatting sqref="N55:N57">
    <cfRule type="expression" priority="186" aboveAverage="0" equalAverage="0" bottom="0" percent="0" rank="0" text="" dxfId="184">
      <formula>O55&lt;K55</formula>
    </cfRule>
    <cfRule type="expression" priority="187" aboveAverage="0" equalAverage="0" bottom="0" percent="0" rank="0" text="" dxfId="185">
      <formula>O55&gt;K55</formula>
    </cfRule>
  </conditionalFormatting>
  <conditionalFormatting sqref="N50:N52">
    <cfRule type="expression" priority="188" aboveAverage="0" equalAverage="0" bottom="0" percent="0" rank="0" text="" dxfId="186">
      <formula>O50&lt;K50</formula>
    </cfRule>
    <cfRule type="expression" priority="189" aboveAverage="0" equalAverage="0" bottom="0" percent="0" rank="0" text="" dxfId="187">
      <formula>O50&gt;K50</formula>
    </cfRule>
  </conditionalFormatting>
  <conditionalFormatting sqref="N46:N48">
    <cfRule type="expression" priority="190" aboveAverage="0" equalAverage="0" bottom="0" percent="0" rank="0" text="" dxfId="188">
      <formula>O46&lt;K46</formula>
    </cfRule>
    <cfRule type="expression" priority="191" aboveAverage="0" equalAverage="0" bottom="0" percent="0" rank="0" text="" dxfId="189">
      <formula>O46&gt;K46</formula>
    </cfRule>
  </conditionalFormatting>
  <conditionalFormatting sqref="J59:J61">
    <cfRule type="expression" priority="192" aboveAverage="0" equalAverage="0" bottom="0" percent="0" rank="0" text="" dxfId="190">
      <formula>K59&lt;G59</formula>
    </cfRule>
    <cfRule type="expression" priority="193" aboveAverage="0" equalAverage="0" bottom="0" percent="0" rank="0" text="" dxfId="191">
      <formula>K59&gt;G59</formula>
    </cfRule>
  </conditionalFormatting>
  <conditionalFormatting sqref="J55:J57">
    <cfRule type="expression" priority="194" aboveAverage="0" equalAverage="0" bottom="0" percent="0" rank="0" text="" dxfId="192">
      <formula>K55&lt;G55</formula>
    </cfRule>
    <cfRule type="expression" priority="195" aboveAverage="0" equalAverage="0" bottom="0" percent="0" rank="0" text="" dxfId="193">
      <formula>K55&gt;G55</formula>
    </cfRule>
  </conditionalFormatting>
  <conditionalFormatting sqref="J50:J52">
    <cfRule type="expression" priority="196" aboveAverage="0" equalAverage="0" bottom="0" percent="0" rank="0" text="" dxfId="194">
      <formula>K50&lt;G50</formula>
    </cfRule>
    <cfRule type="expression" priority="197" aboveAverage="0" equalAverage="0" bottom="0" percent="0" rank="0" text="" dxfId="195">
      <formula>K50&gt;G50</formula>
    </cfRule>
  </conditionalFormatting>
  <conditionalFormatting sqref="V40:V42">
    <cfRule type="expression" priority="198" aboveAverage="0" equalAverage="0" bottom="0" percent="0" rank="0" text="" dxfId="196">
      <formula>W40&lt;S40</formula>
    </cfRule>
    <cfRule type="expression" priority="199" aboveAverage="0" equalAverage="0" bottom="0" percent="0" rank="0" text="" dxfId="197">
      <formula>W40&gt;S40</formula>
    </cfRule>
  </conditionalFormatting>
  <conditionalFormatting sqref="V36:V38">
    <cfRule type="expression" priority="200" aboveAverage="0" equalAverage="0" bottom="0" percent="0" rank="0" text="" dxfId="198">
      <formula>W36&lt;S36</formula>
    </cfRule>
    <cfRule type="expression" priority="201" aboveAverage="0" equalAverage="0" bottom="0" percent="0" rank="0" text="" dxfId="199">
      <formula>W36&gt;S36</formula>
    </cfRule>
  </conditionalFormatting>
  <conditionalFormatting sqref="V31:V33">
    <cfRule type="expression" priority="202" aboveAverage="0" equalAverage="0" bottom="0" percent="0" rank="0" text="" dxfId="200">
      <formula>W31&lt;S31</formula>
    </cfRule>
    <cfRule type="expression" priority="203" aboveAverage="0" equalAverage="0" bottom="0" percent="0" rank="0" text="" dxfId="201">
      <formula>W31&gt;S31</formula>
    </cfRule>
  </conditionalFormatting>
  <conditionalFormatting sqref="R40:R42">
    <cfRule type="expression" priority="204" aboveAverage="0" equalAverage="0" bottom="0" percent="0" rank="0" text="" dxfId="202">
      <formula>S40&lt;O40</formula>
    </cfRule>
    <cfRule type="expression" priority="205" aboveAverage="0" equalAverage="0" bottom="0" percent="0" rank="0" text="" dxfId="203">
      <formula>S40&gt;O40</formula>
    </cfRule>
  </conditionalFormatting>
  <conditionalFormatting sqref="R36:R38">
    <cfRule type="expression" priority="206" aboveAverage="0" equalAverage="0" bottom="0" percent="0" rank="0" text="" dxfId="204">
      <formula>S36&lt;O36</formula>
    </cfRule>
    <cfRule type="expression" priority="207" aboveAverage="0" equalAverage="0" bottom="0" percent="0" rank="0" text="" dxfId="205">
      <formula>S36&gt;O36</formula>
    </cfRule>
  </conditionalFormatting>
  <conditionalFormatting sqref="R31:R33">
    <cfRule type="expression" priority="208" aboveAverage="0" equalAverage="0" bottom="0" percent="0" rank="0" text="" dxfId="206">
      <formula>S31&lt;O31</formula>
    </cfRule>
    <cfRule type="expression" priority="209" aboveAverage="0" equalAverage="0" bottom="0" percent="0" rank="0" text="" dxfId="207">
      <formula>S31&gt;O31</formula>
    </cfRule>
  </conditionalFormatting>
  <conditionalFormatting sqref="N40:N42">
    <cfRule type="expression" priority="210" aboveAverage="0" equalAverage="0" bottom="0" percent="0" rank="0" text="" dxfId="208">
      <formula>O40&lt;K40</formula>
    </cfRule>
    <cfRule type="expression" priority="211" aboveAverage="0" equalAverage="0" bottom="0" percent="0" rank="0" text="" dxfId="209">
      <formula>O40&gt;K40</formula>
    </cfRule>
  </conditionalFormatting>
  <conditionalFormatting sqref="N36:N38">
    <cfRule type="expression" priority="212" aboveAverage="0" equalAverage="0" bottom="0" percent="0" rank="0" text="" dxfId="210">
      <formula>O36&lt;K36</formula>
    </cfRule>
    <cfRule type="expression" priority="213" aboveAverage="0" equalAverage="0" bottom="0" percent="0" rank="0" text="" dxfId="211">
      <formula>O36&gt;K36</formula>
    </cfRule>
  </conditionalFormatting>
  <conditionalFormatting sqref="N31:N33">
    <cfRule type="expression" priority="214" aboveAverage="0" equalAverage="0" bottom="0" percent="0" rank="0" text="" dxfId="212">
      <formula>O31&lt;K31</formula>
    </cfRule>
    <cfRule type="expression" priority="215" aboveAverage="0" equalAverage="0" bottom="0" percent="0" rank="0" text="" dxfId="213">
      <formula>O31&gt;K31</formula>
    </cfRule>
  </conditionalFormatting>
  <conditionalFormatting sqref="J40:J42">
    <cfRule type="expression" priority="216" aboveAverage="0" equalAverage="0" bottom="0" percent="0" rank="0" text="" dxfId="214">
      <formula>K40&lt;G40</formula>
    </cfRule>
    <cfRule type="expression" priority="217" aboveAverage="0" equalAverage="0" bottom="0" percent="0" rank="0" text="" dxfId="215">
      <formula>K40&gt;G40</formula>
    </cfRule>
  </conditionalFormatting>
  <conditionalFormatting sqref="J36:J38">
    <cfRule type="expression" priority="218" aboveAverage="0" equalAverage="0" bottom="0" percent="0" rank="0" text="" dxfId="216">
      <formula>K36&lt;G36</formula>
    </cfRule>
    <cfRule type="expression" priority="219" aboveAverage="0" equalAverage="0" bottom="0" percent="0" rank="0" text="" dxfId="217">
      <formula>K36&gt;G36</formula>
    </cfRule>
  </conditionalFormatting>
  <conditionalFormatting sqref="J31:J33">
    <cfRule type="expression" priority="220" aboveAverage="0" equalAverage="0" bottom="0" percent="0" rank="0" text="" dxfId="218">
      <formula>K31&lt;G31</formula>
    </cfRule>
    <cfRule type="expression" priority="221" aboveAverage="0" equalAverage="0" bottom="0" percent="0" rank="0" text="" dxfId="219">
      <formula>K31&gt;G31</formula>
    </cfRule>
  </conditionalFormatting>
  <conditionalFormatting sqref="V27:V29">
    <cfRule type="expression" priority="222" aboveAverage="0" equalAverage="0" bottom="0" percent="0" rank="0" text="" dxfId="220">
      <formula>W27&lt;S27</formula>
    </cfRule>
    <cfRule type="expression" priority="223" aboveAverage="0" equalAverage="0" bottom="0" percent="0" rank="0" text="" dxfId="221">
      <formula>W27&gt;S27</formula>
    </cfRule>
  </conditionalFormatting>
  <conditionalFormatting sqref="V22:V24">
    <cfRule type="expression" priority="224" aboveAverage="0" equalAverage="0" bottom="0" percent="0" rank="0" text="" dxfId="222">
      <formula>W22&lt;S22</formula>
    </cfRule>
    <cfRule type="expression" priority="225" aboveAverage="0" equalAverage="0" bottom="0" percent="0" rank="0" text="" dxfId="223">
      <formula>W22&gt;S22</formula>
    </cfRule>
  </conditionalFormatting>
  <conditionalFormatting sqref="R27:R29">
    <cfRule type="expression" priority="226" aboveAverage="0" equalAverage="0" bottom="0" percent="0" rank="0" text="" dxfId="224">
      <formula>S27&lt;O27</formula>
    </cfRule>
    <cfRule type="expression" priority="227" aboveAverage="0" equalAverage="0" bottom="0" percent="0" rank="0" text="" dxfId="225">
      <formula>S27&gt;O27</formula>
    </cfRule>
  </conditionalFormatting>
  <conditionalFormatting sqref="R22:R24">
    <cfRule type="expression" priority="228" aboveAverage="0" equalAverage="0" bottom="0" percent="0" rank="0" text="" dxfId="226">
      <formula>S22&lt;O22</formula>
    </cfRule>
    <cfRule type="expression" priority="229" aboveAverage="0" equalAverage="0" bottom="0" percent="0" rank="0" text="" dxfId="227">
      <formula>S22&gt;O22</formula>
    </cfRule>
  </conditionalFormatting>
  <conditionalFormatting sqref="N27:N29">
    <cfRule type="expression" priority="230" aboveAverage="0" equalAverage="0" bottom="0" percent="0" rank="0" text="" dxfId="228">
      <formula>O27&lt;K27</formula>
    </cfRule>
    <cfRule type="expression" priority="231" aboveAverage="0" equalAverage="0" bottom="0" percent="0" rank="0" text="" dxfId="229">
      <formula>O27&gt;K27</formula>
    </cfRule>
  </conditionalFormatting>
  <conditionalFormatting sqref="J27:J29">
    <cfRule type="expression" priority="232" aboveAverage="0" equalAverage="0" bottom="0" percent="0" rank="0" text="" dxfId="230">
      <formula>K27&lt;G27</formula>
    </cfRule>
    <cfRule type="expression" priority="233" aboveAverage="0" equalAverage="0" bottom="0" percent="0" rank="0" text="" dxfId="231">
      <formula>K27&gt;G27</formula>
    </cfRule>
  </conditionalFormatting>
  <conditionalFormatting sqref="N22:N24">
    <cfRule type="expression" priority="234" aboveAverage="0" equalAverage="0" bottom="0" percent="0" rank="0" text="" dxfId="232">
      <formula>O22&lt;K22</formula>
    </cfRule>
    <cfRule type="expression" priority="235" aboveAverage="0" equalAverage="0" bottom="0" percent="0" rank="0" text="" dxfId="233">
      <formula>O22&gt;K22</formula>
    </cfRule>
  </conditionalFormatting>
  <conditionalFormatting sqref="J22:J24">
    <cfRule type="expression" priority="236" aboveAverage="0" equalAverage="0" bottom="0" percent="0" rank="0" text="" dxfId="234">
      <formula>K22&lt;G22</formula>
    </cfRule>
    <cfRule type="expression" priority="237" aboveAverage="0" equalAverage="0" bottom="0" percent="0" rank="0" text="" dxfId="235">
      <formula>K22&gt;G22</formula>
    </cfRule>
  </conditionalFormatting>
  <conditionalFormatting sqref="J130:J132">
    <cfRule type="expression" priority="238" aboveAverage="0" equalAverage="0" bottom="0" percent="0" rank="0" text="" dxfId="236">
      <formula>K130&lt;G130</formula>
    </cfRule>
    <cfRule type="expression" priority="239" aboveAverage="0" equalAverage="0" bottom="0" percent="0" rank="0" text="" dxfId="237">
      <formula>K130&gt;G130</formula>
    </cfRule>
  </conditionalFormatting>
  <conditionalFormatting sqref="J46:J48">
    <cfRule type="expression" priority="240" aboveAverage="0" equalAverage="0" bottom="0" percent="0" rank="0" text="" dxfId="238">
      <formula>K46&lt;G46</formula>
    </cfRule>
    <cfRule type="expression" priority="241" aboveAverage="0" equalAverage="0" bottom="0" percent="0" rank="0" text="" dxfId="239">
      <formula>K46&gt;G46</formula>
    </cfRule>
  </conditionalFormatting>
  <conditionalFormatting sqref="F15">
    <cfRule type="expression" priority="242" aboveAverage="0" equalAverage="0" bottom="0" percent="0" rank="0" text="" dxfId="240">
      <formula>$H$22=1</formula>
    </cfRule>
  </conditionalFormatting>
  <dataValidations count="90">
    <dataValidation allowBlank="false" errorStyle="stop" operator="between" showDropDown="false" showErrorMessage="true" showInputMessage="true" sqref="F22 J22 N22 R22 V22" type="list">
      <formula1>G_SM_B_1_1</formula1>
      <formula2>0</formula2>
    </dataValidation>
    <dataValidation allowBlank="false" errorStyle="stop" operator="between" showDropDown="false" showErrorMessage="true" showInputMessage="true" sqref="F23 J23 N23 R23 V23" type="list">
      <formula1>G_SM_B_2_1</formula1>
      <formula2>0</formula2>
    </dataValidation>
    <dataValidation allowBlank="false" errorStyle="stop" operator="between" showDropDown="false" showErrorMessage="true" showInputMessage="true" sqref="F24 J24 N24 R24 V24" type="list">
      <formula1>G_SM_B_3_1</formula1>
      <formula2>0</formula2>
    </dataValidation>
    <dataValidation allowBlank="false" errorStyle="stop" operator="between" showDropDown="false" showErrorMessage="true" showInputMessage="true" sqref="F27 J27 N27 R27 V27" type="list">
      <formula1>G_PC_A_1_1</formula1>
      <formula2>0</formula2>
    </dataValidation>
    <dataValidation allowBlank="false" errorStyle="stop" operator="between" showDropDown="false" showErrorMessage="true" showInputMessage="true" sqref="F28 J28 N28 R28 V28" type="list">
      <formula1>G_PC_A_2_1</formula1>
      <formula2>0</formula2>
    </dataValidation>
    <dataValidation allowBlank="false" errorStyle="stop" operator="between" showDropDown="false" showErrorMessage="true" showInputMessage="true" sqref="F29 J29 N29 R29 V29" type="list">
      <formula1>G_PC_A_3_1</formula1>
      <formula2>0</formula2>
    </dataValidation>
    <dataValidation allowBlank="false" errorStyle="stop" operator="between" showDropDown="false" showErrorMessage="true" showInputMessage="true" sqref="F31 J31 N31 R31 V31" type="list">
      <formula1>G_PC_B_1_1</formula1>
      <formula2>0</formula2>
    </dataValidation>
    <dataValidation allowBlank="false" errorStyle="stop" operator="between" showDropDown="false" showErrorMessage="true" showInputMessage="true" sqref="F32 J32 N32 R32 V32" type="list">
      <formula1>G_PC_B_2_1</formula1>
      <formula2>0</formula2>
    </dataValidation>
    <dataValidation allowBlank="false" errorStyle="stop" operator="between" showDropDown="false" showErrorMessage="true" showInputMessage="true" sqref="F33 J33 N33 R33 V33" type="list">
      <formula1>G_PC_B_3_1</formula1>
      <formula2>0</formula2>
    </dataValidation>
    <dataValidation allowBlank="false" errorStyle="stop" operator="between" showDropDown="false" showErrorMessage="true" showInputMessage="true" sqref="F36 J36 N36 R36 V36" type="list">
      <formula1>G_EG_A_1_1</formula1>
      <formula2>0</formula2>
    </dataValidation>
    <dataValidation allowBlank="false" errorStyle="stop" operator="between" showDropDown="false" showErrorMessage="true" showInputMessage="true" sqref="F37 J37 N37 R37 V37" type="list">
      <formula1>G_EG_A_2_1</formula1>
      <formula2>0</formula2>
    </dataValidation>
    <dataValidation allowBlank="false" errorStyle="stop" operator="between" showDropDown="false" showErrorMessage="true" showInputMessage="true" sqref="F38 J38 N38 R38 V38" type="list">
      <formula1>G_EG_A_3_1</formula1>
      <formula2>0</formula2>
    </dataValidation>
    <dataValidation allowBlank="false" errorStyle="stop" operator="between" showDropDown="false" showErrorMessage="true" showInputMessage="true" sqref="F40 J40 N40 R40 V40" type="list">
      <formula1>G_EG_B_1_1</formula1>
      <formula2>0</formula2>
    </dataValidation>
    <dataValidation allowBlank="false" errorStyle="stop" operator="between" showDropDown="false" showErrorMessage="true" showInputMessage="true" sqref="F41 J41 N41 R41 V41" type="list">
      <formula1>G_EG_B_2_1</formula1>
      <formula2>0</formula2>
    </dataValidation>
    <dataValidation allowBlank="false" errorStyle="stop" operator="between" showDropDown="false" showErrorMessage="true" showInputMessage="true" sqref="F42 J42 N42 R42 V42" type="list">
      <formula1>G_EG_B_3_1</formula1>
      <formula2>0</formula2>
    </dataValidation>
    <dataValidation allowBlank="false" errorStyle="stop" operator="between" showDropDown="false" showErrorMessage="true" showInputMessage="true" sqref="F46 J46 N46 R46 V46" type="list">
      <formula1>D_TA_A_1_1</formula1>
      <formula2>0</formula2>
    </dataValidation>
    <dataValidation allowBlank="false" errorStyle="stop" operator="between" showDropDown="false" showErrorMessage="true" showInputMessage="true" sqref="F47 J47 N47 R47 V47" type="list">
      <formula1>D_TA_A_2_1</formula1>
      <formula2>0</formula2>
    </dataValidation>
    <dataValidation allowBlank="false" errorStyle="stop" operator="between" showDropDown="false" showErrorMessage="true" showInputMessage="true" sqref="F48 J48 N48 R48 V48" type="list">
      <formula1>D_TA_A_3_1</formula1>
      <formula2>0</formula2>
    </dataValidation>
    <dataValidation allowBlank="false" errorStyle="stop" operator="between" showDropDown="false" showErrorMessage="true" showInputMessage="true" sqref="F50 J50 N50 R50 V50" type="list">
      <formula1>D_TA_B_1_1</formula1>
      <formula2>0</formula2>
    </dataValidation>
    <dataValidation allowBlank="false" errorStyle="stop" operator="between" showDropDown="false" showErrorMessage="true" showInputMessage="true" sqref="F51 J51 N51 R51 V51" type="list">
      <formula1>D_TA_B_2_1</formula1>
      <formula2>0</formula2>
    </dataValidation>
    <dataValidation allowBlank="false" errorStyle="stop" operator="between" showDropDown="false" showErrorMessage="true" showInputMessage="true" sqref="F52 J52 N52 R52 V52" type="list">
      <formula1>D_TA_B_3_1</formula1>
      <formula2>0</formula2>
    </dataValidation>
    <dataValidation allowBlank="false" errorStyle="stop" operator="between" showDropDown="false" showErrorMessage="true" showInputMessage="true" sqref="F55 J55 N55 R55 V55" type="list">
      <formula1>D_SR_A_1_1</formula1>
      <formula2>0</formula2>
    </dataValidation>
    <dataValidation allowBlank="false" errorStyle="stop" operator="between" showDropDown="false" showErrorMessage="true" showInputMessage="true" sqref="F56 J56 N56 R56 V56" type="list">
      <formula1>D_SR_A_2_1</formula1>
      <formula2>0</formula2>
    </dataValidation>
    <dataValidation allowBlank="false" errorStyle="stop" operator="between" showDropDown="false" showErrorMessage="true" showInputMessage="true" sqref="F57 J57 N57 R57 V57" type="list">
      <formula1>D_SR_A_3_1</formula1>
      <formula2>0</formula2>
    </dataValidation>
    <dataValidation allowBlank="false" errorStyle="stop" operator="between" showDropDown="false" showErrorMessage="true" showInputMessage="true" sqref="F59 J59 N59 R59 V59" type="list">
      <formula1>D_SR_B_1_1</formula1>
      <formula2>0</formula2>
    </dataValidation>
    <dataValidation allowBlank="false" errorStyle="stop" operator="between" showDropDown="false" showErrorMessage="true" showInputMessage="true" sqref="F60 J60 N60 R60 V60" type="list">
      <formula1>D_SR_B_2_1</formula1>
      <formula2>0</formula2>
    </dataValidation>
    <dataValidation allowBlank="false" errorStyle="stop" operator="between" showDropDown="false" showErrorMessage="true" showInputMessage="true" sqref="F61 J61 N61 R61 V61" type="list">
      <formula1>D_SR_B_3_1</formula1>
      <formula2>0</formula2>
    </dataValidation>
    <dataValidation allowBlank="false" errorStyle="stop" operator="between" showDropDown="false" showErrorMessage="true" showInputMessage="true" sqref="F64 J64 N64 R64 V64 J74:J76 J78:J80" type="list">
      <formula1>D_SA_A_1_1</formula1>
      <formula2>0</formula2>
    </dataValidation>
    <dataValidation allowBlank="false" errorStyle="stop" operator="between" showDropDown="false" showErrorMessage="true" showInputMessage="true" sqref="F65 J65 N65 R65 V65" type="list">
      <formula1>D_SA_A_2_1</formula1>
      <formula2>0</formula2>
    </dataValidation>
    <dataValidation allowBlank="false" errorStyle="stop" operator="between" showDropDown="false" showErrorMessage="true" showInputMessage="true" sqref="F66 J66 N66 R66 V66" type="list">
      <formula1>D_SA_A_3_1</formula1>
      <formula2>0</formula2>
    </dataValidation>
    <dataValidation allowBlank="false" errorStyle="stop" operator="between" showDropDown="false" showErrorMessage="true" showInputMessage="true" sqref="F68 J68 N68 R68 V68" type="list">
      <formula1>D_SA_B_1_1</formula1>
      <formula2>0</formula2>
    </dataValidation>
    <dataValidation allowBlank="false" errorStyle="stop" operator="between" showDropDown="false" showErrorMessage="true" showInputMessage="true" sqref="F69 J69 N69 R69 V69" type="list">
      <formula1>D_SA_B_2_1</formula1>
      <formula2>0</formula2>
    </dataValidation>
    <dataValidation allowBlank="false" errorStyle="stop" operator="between" showDropDown="false" showErrorMessage="true" showInputMessage="true" sqref="F70 J70 N70 R70 V70" type="list">
      <formula1>D_SA_B_3_1</formula1>
      <formula2>0</formula2>
    </dataValidation>
    <dataValidation allowBlank="false" errorStyle="stop" operator="between" showDropDown="false" showErrorMessage="true" showInputMessage="true" sqref="N74 R74 V74" type="list">
      <formula1>I_SB_A_1_1</formula1>
      <formula2>0</formula2>
    </dataValidation>
    <dataValidation allowBlank="false" errorStyle="stop" operator="between" showDropDown="false" showErrorMessage="true" showInputMessage="true" sqref="N75 R75 V75" type="list">
      <formula1>I_SB_A_2_1</formula1>
      <formula2>0</formula2>
    </dataValidation>
    <dataValidation allowBlank="false" errorStyle="stop" operator="between" showDropDown="false" showErrorMessage="true" showInputMessage="true" sqref="N76 R76 V76" type="list">
      <formula1>I_SB_A_3_1</formula1>
      <formula2>0</formula2>
    </dataValidation>
    <dataValidation allowBlank="false" errorStyle="stop" operator="between" showDropDown="false" showErrorMessage="true" showInputMessage="true" sqref="N78 R78 V78" type="list">
      <formula1>I_SB_B_1_1</formula1>
      <formula2>0</formula2>
    </dataValidation>
    <dataValidation allowBlank="false" errorStyle="stop" operator="between" showDropDown="false" showErrorMessage="true" showInputMessage="true" sqref="N79 R79 V79" type="list">
      <formula1>I_SB_B_2_1</formula1>
      <formula2>0</formula2>
    </dataValidation>
    <dataValidation allowBlank="false" errorStyle="stop" operator="between" showDropDown="false" showErrorMessage="true" showInputMessage="true" sqref="N80 R80 V80" type="list">
      <formula1>I_SB_B_3_1</formula1>
      <formula2>0</formula2>
    </dataValidation>
    <dataValidation allowBlank="false" errorStyle="stop" operator="between" showDropDown="false" showErrorMessage="true" showInputMessage="true" sqref="F74:F76 F78:F80 F83 J83 N83 R83 V83" type="list">
      <formula1>I_SD_A_1_1</formula1>
      <formula2>0</formula2>
    </dataValidation>
    <dataValidation allowBlank="false" errorStyle="stop" operator="between" showDropDown="false" showErrorMessage="true" showInputMessage="true" sqref="F84 J84 N84 R84 V84" type="list">
      <formula1>I_SD_A_2_1</formula1>
      <formula2>0</formula2>
    </dataValidation>
    <dataValidation allowBlank="false" errorStyle="stop" operator="between" showDropDown="false" showErrorMessage="true" showInputMessage="true" sqref="F85 J85 N85 R85 V85" type="list">
      <formula1>I_SD_A_3_1</formula1>
      <formula2>0</formula2>
    </dataValidation>
    <dataValidation allowBlank="false" errorStyle="stop" operator="between" showDropDown="false" showErrorMessage="true" showInputMessage="true" sqref="F87 J87 N87 R87 V87" type="list">
      <formula1>I_SD_B_1_1</formula1>
      <formula2>0</formula2>
    </dataValidation>
    <dataValidation allowBlank="false" errorStyle="stop" operator="between" showDropDown="false" showErrorMessage="true" showInputMessage="true" sqref="F88 J88 N88 R88 V88" type="list">
      <formula1>I_SD_B_2_1</formula1>
      <formula2>0</formula2>
    </dataValidation>
    <dataValidation allowBlank="false" errorStyle="stop" operator="between" showDropDown="false" showErrorMessage="true" showInputMessage="true" sqref="F89 J89 N89 R89 V89" type="list">
      <formula1>I_SD_B_3_1</formula1>
      <formula2>0</formula2>
    </dataValidation>
    <dataValidation allowBlank="false" errorStyle="stop" operator="between" showDropDown="false" showErrorMessage="true" showInputMessage="true" sqref="F92 J92 N92 R92 V92" type="list">
      <formula1>I_DM_A_1_1</formula1>
      <formula2>0</formula2>
    </dataValidation>
    <dataValidation allowBlank="false" errorStyle="stop" operator="between" showDropDown="false" showErrorMessage="true" showInputMessage="true" sqref="F93 J93 N93 R93 V93" type="list">
      <formula1>I_DM_A_2_1</formula1>
      <formula2>0</formula2>
    </dataValidation>
    <dataValidation allowBlank="false" errorStyle="stop" operator="between" showDropDown="false" showErrorMessage="true" showInputMessage="true" sqref="F94 J94 N94 R94 V94" type="list">
      <formula1>I_DM_A_3_1</formula1>
      <formula2>0</formula2>
    </dataValidation>
    <dataValidation allowBlank="false" errorStyle="stop" operator="between" showDropDown="false" showErrorMessage="true" showInputMessage="true" sqref="F96 J96 N96 R96 V96" type="list">
      <formula1>I_DM_B_1_1</formula1>
      <formula2>0</formula2>
    </dataValidation>
    <dataValidation allowBlank="false" errorStyle="stop" operator="between" showDropDown="false" showErrorMessage="true" showInputMessage="true" sqref="F97 J97 N97 R97 V97" type="list">
      <formula1>I_DM_B_2_1</formula1>
      <formula2>0</formula2>
    </dataValidation>
    <dataValidation allowBlank="false" errorStyle="stop" operator="between" showDropDown="false" showErrorMessage="true" showInputMessage="true" sqref="F98 J98 N98 R98 V98" type="list">
      <formula1>I_DM_B_3_1</formula1>
      <formula2>0</formula2>
    </dataValidation>
    <dataValidation allowBlank="false" errorStyle="stop" operator="between" showDropDown="false" showErrorMessage="true" showInputMessage="true" sqref="J102 N102 R102 V102" type="list">
      <formula1>V_AA_A_1_1</formula1>
      <formula2>0</formula2>
    </dataValidation>
    <dataValidation allowBlank="false" errorStyle="stop" operator="between" showDropDown="false" showErrorMessage="true" showInputMessage="true" sqref="F102:F103 J103 N103 R103 V103 F106:F108 F111:F113 F115:F117 F120:F122 F124:F126" type="list">
      <formula1>V_AA_A_2_1</formula1>
      <formula2>0</formula2>
    </dataValidation>
    <dataValidation allowBlank="false" errorStyle="stop" operator="between" showDropDown="false" showErrorMessage="true" showInputMessage="true" sqref="F104 J104 N104 R104 V104" type="list">
      <formula1>V_AA_A_3_1</formula1>
      <formula2>0</formula2>
    </dataValidation>
    <dataValidation allowBlank="false" errorStyle="stop" operator="between" showDropDown="false" showErrorMessage="true" showInputMessage="true" sqref="J106 N106 R106 V106" type="list">
      <formula1>V_AA_B_1_1</formula1>
      <formula2>0</formula2>
    </dataValidation>
    <dataValidation allowBlank="false" errorStyle="stop" operator="between" showDropDown="false" showErrorMessage="true" showInputMessage="true" sqref="J107 N107 R107 V107" type="list">
      <formula1>V_AA_B_2_1</formula1>
      <formula2>0</formula2>
    </dataValidation>
    <dataValidation allowBlank="false" errorStyle="stop" operator="between" showDropDown="false" showErrorMessage="true" showInputMessage="true" sqref="J108 N108 R108 V108" type="list">
      <formula1>V_AA_B_3_1</formula1>
      <formula2>0</formula2>
    </dataValidation>
    <dataValidation allowBlank="false" errorStyle="stop" operator="between" showDropDown="false" showErrorMessage="true" showInputMessage="true" sqref="J111 N111 R111 V111" type="list">
      <formula1>V_RT_A_1_1</formula1>
      <formula2>0</formula2>
    </dataValidation>
    <dataValidation allowBlank="false" errorStyle="stop" operator="between" showDropDown="false" showErrorMessage="true" showInputMessage="true" sqref="J112 N112 R112 V112" type="list">
      <formula1>V_RT_A_2_1</formula1>
      <formula2>0</formula2>
    </dataValidation>
    <dataValidation allowBlank="false" errorStyle="stop" operator="between" showDropDown="false" showErrorMessage="true" showInputMessage="true" sqref="J113 N113 R113 V113" type="list">
      <formula1>V_RT_A_3_1</formula1>
      <formula2>0</formula2>
    </dataValidation>
    <dataValidation allowBlank="false" errorStyle="stop" operator="between" showDropDown="false" showErrorMessage="true" showInputMessage="true" sqref="J115 N115 R115 V115" type="list">
      <formula1>V_RT_B_1_1</formula1>
      <formula2>0</formula2>
    </dataValidation>
    <dataValidation allowBlank="false" errorStyle="stop" operator="between" showDropDown="false" showErrorMessage="true" showInputMessage="true" sqref="J116 N116 R116 V116" type="list">
      <formula1>V_RT_B_2_1</formula1>
      <formula2>0</formula2>
    </dataValidation>
    <dataValidation allowBlank="false" errorStyle="stop" operator="between" showDropDown="false" showErrorMessage="true" showInputMessage="true" sqref="J117 N117 R117 V117" type="list">
      <formula1>V_RT_B_3_1</formula1>
      <formula2>0</formula2>
    </dataValidation>
    <dataValidation allowBlank="false" errorStyle="stop" operator="between" showDropDown="false" showErrorMessage="true" showInputMessage="true" sqref="J120 N120 R120 V120" type="list">
      <formula1>V_ST_A_1_1</formula1>
      <formula2>0</formula2>
    </dataValidation>
    <dataValidation allowBlank="false" errorStyle="stop" operator="between" showDropDown="false" showErrorMessage="true" showInputMessage="true" sqref="J121 N121 R121 V121" type="list">
      <formula1>V_ST_A_2_1</formula1>
      <formula2>0</formula2>
    </dataValidation>
    <dataValidation allowBlank="false" errorStyle="stop" operator="between" showDropDown="false" showErrorMessage="true" showInputMessage="true" sqref="J122 N122 R122 V122" type="list">
      <formula1>V_ST_A_3_1</formula1>
      <formula2>0</formula2>
    </dataValidation>
    <dataValidation allowBlank="false" errorStyle="stop" operator="between" showDropDown="false" showErrorMessage="true" showInputMessage="true" sqref="J124 N124 R124 V124" type="list">
      <formula1>V_ST_B_1_1</formula1>
      <formula2>0</formula2>
    </dataValidation>
    <dataValidation allowBlank="false" errorStyle="stop" operator="between" showDropDown="false" showErrorMessage="true" showInputMessage="true" sqref="J125 N125 R125 V125" type="list">
      <formula1>V_ST_B_2_1</formula1>
      <formula2>0</formula2>
    </dataValidation>
    <dataValidation allowBlank="false" errorStyle="stop" operator="between" showDropDown="false" showErrorMessage="true" showInputMessage="true" sqref="J126 N126 R126 V126" type="list">
      <formula1>V_ST_B_3_1</formula1>
      <formula2>0</formula2>
    </dataValidation>
    <dataValidation allowBlank="false" errorStyle="stop" operator="between" showDropDown="false" showErrorMessage="true" showInputMessage="true" sqref="F130 J130 N130 R130 V130" type="list">
      <formula1>O_IM_A_1_1</formula1>
      <formula2>0</formula2>
    </dataValidation>
    <dataValidation allowBlank="false" errorStyle="stop" operator="between" showDropDown="false" showErrorMessage="true" showInputMessage="true" sqref="F131 J131 N131 R131 V131" type="list">
      <formula1>O_IM_A_2_1</formula1>
      <formula2>0</formula2>
    </dataValidation>
    <dataValidation allowBlank="false" errorStyle="stop" operator="between" showDropDown="false" showErrorMessage="true" showInputMessage="true" sqref="F132 J132 N132 R132 V132" type="list">
      <formula1>O_IM_A_3_1</formula1>
      <formula2>0</formula2>
    </dataValidation>
    <dataValidation allowBlank="false" errorStyle="stop" operator="between" showDropDown="false" showErrorMessage="true" showInputMessage="true" sqref="F134 J134 N134 R134 V134" type="list">
      <formula1>O_IM_B_1_1</formula1>
      <formula2>0</formula2>
    </dataValidation>
    <dataValidation allowBlank="false" errorStyle="stop" operator="between" showDropDown="false" showErrorMessage="true" showInputMessage="true" sqref="F135 J135 N135 R135 V135" type="list">
      <formula1>O_IM_B_2_1</formula1>
      <formula2>0</formula2>
    </dataValidation>
    <dataValidation allowBlank="false" errorStyle="stop" operator="between" showDropDown="false" showErrorMessage="true" showInputMessage="true" sqref="F136 J136 N136 R136 V136" type="list">
      <formula1>O_IM_B_3_1</formula1>
      <formula2>0</formula2>
    </dataValidation>
    <dataValidation allowBlank="false" errorStyle="stop" operator="between" showDropDown="false" showErrorMessage="true" showInputMessage="true" sqref="F139 J139 N139 R139 V139" type="list">
      <formula1>O_EM_A_1_1</formula1>
      <formula2>0</formula2>
    </dataValidation>
    <dataValidation allowBlank="false" errorStyle="stop" operator="between" showDropDown="false" showErrorMessage="true" showInputMessage="true" sqref="F140 J140 N140 R140 V140" type="list">
      <formula1>O_EM_A_2_1</formula1>
      <formula2>0</formula2>
    </dataValidation>
    <dataValidation allowBlank="false" errorStyle="stop" operator="between" showDropDown="false" showErrorMessage="true" showInputMessage="true" sqref="F141 J141 N141 R141 V141" type="list">
      <formula1>O_EM_A_3_1</formula1>
      <formula2>0</formula2>
    </dataValidation>
    <dataValidation allowBlank="false" errorStyle="stop" operator="between" showDropDown="false" showErrorMessage="true" showInputMessage="true" sqref="F143 J143 N143 R143 V143" type="list">
      <formula1>O_EM_B_1_1</formula1>
      <formula2>0</formula2>
    </dataValidation>
    <dataValidation allowBlank="false" errorStyle="stop" operator="between" showDropDown="false" showErrorMessage="true" showInputMessage="true" sqref="F144 J144 N144 R144 V144" type="list">
      <formula1>O_EM_B_2_1</formula1>
      <formula2>0</formula2>
    </dataValidation>
    <dataValidation allowBlank="false" errorStyle="stop" operator="between" showDropDown="false" showErrorMessage="true" showInputMessage="true" sqref="F145 J145 N145 R145 V145" type="list">
      <formula1>O_EM_B_3_1</formula1>
      <formula2>0</formula2>
    </dataValidation>
    <dataValidation allowBlank="false" errorStyle="stop" operator="between" showDropDown="false" showErrorMessage="true" showInputMessage="true" sqref="F148 J148 N148 R148 V148" type="list">
      <formula1>O_OM_A_1_1</formula1>
      <formula2>0</formula2>
    </dataValidation>
    <dataValidation allowBlank="false" errorStyle="stop" operator="between" showDropDown="false" showErrorMessage="true" showInputMessage="true" sqref="F149 J149 N149 R149 V149" type="list">
      <formula1>O_OM_A_2_1</formula1>
      <formula2>0</formula2>
    </dataValidation>
    <dataValidation allowBlank="false" errorStyle="stop" operator="between" showDropDown="false" showErrorMessage="true" showInputMessage="true" sqref="F150 J150 N150 R150 V150" type="list">
      <formula1>O_OM_A_3_1</formula1>
      <formula2>0</formula2>
    </dataValidation>
    <dataValidation allowBlank="false" errorStyle="stop" operator="between" showDropDown="false" showErrorMessage="true" showInputMessage="true" sqref="F152 J152 N152 R152 V152" type="list">
      <formula1>O_OM_B_1_1</formula1>
      <formula2>0</formula2>
    </dataValidation>
    <dataValidation allowBlank="false" errorStyle="stop" operator="between" showDropDown="false" showErrorMessage="true" showInputMessage="true" sqref="F153 J153 N153 R153 V153" type="list">
      <formula1>O_OM_B_2_1</formula1>
      <formula2>0</formula2>
    </dataValidation>
    <dataValidation allowBlank="false" errorStyle="stop" operator="between" showDropDown="false" showErrorMessage="true" showInputMessage="true" sqref="F154 J154 N154 R154 V154" type="list">
      <formula1>O_OM_B_3_1</formula1>
      <formula2>0</formula2>
    </dataValidation>
    <dataValidation allowBlank="false" errorStyle="stop" operator="between" showDropDown="false" showErrorMessage="true" showInputMessage="true" sqref="F18 J18 N18 R18 V18" type="list">
      <formula1>G_SM_A_1_1</formula1>
      <formula2>0</formula2>
    </dataValidation>
    <dataValidation allowBlank="false" errorStyle="stop" operator="between" showDropDown="false" showErrorMessage="true" showInputMessage="true" sqref="F19 J19 N19 R19 V19" type="list">
      <formula1>G_SM_A_2_1</formula1>
      <formula2>0</formula2>
    </dataValidation>
    <dataValidation allowBlank="false" errorStyle="stop" operator="between" showDropDown="false" showErrorMessage="true" showInputMessage="true" sqref="F20 J20 N20 R20 V20" type="list">
      <formula1>G_SM_A_3_1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E132"/>
  <sheetViews>
    <sheetView showFormulas="false" showGridLines="true" showRowColHeaders="true" showZeros="true" rightToLeft="false" tabSelected="false" showOutlineSymbols="true" defaultGridColor="true" view="normal" topLeftCell="A5" colorId="64" zoomScale="100" zoomScaleNormal="100" zoomScalePageLayoutView="100" workbookViewId="0">
      <selection pane="topLeft" activeCell="K12" activeCellId="0" sqref="K12"/>
    </sheetView>
  </sheetViews>
  <sheetFormatPr defaultColWidth="8.84765625" defaultRowHeight="15" customHeight="true" zeroHeight="false" outlineLevelRow="0" outlineLevelCol="0"/>
  <cols>
    <col collapsed="false" customWidth="true" hidden="false" outlineLevel="0" max="1" min="1" style="427" width="26.16"/>
    <col collapsed="false" customWidth="true" hidden="false" outlineLevel="0" max="2" min="2" style="427" width="11"/>
    <col collapsed="false" customWidth="true" hidden="false" outlineLevel="0" max="3" min="3" style="427" width="9.53"/>
    <col collapsed="false" customWidth="true" hidden="false" outlineLevel="0" max="4" min="4" style="427" width="1.85"/>
    <col collapsed="false" customWidth="false" hidden="false" outlineLevel="0" max="5" min="5" style="427" width="8.85"/>
    <col collapsed="false" customWidth="true" hidden="false" outlineLevel="0" max="6" min="6" style="427" width="1.38"/>
    <col collapsed="false" customWidth="false" hidden="false" outlineLevel="0" max="7" min="7" style="427" width="8.85"/>
    <col collapsed="false" customWidth="true" hidden="false" outlineLevel="0" max="8" min="8" style="427" width="1.38"/>
    <col collapsed="false" customWidth="false" hidden="false" outlineLevel="0" max="9" min="9" style="427" width="8.85"/>
    <col collapsed="false" customWidth="true" hidden="false" outlineLevel="0" max="10" min="10" style="427" width="1.38"/>
    <col collapsed="false" customWidth="true" hidden="false" outlineLevel="0" max="11" min="11" style="427" width="21.38"/>
    <col collapsed="false" customWidth="true" hidden="false" outlineLevel="0" max="12" min="12" style="427" width="22.15"/>
    <col collapsed="false" customWidth="true" hidden="false" outlineLevel="0" max="13" min="13" style="427" width="3.85"/>
    <col collapsed="false" customWidth="true" hidden="false" outlineLevel="0" max="14" min="14" style="427" width="4.38"/>
    <col collapsed="false" customWidth="true" hidden="false" outlineLevel="0" max="22" min="15" style="427" width="9.53"/>
    <col collapsed="false" customWidth="false" hidden="false" outlineLevel="0" max="25" min="23" style="427" width="8.85"/>
    <col collapsed="false" customWidth="true" hidden="false" outlineLevel="0" max="26" min="26" style="427" width="24.69"/>
    <col collapsed="false" customWidth="false" hidden="false" outlineLevel="0" max="16384" min="27" style="427" width="8.85"/>
  </cols>
  <sheetData>
    <row r="1" customFormat="false" ht="69" hidden="false" customHeight="true" outlineLevel="0" collapsed="false">
      <c r="A1" s="428" t="s">
        <v>237</v>
      </c>
      <c r="B1" s="428"/>
      <c r="C1" s="428"/>
      <c r="D1" s="428"/>
      <c r="E1" s="428"/>
      <c r="F1" s="428"/>
      <c r="G1" s="428"/>
      <c r="H1" s="428"/>
      <c r="I1" s="428"/>
      <c r="J1" s="428"/>
      <c r="K1" s="428"/>
    </row>
    <row r="3" customFormat="false" ht="24.75" hidden="false" customHeight="true" outlineLevel="0" collapsed="false">
      <c r="A3" s="429" t="s">
        <v>255</v>
      </c>
      <c r="L3" s="429" t="str">
        <f aca="false">A3</f>
        <v>Software Assurance Maturity Model (SAMM) Roadmap</v>
      </c>
    </row>
    <row r="4" s="430" customFormat="true" ht="13.5" hidden="false" customHeight="true" outlineLevel="0" collapsed="false">
      <c r="A4" s="430" t="s">
        <v>208</v>
      </c>
      <c r="B4" s="431" t="str">
        <f aca="false">IF(ISBLANK(Interview!D10),"",Interview!D10)</f>
        <v/>
      </c>
      <c r="C4" s="431"/>
      <c r="L4" s="430" t="str">
        <f aca="false">B4</f>
        <v/>
      </c>
    </row>
    <row r="5" s="430" customFormat="true" ht="13.5" hidden="false" customHeight="true" outlineLevel="0" collapsed="false">
      <c r="A5" s="430" t="s">
        <v>209</v>
      </c>
      <c r="B5" s="431" t="str">
        <f aca="false">IF(ISBLANK(Interview!D11),"",Interview!D11)</f>
        <v/>
      </c>
      <c r="C5" s="431"/>
      <c r="L5" s="430" t="str">
        <f aca="false">B5</f>
        <v/>
      </c>
    </row>
    <row r="6" s="430" customFormat="true" ht="13.5" hidden="false" customHeight="true" outlineLevel="0" collapsed="false">
      <c r="A6" s="430" t="s">
        <v>256</v>
      </c>
      <c r="B6" s="432" t="str">
        <f aca="false">IF(ISBLANK(Interview!D12),"",Interview!D12)</f>
        <v/>
      </c>
      <c r="C6" s="432"/>
      <c r="L6" s="433" t="str">
        <f aca="false">B6</f>
        <v/>
      </c>
    </row>
    <row r="7" s="430" customFormat="true" ht="13.5" hidden="false" customHeight="true" outlineLevel="0" collapsed="false">
      <c r="A7" s="430" t="s">
        <v>257</v>
      </c>
      <c r="B7" s="432" t="str">
        <f aca="false">IF(ISBLANK(Interview!D13),"",Interview!D13)</f>
        <v/>
      </c>
      <c r="C7" s="432"/>
    </row>
    <row r="8" s="430" customFormat="true" ht="13.5" hidden="false" customHeight="true" outlineLevel="0" collapsed="false">
      <c r="A8" s="430" t="s">
        <v>12</v>
      </c>
      <c r="B8" s="432" t="str">
        <f aca="false">IF(ISBLANK(Interview!D14),"",Interview!D14)</f>
        <v/>
      </c>
      <c r="C8" s="432"/>
      <c r="L8" s="434"/>
      <c r="M8" s="434"/>
      <c r="N8" s="434"/>
      <c r="O8" s="435"/>
      <c r="P8" s="435"/>
      <c r="Q8" s="435"/>
      <c r="R8" s="435"/>
      <c r="S8" s="435"/>
      <c r="T8" s="435"/>
      <c r="U8" s="435"/>
      <c r="V8" s="435"/>
      <c r="W8" s="436"/>
    </row>
    <row r="9" s="430" customFormat="true" ht="13.5" hidden="false" customHeight="true" outlineLevel="0" collapsed="false">
      <c r="L9" s="434"/>
      <c r="M9" s="434"/>
      <c r="N9" s="434"/>
      <c r="O9" s="435"/>
      <c r="P9" s="435"/>
      <c r="Q9" s="435"/>
      <c r="R9" s="435"/>
      <c r="S9" s="435"/>
      <c r="T9" s="435"/>
      <c r="U9" s="435"/>
      <c r="V9" s="435"/>
      <c r="W9" s="436"/>
    </row>
    <row r="10" s="430" customFormat="true" ht="15" hidden="false" customHeight="true" outlineLevel="0" collapsed="false">
      <c r="A10" s="430" t="s">
        <v>258</v>
      </c>
      <c r="B10" s="437" t="s">
        <v>259</v>
      </c>
      <c r="I10" s="437" t="s">
        <v>260</v>
      </c>
      <c r="L10" s="438" t="s">
        <v>261</v>
      </c>
      <c r="M10" s="438"/>
      <c r="N10" s="438"/>
      <c r="O10" s="439"/>
      <c r="P10" s="439"/>
      <c r="Q10" s="439"/>
      <c r="R10" s="439"/>
      <c r="S10" s="439"/>
      <c r="T10" s="439"/>
      <c r="U10" s="439"/>
      <c r="V10" s="439"/>
      <c r="W10" s="436"/>
    </row>
    <row r="11" customFormat="false" ht="13.5" hidden="false" customHeight="true" outlineLevel="0" collapsed="false">
      <c r="A11" s="440" t="s">
        <v>262</v>
      </c>
      <c r="B11" s="441" t="s">
        <v>263</v>
      </c>
      <c r="C11" s="441" t="s">
        <v>250</v>
      </c>
      <c r="D11" s="442" t="s">
        <v>264</v>
      </c>
      <c r="E11" s="441" t="s">
        <v>251</v>
      </c>
      <c r="F11" s="442" t="s">
        <v>265</v>
      </c>
      <c r="G11" s="441" t="s">
        <v>252</v>
      </c>
      <c r="H11" s="442" t="s">
        <v>266</v>
      </c>
      <c r="I11" s="441" t="s">
        <v>253</v>
      </c>
      <c r="J11" s="443" t="s">
        <v>267</v>
      </c>
      <c r="K11" s="444" t="s">
        <v>268</v>
      </c>
      <c r="L11" s="445"/>
      <c r="M11" s="436"/>
      <c r="N11" s="436"/>
      <c r="O11" s="446" t="str">
        <f aca="false">C11</f>
        <v>Phase 1</v>
      </c>
      <c r="P11" s="446"/>
      <c r="Q11" s="446" t="str">
        <f aca="false">E11</f>
        <v>Phase 2</v>
      </c>
      <c r="R11" s="446"/>
      <c r="S11" s="446" t="str">
        <f aca="false">G11</f>
        <v>Phase 3</v>
      </c>
      <c r="T11" s="446"/>
      <c r="U11" s="446" t="str">
        <f aca="false">I11</f>
        <v>Phase 4</v>
      </c>
      <c r="V11" s="446"/>
      <c r="W11" s="436"/>
      <c r="AA11" s="444" t="str">
        <f aca="false">I11</f>
        <v>Phase 4</v>
      </c>
      <c r="AB11" s="444" t="str">
        <f aca="false">G11</f>
        <v>Phase 3</v>
      </c>
      <c r="AC11" s="444" t="str">
        <f aca="false">E11</f>
        <v>Phase 2</v>
      </c>
      <c r="AD11" s="444" t="str">
        <f aca="false">C11</f>
        <v>Phase 1</v>
      </c>
      <c r="AE11" s="444" t="str">
        <f aca="false">B11</f>
        <v>Start</v>
      </c>
    </row>
    <row r="12" customFormat="false" ht="15" hidden="false" customHeight="true" outlineLevel="0" collapsed="false">
      <c r="A12" s="447" t="s">
        <v>215</v>
      </c>
      <c r="B12" s="448" t="n">
        <f aca="false">IF(ISNUMBER(Interview!$J$18),Interview!$J$18,SUM(LEFT(Interview!$J$18),".5"))</f>
        <v>0</v>
      </c>
      <c r="C12" s="449" t="n">
        <f aca="false">Roadmap!M18</f>
        <v>0</v>
      </c>
      <c r="D12" s="450" t="n">
        <f aca="false">C12</f>
        <v>0</v>
      </c>
      <c r="E12" s="449" t="n">
        <f aca="false">Roadmap!Q18</f>
        <v>0</v>
      </c>
      <c r="F12" s="450" t="n">
        <f aca="false">E12</f>
        <v>0</v>
      </c>
      <c r="G12" s="449" t="n">
        <f aca="false">Roadmap!U18</f>
        <v>0</v>
      </c>
      <c r="H12" s="451" t="n">
        <f aca="false">G12</f>
        <v>0</v>
      </c>
      <c r="I12" s="449" t="n">
        <f aca="false">Roadmap!Y18</f>
        <v>0</v>
      </c>
      <c r="J12" s="451" t="n">
        <f aca="false">I12</f>
        <v>0</v>
      </c>
      <c r="K12" s="452" t="n">
        <f aca="false">IFERROR(I12-B12,I12-LEFT(B12,1))</f>
        <v>0</v>
      </c>
      <c r="L12" s="436"/>
      <c r="M12" s="436"/>
      <c r="N12" s="436"/>
      <c r="O12" s="436"/>
      <c r="P12" s="436"/>
      <c r="Q12" s="436"/>
      <c r="R12" s="436"/>
      <c r="S12" s="436"/>
      <c r="T12" s="436"/>
      <c r="U12" s="436"/>
      <c r="V12" s="436"/>
      <c r="W12" s="436"/>
      <c r="Z12" s="427" t="str">
        <f aca="false">A12</f>
        <v>Strategy &amp; Metrics</v>
      </c>
      <c r="AA12" s="453" t="n">
        <f aca="false">I12</f>
        <v>0</v>
      </c>
      <c r="AB12" s="453" t="n">
        <f aca="false">G12</f>
        <v>0</v>
      </c>
      <c r="AC12" s="453" t="n">
        <f aca="false">E12</f>
        <v>0</v>
      </c>
      <c r="AD12" s="453" t="n">
        <f aca="false">C12</f>
        <v>0</v>
      </c>
      <c r="AE12" s="453" t="n">
        <f aca="false">B12</f>
        <v>0</v>
      </c>
    </row>
    <row r="13" customFormat="false" ht="15" hidden="false" customHeight="true" outlineLevel="0" collapsed="false">
      <c r="A13" s="454" t="s">
        <v>219</v>
      </c>
      <c r="B13" s="448" t="n">
        <f aca="false">IF(ISNUMBER(Interview!$J$32),Interview!$J$32,SUM(LEFT(Interview!$J$32),".5"))</f>
        <v>0</v>
      </c>
      <c r="C13" s="455" t="n">
        <f aca="false">Roadmap!M27</f>
        <v>0</v>
      </c>
      <c r="D13" s="450" t="n">
        <f aca="false">C13</f>
        <v>0</v>
      </c>
      <c r="E13" s="455" t="n">
        <f aca="false">Roadmap!Q27</f>
        <v>0</v>
      </c>
      <c r="F13" s="450" t="n">
        <f aca="false">E13</f>
        <v>0</v>
      </c>
      <c r="G13" s="455" t="n">
        <f aca="false">Roadmap!U27</f>
        <v>0</v>
      </c>
      <c r="H13" s="450" t="n">
        <f aca="false">G13</f>
        <v>0</v>
      </c>
      <c r="I13" s="455" t="n">
        <f aca="false">Roadmap!Y27</f>
        <v>0</v>
      </c>
      <c r="J13" s="450" t="n">
        <f aca="false">I13</f>
        <v>0</v>
      </c>
      <c r="K13" s="452" t="n">
        <f aca="false">IFERROR(I13-B13,I13-LEFT(B13,1))</f>
        <v>0</v>
      </c>
      <c r="L13" s="436"/>
      <c r="M13" s="436"/>
      <c r="N13" s="436"/>
      <c r="O13" s="436"/>
      <c r="P13" s="436"/>
      <c r="Q13" s="436"/>
      <c r="R13" s="436"/>
      <c r="S13" s="436"/>
      <c r="T13" s="436"/>
      <c r="U13" s="436"/>
      <c r="V13" s="436"/>
      <c r="W13" s="436"/>
      <c r="Z13" s="427" t="str">
        <f aca="false">A13</f>
        <v>Policy &amp; Compliance</v>
      </c>
      <c r="AA13" s="453" t="n">
        <f aca="false">I13</f>
        <v>0</v>
      </c>
      <c r="AB13" s="453" t="n">
        <f aca="false">G13</f>
        <v>0</v>
      </c>
      <c r="AC13" s="453" t="n">
        <f aca="false">E13</f>
        <v>0</v>
      </c>
      <c r="AD13" s="453" t="n">
        <f aca="false">C13</f>
        <v>0</v>
      </c>
      <c r="AE13" s="453" t="n">
        <f aca="false">B13</f>
        <v>0</v>
      </c>
    </row>
    <row r="14" customFormat="false" ht="15" hidden="false" customHeight="true" outlineLevel="0" collapsed="false">
      <c r="A14" s="456" t="s">
        <v>220</v>
      </c>
      <c r="B14" s="457" t="n">
        <f aca="false">IF(ISNUMBER(Interview!$J$46),Interview!$J$46,SUM(LEFT(Interview!$J$46),".5"))</f>
        <v>0</v>
      </c>
      <c r="C14" s="455" t="n">
        <f aca="false">Roadmap!M36</f>
        <v>0</v>
      </c>
      <c r="D14" s="458" t="n">
        <f aca="false">C14</f>
        <v>0</v>
      </c>
      <c r="E14" s="455" t="n">
        <f aca="false">Roadmap!Q36</f>
        <v>0</v>
      </c>
      <c r="F14" s="458" t="n">
        <f aca="false">E14</f>
        <v>0</v>
      </c>
      <c r="G14" s="455" t="n">
        <f aca="false">Roadmap!U36</f>
        <v>0</v>
      </c>
      <c r="H14" s="458" t="n">
        <f aca="false">G14</f>
        <v>0</v>
      </c>
      <c r="I14" s="455" t="n">
        <f aca="false">Roadmap!Y36</f>
        <v>0</v>
      </c>
      <c r="J14" s="458" t="n">
        <f aca="false">I14</f>
        <v>0</v>
      </c>
      <c r="K14" s="452" t="n">
        <f aca="false">IFERROR(I14-B14,I14-LEFT(B14,1))</f>
        <v>0</v>
      </c>
      <c r="L14" s="436"/>
      <c r="M14" s="436"/>
      <c r="N14" s="436"/>
      <c r="O14" s="436"/>
      <c r="P14" s="436"/>
      <c r="Q14" s="436"/>
      <c r="R14" s="436"/>
      <c r="S14" s="436"/>
      <c r="T14" s="436"/>
      <c r="U14" s="436"/>
      <c r="V14" s="436"/>
      <c r="W14" s="436"/>
      <c r="Z14" s="427" t="str">
        <f aca="false">A14</f>
        <v>Education &amp; Guidance</v>
      </c>
      <c r="AA14" s="453" t="n">
        <f aca="false">I14</f>
        <v>0</v>
      </c>
      <c r="AB14" s="453" t="n">
        <f aca="false">G14</f>
        <v>0</v>
      </c>
      <c r="AC14" s="453" t="n">
        <f aca="false">E14</f>
        <v>0</v>
      </c>
      <c r="AD14" s="453" t="n">
        <f aca="false">C14</f>
        <v>0</v>
      </c>
      <c r="AE14" s="453" t="n">
        <f aca="false">B14</f>
        <v>0</v>
      </c>
    </row>
    <row r="15" customFormat="false" ht="15" hidden="false" customHeight="true" outlineLevel="0" collapsed="false">
      <c r="A15" s="459" t="s">
        <v>222</v>
      </c>
      <c r="B15" s="448" t="n">
        <f aca="false">IF(ISNUMBER(Interview!$J$61),Interview!$J$61,SUM(LEFT(Interview!$J$61),".5"))</f>
        <v>0</v>
      </c>
      <c r="C15" s="460" t="n">
        <f aca="false">Roadmap!M46</f>
        <v>0</v>
      </c>
      <c r="D15" s="461" t="n">
        <f aca="false">C15</f>
        <v>0</v>
      </c>
      <c r="E15" s="462" t="n">
        <f aca="false">Roadmap!Q46</f>
        <v>0</v>
      </c>
      <c r="F15" s="461" t="n">
        <f aca="false">E15</f>
        <v>0</v>
      </c>
      <c r="G15" s="462" t="n">
        <f aca="false">Roadmap!U46</f>
        <v>0</v>
      </c>
      <c r="H15" s="450" t="n">
        <f aca="false">G15</f>
        <v>0</v>
      </c>
      <c r="I15" s="462" t="n">
        <f aca="false">Roadmap!Y46</f>
        <v>0</v>
      </c>
      <c r="J15" s="461" t="n">
        <f aca="false">I15</f>
        <v>0</v>
      </c>
      <c r="K15" s="452" t="n">
        <f aca="false">IFERROR(I15-B15,I15-LEFT(B15,1))</f>
        <v>0</v>
      </c>
      <c r="L15" s="436" t="str">
        <f aca="false">A12</f>
        <v>Strategy &amp; Metrics</v>
      </c>
      <c r="M15" s="436"/>
      <c r="N15" s="436"/>
      <c r="O15" s="436"/>
      <c r="P15" s="436"/>
      <c r="Q15" s="436"/>
      <c r="R15" s="436"/>
      <c r="S15" s="436"/>
      <c r="T15" s="436"/>
      <c r="U15" s="436"/>
      <c r="V15" s="436"/>
      <c r="W15" s="436"/>
      <c r="Z15" s="427" t="str">
        <f aca="false">A15</f>
        <v>Threat Assessment</v>
      </c>
      <c r="AA15" s="453" t="n">
        <f aca="false">I15</f>
        <v>0</v>
      </c>
      <c r="AB15" s="453" t="n">
        <f aca="false">G15</f>
        <v>0</v>
      </c>
      <c r="AC15" s="453" t="n">
        <f aca="false">E15</f>
        <v>0</v>
      </c>
      <c r="AD15" s="453" t="n">
        <f aca="false">C15</f>
        <v>0</v>
      </c>
      <c r="AE15" s="453" t="n">
        <f aca="false">B15</f>
        <v>0</v>
      </c>
    </row>
    <row r="16" customFormat="false" ht="15" hidden="false" customHeight="true" outlineLevel="0" collapsed="false">
      <c r="A16" s="463" t="s">
        <v>223</v>
      </c>
      <c r="B16" s="448" t="n">
        <f aca="false">IF(ISNUMBER(Interview!$J75),Interview!$J$75,SUM(LEFT(Interview!$J$75),".5"))</f>
        <v>0</v>
      </c>
      <c r="C16" s="455" t="n">
        <f aca="false">Roadmap!M55</f>
        <v>0</v>
      </c>
      <c r="D16" s="450" t="n">
        <f aca="false">C16</f>
        <v>0</v>
      </c>
      <c r="E16" s="455" t="n">
        <f aca="false">Roadmap!Q55</f>
        <v>0</v>
      </c>
      <c r="F16" s="450" t="n">
        <f aca="false">E16</f>
        <v>0</v>
      </c>
      <c r="G16" s="455" t="n">
        <f aca="false">Roadmap!U55</f>
        <v>0</v>
      </c>
      <c r="H16" s="450" t="n">
        <f aca="false">G16</f>
        <v>0</v>
      </c>
      <c r="I16" s="455" t="n">
        <f aca="false">Roadmap!Y55</f>
        <v>0</v>
      </c>
      <c r="J16" s="450" t="n">
        <f aca="false">I16</f>
        <v>0</v>
      </c>
      <c r="K16" s="452" t="n">
        <f aca="false">IFERROR(I16-B16,I16-LEFT(B16,1))</f>
        <v>0</v>
      </c>
      <c r="L16" s="436"/>
      <c r="M16" s="436"/>
      <c r="N16" s="436"/>
      <c r="O16" s="436"/>
      <c r="P16" s="436"/>
      <c r="Q16" s="436"/>
      <c r="R16" s="436"/>
      <c r="S16" s="436"/>
      <c r="T16" s="436"/>
      <c r="U16" s="436"/>
      <c r="V16" s="436"/>
      <c r="W16" s="436"/>
      <c r="Z16" s="427" t="str">
        <f aca="false">A16</f>
        <v>Security Requirements</v>
      </c>
      <c r="AA16" s="453" t="n">
        <f aca="false">I16</f>
        <v>0</v>
      </c>
      <c r="AB16" s="453" t="n">
        <f aca="false">G16</f>
        <v>0</v>
      </c>
      <c r="AC16" s="453" t="n">
        <f aca="false">E16</f>
        <v>0</v>
      </c>
      <c r="AD16" s="453" t="n">
        <f aca="false">C16</f>
        <v>0</v>
      </c>
      <c r="AE16" s="453" t="n">
        <f aca="false">B16</f>
        <v>0</v>
      </c>
    </row>
    <row r="17" customFormat="false" ht="15" hidden="false" customHeight="false" outlineLevel="0" collapsed="false">
      <c r="A17" s="464" t="s">
        <v>224</v>
      </c>
      <c r="B17" s="457" t="n">
        <f aca="false">IF(ISNUMBER(Interview!$J$89),Interview!$J$89,SUM(LEFT(Interview!$J$89),".5"))</f>
        <v>0</v>
      </c>
      <c r="C17" s="455" t="n">
        <f aca="false">Roadmap!M64</f>
        <v>0</v>
      </c>
      <c r="D17" s="458" t="n">
        <f aca="false">C17</f>
        <v>0</v>
      </c>
      <c r="E17" s="455" t="n">
        <f aca="false">Roadmap!Q64</f>
        <v>0</v>
      </c>
      <c r="F17" s="458" t="n">
        <f aca="false">E17</f>
        <v>0</v>
      </c>
      <c r="G17" s="455" t="n">
        <f aca="false">Roadmap!U64</f>
        <v>0</v>
      </c>
      <c r="H17" s="458" t="n">
        <f aca="false">G17</f>
        <v>0</v>
      </c>
      <c r="I17" s="455" t="n">
        <f aca="false">Roadmap!Y64</f>
        <v>0</v>
      </c>
      <c r="J17" s="458" t="n">
        <f aca="false">I17</f>
        <v>0</v>
      </c>
      <c r="K17" s="452" t="n">
        <f aca="false">IFERROR(I17-B17,I17-LEFT(B17,1))</f>
        <v>0</v>
      </c>
      <c r="L17" s="436"/>
      <c r="M17" s="436"/>
      <c r="N17" s="436"/>
      <c r="O17" s="436"/>
      <c r="P17" s="436"/>
      <c r="Q17" s="436"/>
      <c r="R17" s="436"/>
      <c r="S17" s="436"/>
      <c r="T17" s="436"/>
      <c r="U17" s="436"/>
      <c r="V17" s="436"/>
      <c r="W17" s="436"/>
      <c r="Z17" s="427" t="str">
        <f aca="false">A17</f>
        <v>Secure Architecture</v>
      </c>
      <c r="AA17" s="453" t="n">
        <f aca="false">I17</f>
        <v>0</v>
      </c>
      <c r="AB17" s="453" t="n">
        <f aca="false">G17</f>
        <v>0</v>
      </c>
      <c r="AC17" s="453" t="n">
        <f aca="false">E17</f>
        <v>0</v>
      </c>
      <c r="AD17" s="453" t="n">
        <f aca="false">C17</f>
        <v>0</v>
      </c>
      <c r="AE17" s="453" t="n">
        <f aca="false">B17</f>
        <v>0</v>
      </c>
    </row>
    <row r="18" customFormat="false" ht="15" hidden="false" customHeight="false" outlineLevel="0" collapsed="false">
      <c r="A18" s="465" t="s">
        <v>226</v>
      </c>
      <c r="B18" s="448" t="n">
        <f aca="false">IF(ISNUMBER(Interview!$J$104),Interview!$J$104,SUM(LEFT(Interview!$J$104),".5"))</f>
        <v>0</v>
      </c>
      <c r="C18" s="462" t="n">
        <f aca="false">Roadmap!M74</f>
        <v>0</v>
      </c>
      <c r="D18" s="461" t="n">
        <f aca="false">C18</f>
        <v>0</v>
      </c>
      <c r="E18" s="462" t="n">
        <f aca="false">Roadmap!Q74</f>
        <v>0</v>
      </c>
      <c r="F18" s="450" t="n">
        <f aca="false">E18</f>
        <v>0</v>
      </c>
      <c r="G18" s="462" t="n">
        <f aca="false">Roadmap!U74</f>
        <v>0</v>
      </c>
      <c r="H18" s="450" t="n">
        <f aca="false">G18</f>
        <v>0</v>
      </c>
      <c r="I18" s="462" t="n">
        <f aca="false">Roadmap!Y74</f>
        <v>0</v>
      </c>
      <c r="J18" s="450" t="n">
        <f aca="false">I18</f>
        <v>0</v>
      </c>
      <c r="K18" s="452" t="n">
        <f aca="false">IFERROR(I18-B18,I18-LEFT(B18,1))</f>
        <v>0</v>
      </c>
      <c r="L18" s="436"/>
      <c r="M18" s="436"/>
      <c r="N18" s="436"/>
      <c r="O18" s="436"/>
      <c r="P18" s="436"/>
      <c r="Q18" s="436"/>
      <c r="R18" s="436"/>
      <c r="S18" s="436"/>
      <c r="T18" s="436"/>
      <c r="U18" s="436"/>
      <c r="V18" s="436"/>
      <c r="W18" s="436"/>
      <c r="Z18" s="427" t="str">
        <f aca="false">A18</f>
        <v>Secure Build</v>
      </c>
      <c r="AA18" s="453" t="n">
        <f aca="false">I18</f>
        <v>0</v>
      </c>
      <c r="AB18" s="453" t="n">
        <f aca="false">G18</f>
        <v>0</v>
      </c>
      <c r="AC18" s="453" t="n">
        <f aca="false">E18</f>
        <v>0</v>
      </c>
      <c r="AD18" s="453" t="n">
        <f aca="false">C18</f>
        <v>0</v>
      </c>
      <c r="AE18" s="453" t="n">
        <f aca="false">B18</f>
        <v>0</v>
      </c>
    </row>
    <row r="19" customFormat="false" ht="15" hidden="false" customHeight="false" outlineLevel="0" collapsed="false">
      <c r="A19" s="465" t="s">
        <v>227</v>
      </c>
      <c r="B19" s="448" t="n">
        <f aca="false">IF(ISNUMBER(Interview!$J$118),Interview!$J$118,SUM(LEFT(Interview!$J$118),".5"))</f>
        <v>0</v>
      </c>
      <c r="C19" s="455" t="n">
        <f aca="false">Roadmap!M83</f>
        <v>0</v>
      </c>
      <c r="D19" s="450" t="n">
        <f aca="false">C19</f>
        <v>0</v>
      </c>
      <c r="E19" s="455" t="n">
        <f aca="false">Roadmap!Q83</f>
        <v>0</v>
      </c>
      <c r="F19" s="450" t="n">
        <f aca="false">E19</f>
        <v>0</v>
      </c>
      <c r="G19" s="455" t="n">
        <f aca="false">Roadmap!U83</f>
        <v>0</v>
      </c>
      <c r="H19" s="450" t="n">
        <f aca="false">G19</f>
        <v>0</v>
      </c>
      <c r="I19" s="455" t="n">
        <f aca="false">Roadmap!Y83</f>
        <v>0</v>
      </c>
      <c r="J19" s="450" t="n">
        <f aca="false">I19</f>
        <v>0</v>
      </c>
      <c r="K19" s="452" t="n">
        <f aca="false">IFERROR(I19-B19,I19-LEFT(B19,1))</f>
        <v>0</v>
      </c>
      <c r="L19" s="436"/>
      <c r="M19" s="436"/>
      <c r="N19" s="436"/>
      <c r="O19" s="436"/>
      <c r="P19" s="436"/>
      <c r="Q19" s="436"/>
      <c r="R19" s="436"/>
      <c r="S19" s="436"/>
      <c r="T19" s="436"/>
      <c r="U19" s="436"/>
      <c r="V19" s="436"/>
      <c r="W19" s="436"/>
      <c r="Z19" s="427" t="str">
        <f aca="false">A19</f>
        <v>Secure Deployment</v>
      </c>
      <c r="AA19" s="453" t="n">
        <f aca="false">I19</f>
        <v>0</v>
      </c>
      <c r="AB19" s="453" t="n">
        <f aca="false">G19</f>
        <v>0</v>
      </c>
      <c r="AC19" s="453" t="n">
        <f aca="false">E19</f>
        <v>0</v>
      </c>
      <c r="AD19" s="453" t="n">
        <f aca="false">C19</f>
        <v>0</v>
      </c>
      <c r="AE19" s="453" t="n">
        <f aca="false">B19</f>
        <v>0</v>
      </c>
    </row>
    <row r="20" customFormat="false" ht="15" hidden="false" customHeight="false" outlineLevel="0" collapsed="false">
      <c r="A20" s="465" t="s">
        <v>228</v>
      </c>
      <c r="B20" s="457" t="n">
        <f aca="false">IF(ISNUMBER(Interview!$J$132),Interview!$J$132,SUM(LEFT(Interview!$J$132),".5"))</f>
        <v>0</v>
      </c>
      <c r="C20" s="455" t="n">
        <f aca="false">Roadmap!M92</f>
        <v>0</v>
      </c>
      <c r="D20" s="450" t="n">
        <f aca="false">C20</f>
        <v>0</v>
      </c>
      <c r="E20" s="455" t="n">
        <f aca="false">Roadmap!Q92</f>
        <v>0</v>
      </c>
      <c r="F20" s="450" t="n">
        <f aca="false">E20</f>
        <v>0</v>
      </c>
      <c r="G20" s="455" t="n">
        <f aca="false">Roadmap!U92</f>
        <v>0</v>
      </c>
      <c r="H20" s="450" t="n">
        <f aca="false">G20</f>
        <v>0</v>
      </c>
      <c r="I20" s="455" t="n">
        <f aca="false">Roadmap!Y92</f>
        <v>0</v>
      </c>
      <c r="J20" s="450" t="n">
        <f aca="false">I20</f>
        <v>0</v>
      </c>
      <c r="K20" s="452" t="n">
        <f aca="false">IFERROR(I20-B20,I20-LEFT(B20,1))</f>
        <v>0</v>
      </c>
      <c r="L20" s="436"/>
      <c r="M20" s="436"/>
      <c r="N20" s="436"/>
      <c r="O20" s="436"/>
      <c r="P20" s="436"/>
      <c r="Q20" s="436"/>
      <c r="R20" s="436"/>
      <c r="S20" s="436"/>
      <c r="T20" s="436"/>
      <c r="U20" s="436"/>
      <c r="V20" s="436"/>
      <c r="W20" s="436"/>
      <c r="Z20" s="427" t="str">
        <f aca="false">A20</f>
        <v>Defect Management</v>
      </c>
      <c r="AA20" s="453" t="n">
        <f aca="false">I20</f>
        <v>0</v>
      </c>
      <c r="AB20" s="453" t="n">
        <f aca="false">G20</f>
        <v>0</v>
      </c>
      <c r="AC20" s="453" t="n">
        <f aca="false">E20</f>
        <v>0</v>
      </c>
      <c r="AD20" s="453" t="n">
        <f aca="false">C20</f>
        <v>0</v>
      </c>
      <c r="AE20" s="453" t="n">
        <f aca="false">B20</f>
        <v>0</v>
      </c>
    </row>
    <row r="21" customFormat="false" ht="15" hidden="false" customHeight="false" outlineLevel="0" collapsed="false">
      <c r="A21" s="466" t="s">
        <v>230</v>
      </c>
      <c r="B21" s="448" t="n">
        <f aca="false">IF(ISNUMBER(Interview!$J$147),Interview!$J$147,SUM(LEFT(Interview!$J$147),".5"))</f>
        <v>0</v>
      </c>
      <c r="C21" s="462" t="n">
        <f aca="false">Roadmap!M102</f>
        <v>0</v>
      </c>
      <c r="D21" s="461" t="n">
        <f aca="false">C21</f>
        <v>0</v>
      </c>
      <c r="E21" s="462" t="n">
        <f aca="false">Roadmap!Q102</f>
        <v>0</v>
      </c>
      <c r="F21" s="461" t="n">
        <f aca="false">E21</f>
        <v>0</v>
      </c>
      <c r="G21" s="462" t="n">
        <f aca="false">Roadmap!U102</f>
        <v>0</v>
      </c>
      <c r="H21" s="461" t="n">
        <f aca="false">G21</f>
        <v>0</v>
      </c>
      <c r="I21" s="462" t="n">
        <f aca="false">Roadmap!Y102</f>
        <v>0</v>
      </c>
      <c r="J21" s="461" t="n">
        <f aca="false">I21</f>
        <v>0</v>
      </c>
      <c r="K21" s="452" t="n">
        <f aca="false">IFERROR(I21-B21,I21-LEFT(B21,1))</f>
        <v>0</v>
      </c>
      <c r="L21" s="436"/>
      <c r="M21" s="436"/>
      <c r="N21" s="436"/>
      <c r="O21" s="436"/>
      <c r="P21" s="436"/>
      <c r="Q21" s="436"/>
      <c r="R21" s="436"/>
      <c r="S21" s="436"/>
      <c r="T21" s="436"/>
      <c r="U21" s="436"/>
      <c r="V21" s="436"/>
      <c r="W21" s="436"/>
      <c r="Z21" s="427" t="str">
        <f aca="false">A21</f>
        <v>Architecture Assessment</v>
      </c>
      <c r="AA21" s="453" t="n">
        <f aca="false">I21</f>
        <v>0</v>
      </c>
      <c r="AB21" s="453" t="n">
        <f aca="false">G21</f>
        <v>0</v>
      </c>
      <c r="AC21" s="453" t="n">
        <f aca="false">E21</f>
        <v>0</v>
      </c>
      <c r="AD21" s="453" t="n">
        <f aca="false">C21</f>
        <v>0</v>
      </c>
      <c r="AE21" s="453" t="n">
        <f aca="false">B21</f>
        <v>0</v>
      </c>
    </row>
    <row r="22" customFormat="false" ht="15" hidden="false" customHeight="false" outlineLevel="0" collapsed="false">
      <c r="A22" s="467" t="s">
        <v>231</v>
      </c>
      <c r="B22" s="448" t="n">
        <f aca="false">IF(ISNUMBER(Interview!$J$161),Interview!$J$161,SUM(LEFT(Interview!$J$161),".5"))</f>
        <v>0</v>
      </c>
      <c r="C22" s="455" t="n">
        <f aca="false">Roadmap!M111</f>
        <v>0</v>
      </c>
      <c r="D22" s="450" t="n">
        <f aca="false">C22</f>
        <v>0</v>
      </c>
      <c r="E22" s="455" t="n">
        <f aca="false">Roadmap!Q111</f>
        <v>0</v>
      </c>
      <c r="F22" s="450" t="n">
        <f aca="false">E22</f>
        <v>0</v>
      </c>
      <c r="G22" s="455" t="n">
        <f aca="false">Roadmap!U111</f>
        <v>0</v>
      </c>
      <c r="H22" s="450" t="n">
        <f aca="false">G22</f>
        <v>0</v>
      </c>
      <c r="I22" s="455" t="n">
        <f aca="false">Roadmap!Y111</f>
        <v>0</v>
      </c>
      <c r="J22" s="450" t="n">
        <f aca="false">I22</f>
        <v>0</v>
      </c>
      <c r="K22" s="452" t="n">
        <f aca="false">IFERROR(I22-B22,I22-LEFT(B22,1))</f>
        <v>0</v>
      </c>
      <c r="L22" s="436" t="str">
        <f aca="false">A13</f>
        <v>Policy &amp; Compliance</v>
      </c>
      <c r="M22" s="436"/>
      <c r="N22" s="436"/>
      <c r="O22" s="436"/>
      <c r="P22" s="436"/>
      <c r="Q22" s="436"/>
      <c r="R22" s="436"/>
      <c r="S22" s="436"/>
      <c r="T22" s="436"/>
      <c r="U22" s="436"/>
      <c r="V22" s="436"/>
      <c r="W22" s="436"/>
      <c r="Z22" s="427" t="str">
        <f aca="false">A22</f>
        <v>Requirements Testing</v>
      </c>
      <c r="AA22" s="453" t="n">
        <f aca="false">I22</f>
        <v>0</v>
      </c>
      <c r="AB22" s="453" t="n">
        <f aca="false">G22</f>
        <v>0</v>
      </c>
      <c r="AC22" s="453" t="n">
        <f aca="false">E22</f>
        <v>0</v>
      </c>
      <c r="AD22" s="453" t="n">
        <f aca="false">C22</f>
        <v>0</v>
      </c>
      <c r="AE22" s="453" t="n">
        <f aca="false">B22</f>
        <v>0</v>
      </c>
    </row>
    <row r="23" customFormat="false" ht="15" hidden="false" customHeight="false" outlineLevel="0" collapsed="false">
      <c r="A23" s="468" t="s">
        <v>232</v>
      </c>
      <c r="B23" s="457" t="n">
        <f aca="false">IF(ISNUMBER(Interview!$J$175),Interview!$J$175,SUM(LEFT(Interview!$J$175),".5"))</f>
        <v>0</v>
      </c>
      <c r="C23" s="455" t="n">
        <f aca="false">Roadmap!M120</f>
        <v>0</v>
      </c>
      <c r="D23" s="458" t="n">
        <f aca="false">C23</f>
        <v>0</v>
      </c>
      <c r="E23" s="455" t="n">
        <f aca="false">Roadmap!Q120</f>
        <v>0</v>
      </c>
      <c r="F23" s="458" t="n">
        <f aca="false">E23</f>
        <v>0</v>
      </c>
      <c r="G23" s="455" t="n">
        <f aca="false">Roadmap!U120</f>
        <v>0</v>
      </c>
      <c r="H23" s="458" t="n">
        <f aca="false">G23</f>
        <v>0</v>
      </c>
      <c r="I23" s="455" t="n">
        <f aca="false">Roadmap!Y120</f>
        <v>0</v>
      </c>
      <c r="J23" s="458" t="n">
        <f aca="false">I23</f>
        <v>0</v>
      </c>
      <c r="K23" s="452" t="n">
        <f aca="false">IFERROR(I23-B23,I23-LEFT(B23,1))</f>
        <v>0</v>
      </c>
      <c r="L23" s="436"/>
      <c r="M23" s="436"/>
      <c r="N23" s="436"/>
      <c r="O23" s="436"/>
      <c r="P23" s="436"/>
      <c r="Q23" s="436"/>
      <c r="R23" s="436"/>
      <c r="S23" s="436"/>
      <c r="T23" s="436"/>
      <c r="U23" s="436"/>
      <c r="V23" s="436"/>
      <c r="W23" s="436"/>
      <c r="Z23" s="427" t="str">
        <f aca="false">A23</f>
        <v>Security Testing</v>
      </c>
      <c r="AA23" s="453" t="n">
        <f aca="false">I23</f>
        <v>0</v>
      </c>
      <c r="AB23" s="453" t="n">
        <f aca="false">G23</f>
        <v>0</v>
      </c>
      <c r="AC23" s="453" t="n">
        <f aca="false">E23</f>
        <v>0</v>
      </c>
      <c r="AD23" s="453" t="n">
        <f aca="false">C23</f>
        <v>0</v>
      </c>
      <c r="AE23" s="453" t="n">
        <f aca="false">B23</f>
        <v>0</v>
      </c>
    </row>
    <row r="24" customFormat="false" ht="15" hidden="false" customHeight="false" outlineLevel="0" collapsed="false">
      <c r="A24" s="469" t="s">
        <v>234</v>
      </c>
      <c r="B24" s="448" t="n">
        <f aca="false">IF(ISNUMBER(Interview!$J$190),Interview!$J$190,SUM(LEFT(Interview!$J$190),".5"))</f>
        <v>0</v>
      </c>
      <c r="C24" s="460" t="n">
        <f aca="false">Roadmap!M130</f>
        <v>0</v>
      </c>
      <c r="D24" s="461" t="n">
        <f aca="false">C24</f>
        <v>0</v>
      </c>
      <c r="E24" s="462" t="n">
        <f aca="false">Roadmap!Q130</f>
        <v>0</v>
      </c>
      <c r="F24" s="461" t="n">
        <f aca="false">E24</f>
        <v>0</v>
      </c>
      <c r="G24" s="462" t="n">
        <f aca="false">Roadmap!U130</f>
        <v>0</v>
      </c>
      <c r="H24" s="461" t="n">
        <f aca="false">G24</f>
        <v>0</v>
      </c>
      <c r="I24" s="462" t="n">
        <f aca="false">Roadmap!Y130</f>
        <v>0</v>
      </c>
      <c r="J24" s="461" t="n">
        <f aca="false">I24</f>
        <v>0</v>
      </c>
      <c r="K24" s="452" t="n">
        <f aca="false">IFERROR(I24-B24,I24-LEFT(B24,1))</f>
        <v>0</v>
      </c>
      <c r="L24" s="436"/>
      <c r="M24" s="436"/>
      <c r="N24" s="436"/>
      <c r="O24" s="436"/>
      <c r="P24" s="436"/>
      <c r="Q24" s="436"/>
      <c r="R24" s="436"/>
      <c r="S24" s="436"/>
      <c r="T24" s="436"/>
      <c r="U24" s="436"/>
      <c r="V24" s="436"/>
      <c r="W24" s="436"/>
      <c r="Z24" s="427" t="str">
        <f aca="false">A24</f>
        <v>Incident Management</v>
      </c>
      <c r="AA24" s="453" t="n">
        <f aca="false">I24</f>
        <v>0</v>
      </c>
      <c r="AB24" s="453" t="n">
        <f aca="false">G24</f>
        <v>0</v>
      </c>
      <c r="AC24" s="453" t="n">
        <f aca="false">E24</f>
        <v>0</v>
      </c>
      <c r="AD24" s="453" t="n">
        <f aca="false">C24</f>
        <v>0</v>
      </c>
      <c r="AE24" s="453" t="n">
        <f aca="false">B24</f>
        <v>0</v>
      </c>
    </row>
    <row r="25" customFormat="false" ht="15" hidden="false" customHeight="false" outlineLevel="0" collapsed="false">
      <c r="A25" s="470" t="s">
        <v>235</v>
      </c>
      <c r="B25" s="448" t="n">
        <f aca="false">IF(ISNUMBER(Interview!$J$204),Interview!$J$204,SUM(LEFT(Interview!$J$204),".5"))</f>
        <v>0</v>
      </c>
      <c r="C25" s="455" t="n">
        <f aca="false">Roadmap!M139</f>
        <v>0</v>
      </c>
      <c r="D25" s="450" t="n">
        <f aca="false">C25</f>
        <v>0</v>
      </c>
      <c r="E25" s="455" t="n">
        <f aca="false">Roadmap!Q139</f>
        <v>0</v>
      </c>
      <c r="F25" s="450" t="n">
        <f aca="false">E25</f>
        <v>0</v>
      </c>
      <c r="G25" s="455" t="n">
        <f aca="false">Roadmap!U139</f>
        <v>0</v>
      </c>
      <c r="H25" s="450" t="n">
        <f aca="false">G25</f>
        <v>0</v>
      </c>
      <c r="I25" s="455" t="n">
        <f aca="false">Roadmap!Y139</f>
        <v>0</v>
      </c>
      <c r="J25" s="450" t="n">
        <f aca="false">I25</f>
        <v>0</v>
      </c>
      <c r="K25" s="452" t="n">
        <f aca="false">IFERROR(I25-B25,I25-LEFT(B25,1))</f>
        <v>0</v>
      </c>
      <c r="L25" s="436"/>
      <c r="M25" s="436"/>
      <c r="N25" s="436"/>
      <c r="O25" s="436"/>
      <c r="P25" s="436"/>
      <c r="Q25" s="436"/>
      <c r="R25" s="436"/>
      <c r="S25" s="436"/>
      <c r="T25" s="436"/>
      <c r="U25" s="436"/>
      <c r="V25" s="436"/>
      <c r="W25" s="436"/>
      <c r="Z25" s="427" t="str">
        <f aca="false">A25</f>
        <v>Environment Management</v>
      </c>
      <c r="AA25" s="453" t="n">
        <f aca="false">I25</f>
        <v>0</v>
      </c>
      <c r="AB25" s="453" t="n">
        <f aca="false">G25</f>
        <v>0</v>
      </c>
      <c r="AC25" s="453" t="n">
        <f aca="false">E25</f>
        <v>0</v>
      </c>
      <c r="AD25" s="453" t="n">
        <f aca="false">C25</f>
        <v>0</v>
      </c>
      <c r="AE25" s="453" t="n">
        <f aca="false">B25</f>
        <v>0</v>
      </c>
    </row>
    <row r="26" customFormat="false" ht="13.5" hidden="false" customHeight="true" outlineLevel="0" collapsed="false">
      <c r="A26" s="471" t="s">
        <v>236</v>
      </c>
      <c r="B26" s="472" t="n">
        <f aca="false">IF(ISNUMBER(Interview!$J$218),Interview!$J$218,SUM(LEFT(Interview!$J$218),".5"))</f>
        <v>0</v>
      </c>
      <c r="C26" s="473" t="n">
        <f aca="false">Roadmap!M148</f>
        <v>0</v>
      </c>
      <c r="D26" s="474" t="n">
        <f aca="false">C26</f>
        <v>0</v>
      </c>
      <c r="E26" s="475" t="n">
        <f aca="false">Roadmap!Q148</f>
        <v>0</v>
      </c>
      <c r="F26" s="474" t="n">
        <f aca="false">E26</f>
        <v>0</v>
      </c>
      <c r="G26" s="475" t="n">
        <f aca="false">Roadmap!U148</f>
        <v>0</v>
      </c>
      <c r="H26" s="474" t="n">
        <f aca="false">G26</f>
        <v>0</v>
      </c>
      <c r="I26" s="475" t="n">
        <f aca="false">Roadmap!Y148</f>
        <v>0</v>
      </c>
      <c r="J26" s="474" t="n">
        <f aca="false">I26</f>
        <v>0</v>
      </c>
      <c r="K26" s="452" t="n">
        <f aca="false">IFERROR(I26-B26,I26-LEFT(B26,1))</f>
        <v>0</v>
      </c>
      <c r="L26" s="436"/>
      <c r="M26" s="436"/>
      <c r="N26" s="436"/>
      <c r="O26" s="436"/>
      <c r="P26" s="436"/>
      <c r="Q26" s="436"/>
      <c r="R26" s="436"/>
      <c r="S26" s="436"/>
      <c r="T26" s="436"/>
      <c r="U26" s="436"/>
      <c r="V26" s="436"/>
      <c r="W26" s="436"/>
      <c r="Z26" s="427" t="str">
        <f aca="false">A26</f>
        <v>Operational Management</v>
      </c>
      <c r="AA26" s="453" t="n">
        <f aca="false">I26</f>
        <v>0</v>
      </c>
      <c r="AB26" s="453" t="n">
        <f aca="false">G26</f>
        <v>0</v>
      </c>
      <c r="AC26" s="453" t="n">
        <f aca="false">E26</f>
        <v>0</v>
      </c>
      <c r="AD26" s="453" t="n">
        <f aca="false">C26</f>
        <v>0</v>
      </c>
      <c r="AE26" s="453" t="n">
        <f aca="false">B26</f>
        <v>0</v>
      </c>
    </row>
    <row r="27" customFormat="false" ht="15" hidden="false" customHeight="false" outlineLevel="0" collapsed="false">
      <c r="L27" s="436"/>
      <c r="M27" s="436"/>
      <c r="N27" s="436"/>
      <c r="O27" s="436"/>
      <c r="P27" s="436"/>
      <c r="Q27" s="436"/>
      <c r="R27" s="436"/>
      <c r="S27" s="436"/>
      <c r="T27" s="436"/>
      <c r="U27" s="436"/>
      <c r="V27" s="436"/>
      <c r="W27" s="436"/>
    </row>
    <row r="28" customFormat="false" ht="15" hidden="false" customHeight="false" outlineLevel="0" collapsed="false">
      <c r="B28" s="476" t="s">
        <v>269</v>
      </c>
      <c r="C28" s="453" t="n">
        <f aca="false">SUM(C12:C26)-SUM(B12:B26)</f>
        <v>0</v>
      </c>
      <c r="D28" s="453"/>
      <c r="E28" s="453" t="n">
        <f aca="false">SUM(E12:E26)-SUM(C12:C26)</f>
        <v>0</v>
      </c>
      <c r="F28" s="453"/>
      <c r="G28" s="453" t="n">
        <f aca="false">SUM(G12:G26)-SUM(E12:E26)</f>
        <v>0</v>
      </c>
      <c r="H28" s="453"/>
      <c r="I28" s="453" t="n">
        <f aca="false">SUM(I12:I26)-SUM(G12:G26)</f>
        <v>0</v>
      </c>
      <c r="J28" s="453"/>
      <c r="K28" s="452" t="n">
        <f aca="false">SUM(K12:K26)</f>
        <v>0</v>
      </c>
      <c r="L28" s="436"/>
      <c r="M28" s="436"/>
      <c r="N28" s="436"/>
      <c r="O28" s="436"/>
      <c r="P28" s="436"/>
      <c r="Q28" s="436"/>
      <c r="R28" s="436"/>
      <c r="S28" s="436"/>
      <c r="T28" s="436"/>
      <c r="U28" s="436"/>
      <c r="V28" s="436"/>
      <c r="W28" s="436"/>
    </row>
    <row r="29" customFormat="false" ht="15" hidden="false" customHeight="false" outlineLevel="0" collapsed="false">
      <c r="B29" s="476"/>
      <c r="C29" s="477" t="n">
        <f aca="false">IFERROR(C28/$K$28,0)</f>
        <v>0</v>
      </c>
      <c r="E29" s="477" t="n">
        <f aca="false">IFERROR(E28/$K$28,0)</f>
        <v>0</v>
      </c>
      <c r="G29" s="477" t="n">
        <f aca="false">IFERROR(G28/$K$28,0)</f>
        <v>0</v>
      </c>
      <c r="I29" s="477" t="n">
        <f aca="false">IFERROR(I28/$K$28,0)</f>
        <v>0</v>
      </c>
      <c r="K29" s="478" t="n">
        <f aca="false">1-K28/24</f>
        <v>1</v>
      </c>
      <c r="L29" s="436"/>
      <c r="M29" s="436"/>
      <c r="N29" s="436"/>
      <c r="O29" s="436"/>
      <c r="P29" s="436"/>
      <c r="Q29" s="436"/>
      <c r="R29" s="436"/>
      <c r="S29" s="436"/>
      <c r="T29" s="436"/>
      <c r="U29" s="436"/>
      <c r="V29" s="436"/>
      <c r="W29" s="436"/>
    </row>
    <row r="30" customFormat="false" ht="15" hidden="false" customHeight="false" outlineLevel="0" collapsed="false">
      <c r="B30" s="476"/>
      <c r="L30" s="436" t="str">
        <f aca="false">A14</f>
        <v>Education &amp; Guidance</v>
      </c>
      <c r="M30" s="436"/>
      <c r="N30" s="436"/>
      <c r="O30" s="436"/>
      <c r="P30" s="436"/>
      <c r="Q30" s="436"/>
      <c r="R30" s="436"/>
      <c r="S30" s="436"/>
      <c r="T30" s="436"/>
      <c r="U30" s="436"/>
      <c r="V30" s="436"/>
      <c r="W30" s="436"/>
    </row>
    <row r="31" customFormat="false" ht="13.5" hidden="false" customHeight="true" outlineLevel="0" collapsed="false">
      <c r="L31" s="436"/>
      <c r="M31" s="436"/>
      <c r="N31" s="436"/>
      <c r="O31" s="436"/>
      <c r="P31" s="436"/>
      <c r="Q31" s="436"/>
      <c r="R31" s="436"/>
      <c r="S31" s="436"/>
      <c r="T31" s="436"/>
      <c r="U31" s="436"/>
      <c r="V31" s="436"/>
      <c r="W31" s="436"/>
    </row>
    <row r="32" customFormat="false" ht="15" hidden="false" customHeight="false" outlineLevel="0" collapsed="false">
      <c r="A32" s="479" t="s">
        <v>270</v>
      </c>
      <c r="B32" s="480" t="n">
        <v>0</v>
      </c>
      <c r="L32" s="436"/>
      <c r="M32" s="436"/>
      <c r="N32" s="436"/>
      <c r="O32" s="436"/>
      <c r="P32" s="436"/>
      <c r="Q32" s="436"/>
      <c r="R32" s="436"/>
      <c r="S32" s="436"/>
      <c r="T32" s="436"/>
      <c r="U32" s="436"/>
      <c r="V32" s="436"/>
      <c r="W32" s="436"/>
    </row>
    <row r="33" customFormat="false" ht="15" hidden="false" customHeight="false" outlineLevel="0" collapsed="false">
      <c r="B33" s="444" t="n">
        <v>0.5</v>
      </c>
      <c r="L33" s="436"/>
      <c r="M33" s="436"/>
      <c r="N33" s="436"/>
      <c r="O33" s="436"/>
      <c r="P33" s="436"/>
      <c r="Q33" s="436"/>
      <c r="R33" s="436"/>
      <c r="S33" s="436"/>
      <c r="T33" s="436"/>
      <c r="U33" s="436"/>
      <c r="V33" s="436"/>
      <c r="W33" s="436"/>
    </row>
    <row r="34" customFormat="false" ht="15" hidden="false" customHeight="false" outlineLevel="0" collapsed="false">
      <c r="B34" s="444" t="n">
        <v>1</v>
      </c>
      <c r="L34" s="436"/>
      <c r="M34" s="436"/>
      <c r="N34" s="436"/>
      <c r="O34" s="436"/>
      <c r="P34" s="436"/>
      <c r="Q34" s="436"/>
      <c r="R34" s="436"/>
      <c r="S34" s="436"/>
      <c r="T34" s="436"/>
      <c r="U34" s="436"/>
      <c r="V34" s="436"/>
      <c r="W34" s="436"/>
    </row>
    <row r="35" customFormat="false" ht="15" hidden="false" customHeight="false" outlineLevel="0" collapsed="false">
      <c r="B35" s="444" t="n">
        <v>1.5</v>
      </c>
      <c r="L35" s="436"/>
      <c r="M35" s="436"/>
      <c r="N35" s="436"/>
      <c r="O35" s="436"/>
      <c r="P35" s="436"/>
      <c r="Q35" s="436"/>
      <c r="R35" s="436"/>
      <c r="S35" s="436"/>
      <c r="T35" s="436"/>
      <c r="U35" s="436"/>
      <c r="V35" s="436"/>
      <c r="W35" s="436"/>
    </row>
    <row r="36" customFormat="false" ht="15" hidden="false" customHeight="false" outlineLevel="0" collapsed="false">
      <c r="B36" s="444" t="n">
        <v>2</v>
      </c>
      <c r="L36" s="436"/>
      <c r="M36" s="436"/>
      <c r="N36" s="436"/>
      <c r="O36" s="436"/>
      <c r="P36" s="436"/>
      <c r="Q36" s="436"/>
      <c r="R36" s="436"/>
      <c r="S36" s="436"/>
      <c r="T36" s="436"/>
      <c r="U36" s="436"/>
      <c r="V36" s="436"/>
      <c r="W36" s="436"/>
    </row>
    <row r="37" customFormat="false" ht="15" hidden="false" customHeight="false" outlineLevel="0" collapsed="false">
      <c r="B37" s="444" t="n">
        <v>2.5</v>
      </c>
      <c r="L37" s="436"/>
      <c r="M37" s="436"/>
      <c r="N37" s="436"/>
      <c r="O37" s="436"/>
      <c r="P37" s="436"/>
      <c r="Q37" s="436"/>
      <c r="R37" s="436"/>
      <c r="S37" s="436"/>
      <c r="T37" s="436"/>
      <c r="U37" s="436"/>
      <c r="V37" s="436"/>
      <c r="W37" s="436"/>
    </row>
    <row r="38" customFormat="false" ht="13.5" hidden="false" customHeight="true" outlineLevel="0" collapsed="false">
      <c r="A38" s="481"/>
      <c r="B38" s="482" t="n">
        <v>3</v>
      </c>
      <c r="L38" s="436" t="str">
        <f aca="false">A15</f>
        <v>Threat Assessment</v>
      </c>
      <c r="M38" s="436"/>
      <c r="N38" s="436"/>
      <c r="O38" s="436"/>
      <c r="P38" s="436"/>
      <c r="Q38" s="436"/>
      <c r="R38" s="436"/>
      <c r="S38" s="436"/>
      <c r="T38" s="436"/>
      <c r="U38" s="436"/>
      <c r="V38" s="436"/>
      <c r="W38" s="436"/>
    </row>
    <row r="39" customFormat="false" ht="15" hidden="false" customHeight="false" outlineLevel="0" collapsed="false">
      <c r="L39" s="436"/>
      <c r="M39" s="436"/>
      <c r="N39" s="436"/>
      <c r="O39" s="436"/>
      <c r="P39" s="436"/>
      <c r="Q39" s="436"/>
      <c r="R39" s="436"/>
      <c r="S39" s="436"/>
      <c r="T39" s="436"/>
      <c r="U39" s="436"/>
      <c r="V39" s="436"/>
      <c r="W39" s="436"/>
    </row>
    <row r="40" customFormat="false" ht="15" hidden="false" customHeight="false" outlineLevel="0" collapsed="false">
      <c r="L40" s="436"/>
      <c r="M40" s="436"/>
      <c r="N40" s="436"/>
      <c r="O40" s="436"/>
      <c r="P40" s="436"/>
      <c r="Q40" s="436"/>
      <c r="R40" s="436"/>
      <c r="S40" s="436"/>
      <c r="T40" s="436"/>
      <c r="U40" s="436"/>
      <c r="V40" s="436"/>
      <c r="W40" s="436"/>
    </row>
    <row r="41" customFormat="false" ht="15" hidden="false" customHeight="false" outlineLevel="0" collapsed="false">
      <c r="L41" s="436"/>
      <c r="M41" s="436"/>
      <c r="N41" s="436"/>
      <c r="O41" s="436"/>
      <c r="P41" s="436"/>
      <c r="Q41" s="436"/>
      <c r="R41" s="436"/>
      <c r="S41" s="436"/>
      <c r="T41" s="436"/>
      <c r="U41" s="436"/>
      <c r="V41" s="436"/>
      <c r="W41" s="436"/>
    </row>
    <row r="42" customFormat="false" ht="15" hidden="false" customHeight="false" outlineLevel="0" collapsed="false">
      <c r="L42" s="436"/>
      <c r="M42" s="436"/>
      <c r="N42" s="436"/>
      <c r="O42" s="436"/>
      <c r="P42" s="436"/>
      <c r="Q42" s="436"/>
      <c r="R42" s="436"/>
      <c r="S42" s="436"/>
      <c r="T42" s="436"/>
      <c r="U42" s="436"/>
      <c r="V42" s="436"/>
      <c r="W42" s="436"/>
    </row>
    <row r="43" customFormat="false" ht="15" hidden="false" customHeight="false" outlineLevel="0" collapsed="false">
      <c r="L43" s="436"/>
      <c r="M43" s="436"/>
      <c r="N43" s="436"/>
      <c r="O43" s="436"/>
      <c r="P43" s="436"/>
      <c r="Q43" s="436"/>
      <c r="R43" s="436"/>
      <c r="S43" s="436"/>
      <c r="T43" s="436"/>
      <c r="U43" s="436"/>
      <c r="V43" s="436"/>
      <c r="W43" s="436"/>
    </row>
    <row r="44" customFormat="false" ht="15" hidden="false" customHeight="false" outlineLevel="0" collapsed="false">
      <c r="L44" s="436"/>
      <c r="M44" s="436"/>
      <c r="N44" s="436"/>
      <c r="O44" s="436"/>
      <c r="P44" s="436"/>
      <c r="Q44" s="436"/>
      <c r="R44" s="436"/>
      <c r="S44" s="436"/>
      <c r="T44" s="436"/>
      <c r="U44" s="436"/>
      <c r="V44" s="436"/>
      <c r="W44" s="436"/>
    </row>
    <row r="45" customFormat="false" ht="15" hidden="false" customHeight="false" outlineLevel="0" collapsed="false">
      <c r="L45" s="436"/>
      <c r="M45" s="436"/>
      <c r="N45" s="436"/>
      <c r="O45" s="436"/>
      <c r="P45" s="436"/>
      <c r="Q45" s="436"/>
      <c r="R45" s="436"/>
      <c r="S45" s="436"/>
      <c r="T45" s="436"/>
      <c r="U45" s="436"/>
      <c r="V45" s="436"/>
      <c r="W45" s="436"/>
    </row>
    <row r="46" customFormat="false" ht="15" hidden="false" customHeight="false" outlineLevel="0" collapsed="false">
      <c r="L46" s="436" t="str">
        <f aca="false">A16</f>
        <v>Security Requirements</v>
      </c>
      <c r="M46" s="436"/>
      <c r="N46" s="436"/>
      <c r="O46" s="436"/>
      <c r="P46" s="436"/>
      <c r="Q46" s="436"/>
      <c r="R46" s="436"/>
      <c r="S46" s="436"/>
      <c r="T46" s="436"/>
      <c r="U46" s="436"/>
      <c r="V46" s="436"/>
      <c r="W46" s="436"/>
    </row>
    <row r="47" customFormat="false" ht="15" hidden="false" customHeight="false" outlineLevel="0" collapsed="false">
      <c r="L47" s="436"/>
      <c r="M47" s="436"/>
      <c r="N47" s="436"/>
      <c r="O47" s="436"/>
      <c r="P47" s="436"/>
      <c r="Q47" s="436"/>
      <c r="R47" s="436"/>
      <c r="S47" s="436"/>
      <c r="T47" s="436"/>
      <c r="U47" s="436"/>
      <c r="V47" s="436"/>
      <c r="W47" s="436"/>
    </row>
    <row r="48" customFormat="false" ht="15" hidden="false" customHeight="false" outlineLevel="0" collapsed="false">
      <c r="L48" s="436"/>
      <c r="M48" s="436"/>
      <c r="N48" s="436"/>
      <c r="O48" s="436"/>
      <c r="P48" s="436"/>
      <c r="Q48" s="436"/>
      <c r="R48" s="436"/>
      <c r="S48" s="436"/>
      <c r="T48" s="436"/>
      <c r="U48" s="436"/>
      <c r="V48" s="436"/>
      <c r="W48" s="436"/>
    </row>
    <row r="49" customFormat="false" ht="15" hidden="false" customHeight="false" outlineLevel="0" collapsed="false">
      <c r="L49" s="436"/>
      <c r="M49" s="436"/>
      <c r="N49" s="436"/>
      <c r="O49" s="436"/>
      <c r="P49" s="436"/>
      <c r="Q49" s="436"/>
      <c r="R49" s="436"/>
      <c r="S49" s="436"/>
      <c r="T49" s="436"/>
      <c r="U49" s="436"/>
      <c r="V49" s="436"/>
      <c r="W49" s="436"/>
    </row>
    <row r="50" customFormat="false" ht="15" hidden="false" customHeight="false" outlineLevel="0" collapsed="false">
      <c r="L50" s="436"/>
      <c r="M50" s="436"/>
      <c r="N50" s="436"/>
      <c r="O50" s="436"/>
      <c r="P50" s="436"/>
      <c r="Q50" s="436"/>
      <c r="R50" s="436"/>
      <c r="S50" s="436"/>
      <c r="T50" s="436"/>
      <c r="U50" s="436"/>
      <c r="V50" s="436"/>
      <c r="W50" s="436"/>
    </row>
    <row r="51" customFormat="false" ht="15" hidden="false" customHeight="false" outlineLevel="0" collapsed="false">
      <c r="L51" s="436"/>
      <c r="M51" s="436"/>
      <c r="N51" s="436"/>
      <c r="O51" s="436"/>
      <c r="P51" s="436"/>
      <c r="Q51" s="436"/>
      <c r="R51" s="436"/>
      <c r="S51" s="436"/>
      <c r="T51" s="436"/>
      <c r="U51" s="436"/>
      <c r="V51" s="436"/>
      <c r="W51" s="436"/>
    </row>
    <row r="52" customFormat="false" ht="15" hidden="false" customHeight="false" outlineLevel="0" collapsed="false">
      <c r="L52" s="436"/>
      <c r="M52" s="436"/>
      <c r="N52" s="436"/>
      <c r="O52" s="436"/>
      <c r="P52" s="436"/>
      <c r="Q52" s="436"/>
      <c r="R52" s="436"/>
      <c r="S52" s="436"/>
      <c r="T52" s="436"/>
      <c r="U52" s="436"/>
      <c r="V52" s="436"/>
      <c r="W52" s="436"/>
    </row>
    <row r="53" customFormat="false" ht="15" hidden="false" customHeight="false" outlineLevel="0" collapsed="false">
      <c r="L53" s="436"/>
      <c r="M53" s="436"/>
      <c r="N53" s="436"/>
      <c r="O53" s="436"/>
      <c r="P53" s="436"/>
      <c r="Q53" s="436"/>
      <c r="R53" s="436"/>
      <c r="S53" s="436"/>
      <c r="T53" s="436"/>
      <c r="U53" s="436"/>
      <c r="V53" s="436"/>
      <c r="W53" s="436"/>
    </row>
    <row r="54" customFormat="false" ht="15" hidden="false" customHeight="false" outlineLevel="0" collapsed="false">
      <c r="L54" s="436" t="str">
        <f aca="false">A17</f>
        <v>Secure Architecture</v>
      </c>
      <c r="M54" s="436"/>
      <c r="N54" s="436"/>
      <c r="O54" s="436"/>
      <c r="P54" s="436"/>
      <c r="Q54" s="436"/>
      <c r="R54" s="436"/>
      <c r="S54" s="436"/>
      <c r="T54" s="436"/>
      <c r="U54" s="436"/>
      <c r="V54" s="436"/>
      <c r="W54" s="436"/>
    </row>
    <row r="55" customFormat="false" ht="15" hidden="false" customHeight="false" outlineLevel="0" collapsed="false">
      <c r="L55" s="436"/>
      <c r="M55" s="436"/>
      <c r="N55" s="436"/>
      <c r="O55" s="436"/>
      <c r="P55" s="436"/>
      <c r="Q55" s="436"/>
      <c r="R55" s="436"/>
      <c r="S55" s="436"/>
      <c r="T55" s="436"/>
      <c r="U55" s="436"/>
      <c r="V55" s="436"/>
      <c r="W55" s="436"/>
    </row>
    <row r="56" customFormat="false" ht="15" hidden="false" customHeight="false" outlineLevel="0" collapsed="false">
      <c r="L56" s="436"/>
      <c r="M56" s="436"/>
      <c r="W56" s="436"/>
    </row>
    <row r="57" customFormat="false" ht="15" hidden="false" customHeight="false" outlineLevel="0" collapsed="false">
      <c r="L57" s="436"/>
      <c r="M57" s="436"/>
      <c r="W57" s="436"/>
    </row>
    <row r="58" customFormat="false" ht="15" hidden="false" customHeight="false" outlineLevel="0" collapsed="false">
      <c r="L58" s="436"/>
      <c r="M58" s="436"/>
      <c r="W58" s="436"/>
    </row>
    <row r="59" customFormat="false" ht="15" hidden="false" customHeight="false" outlineLevel="0" collapsed="false">
      <c r="L59" s="436"/>
      <c r="M59" s="436"/>
      <c r="W59" s="436"/>
    </row>
    <row r="60" customFormat="false" ht="15" hidden="false" customHeight="false" outlineLevel="0" collapsed="false">
      <c r="L60" s="436"/>
      <c r="M60" s="436"/>
      <c r="W60" s="436"/>
    </row>
    <row r="61" customFormat="false" ht="15" hidden="false" customHeight="false" outlineLevel="0" collapsed="false">
      <c r="L61" s="436"/>
      <c r="M61" s="436"/>
      <c r="W61" s="436"/>
    </row>
    <row r="62" customFormat="false" ht="15" hidden="false" customHeight="false" outlineLevel="0" collapsed="false">
      <c r="L62" s="436" t="str">
        <f aca="false">A18</f>
        <v>Secure Build</v>
      </c>
      <c r="M62" s="436"/>
      <c r="W62" s="436"/>
    </row>
    <row r="63" customFormat="false" ht="15" hidden="false" customHeight="false" outlineLevel="0" collapsed="false">
      <c r="L63" s="436"/>
      <c r="M63" s="436"/>
      <c r="W63" s="436"/>
    </row>
    <row r="64" customFormat="false" ht="15" hidden="false" customHeight="false" outlineLevel="0" collapsed="false">
      <c r="L64" s="436"/>
      <c r="M64" s="436"/>
      <c r="W64" s="436"/>
    </row>
    <row r="65" customFormat="false" ht="15" hidden="false" customHeight="false" outlineLevel="0" collapsed="false">
      <c r="L65" s="436"/>
      <c r="M65" s="436"/>
      <c r="W65" s="436"/>
    </row>
    <row r="66" customFormat="false" ht="15" hidden="false" customHeight="false" outlineLevel="0" collapsed="false">
      <c r="L66" s="436"/>
      <c r="M66" s="436"/>
      <c r="W66" s="436"/>
    </row>
    <row r="67" customFormat="false" ht="15" hidden="false" customHeight="false" outlineLevel="0" collapsed="false">
      <c r="L67" s="436"/>
      <c r="M67" s="436"/>
      <c r="W67" s="436"/>
    </row>
    <row r="68" customFormat="false" ht="15" hidden="false" customHeight="false" outlineLevel="0" collapsed="false">
      <c r="L68" s="436"/>
      <c r="M68" s="436"/>
      <c r="W68" s="436"/>
    </row>
    <row r="69" customFormat="false" ht="15" hidden="false" customHeight="false" outlineLevel="0" collapsed="false">
      <c r="L69" s="436"/>
      <c r="M69" s="436"/>
      <c r="W69" s="436"/>
    </row>
    <row r="70" customFormat="false" ht="15" hidden="false" customHeight="false" outlineLevel="0" collapsed="false">
      <c r="L70" s="436" t="str">
        <f aca="false">A19</f>
        <v>Secure Deployment</v>
      </c>
      <c r="M70" s="436"/>
      <c r="W70" s="436"/>
    </row>
    <row r="71" customFormat="false" ht="15" hidden="false" customHeight="false" outlineLevel="0" collapsed="false">
      <c r="L71" s="436"/>
      <c r="M71" s="436"/>
      <c r="W71" s="436"/>
    </row>
    <row r="72" customFormat="false" ht="15" hidden="false" customHeight="false" outlineLevel="0" collapsed="false">
      <c r="L72" s="436"/>
      <c r="M72" s="436"/>
      <c r="W72" s="436"/>
    </row>
    <row r="73" customFormat="false" ht="15" hidden="false" customHeight="false" outlineLevel="0" collapsed="false">
      <c r="L73" s="436"/>
      <c r="M73" s="436"/>
      <c r="W73" s="436"/>
    </row>
    <row r="74" customFormat="false" ht="15" hidden="false" customHeight="false" outlineLevel="0" collapsed="false">
      <c r="L74" s="436"/>
      <c r="M74" s="436"/>
      <c r="W74" s="436"/>
    </row>
    <row r="75" customFormat="false" ht="15" hidden="false" customHeight="false" outlineLevel="0" collapsed="false">
      <c r="L75" s="436"/>
      <c r="M75" s="436"/>
      <c r="W75" s="436"/>
    </row>
    <row r="76" customFormat="false" ht="15" hidden="false" customHeight="false" outlineLevel="0" collapsed="false">
      <c r="L76" s="436"/>
      <c r="M76" s="436"/>
      <c r="W76" s="436"/>
    </row>
    <row r="77" customFormat="false" ht="15" hidden="false" customHeight="false" outlineLevel="0" collapsed="false">
      <c r="L77" s="436"/>
      <c r="M77" s="436"/>
      <c r="W77" s="436"/>
    </row>
    <row r="78" customFormat="false" ht="15" hidden="false" customHeight="false" outlineLevel="0" collapsed="false">
      <c r="L78" s="436" t="str">
        <f aca="false">A20</f>
        <v>Defect Management</v>
      </c>
      <c r="M78" s="436"/>
      <c r="W78" s="436"/>
    </row>
    <row r="79" customFormat="false" ht="15" hidden="false" customHeight="false" outlineLevel="0" collapsed="false">
      <c r="L79" s="436"/>
      <c r="M79" s="436"/>
      <c r="W79" s="436"/>
    </row>
    <row r="80" customFormat="false" ht="15" hidden="false" customHeight="false" outlineLevel="0" collapsed="false">
      <c r="L80" s="436"/>
      <c r="M80" s="436"/>
      <c r="N80" s="436"/>
      <c r="O80" s="436"/>
      <c r="P80" s="436"/>
      <c r="Q80" s="436"/>
      <c r="R80" s="436"/>
      <c r="S80" s="436"/>
      <c r="T80" s="436"/>
      <c r="U80" s="436"/>
      <c r="V80" s="436"/>
      <c r="W80" s="436"/>
    </row>
    <row r="81" customFormat="false" ht="15" hidden="false" customHeight="false" outlineLevel="0" collapsed="false">
      <c r="L81" s="436"/>
      <c r="M81" s="436"/>
      <c r="N81" s="436"/>
      <c r="O81" s="436"/>
      <c r="P81" s="436"/>
      <c r="Q81" s="436"/>
      <c r="R81" s="436"/>
      <c r="S81" s="436"/>
      <c r="T81" s="436"/>
      <c r="U81" s="436"/>
      <c r="V81" s="436"/>
      <c r="W81" s="436"/>
    </row>
    <row r="82" customFormat="false" ht="15" hidden="false" customHeight="false" outlineLevel="0" collapsed="false">
      <c r="L82" s="436"/>
      <c r="M82" s="436"/>
      <c r="N82" s="436"/>
      <c r="O82" s="436"/>
      <c r="P82" s="436"/>
      <c r="Q82" s="436"/>
      <c r="R82" s="436"/>
      <c r="S82" s="436"/>
      <c r="T82" s="436"/>
      <c r="U82" s="436"/>
      <c r="V82" s="436"/>
      <c r="W82" s="436"/>
    </row>
    <row r="83" customFormat="false" ht="15" hidden="false" customHeight="false" outlineLevel="0" collapsed="false">
      <c r="L83" s="436"/>
      <c r="M83" s="436"/>
      <c r="N83" s="436"/>
      <c r="O83" s="436"/>
      <c r="P83" s="436"/>
      <c r="Q83" s="436"/>
      <c r="R83" s="436"/>
      <c r="S83" s="436"/>
      <c r="T83" s="436"/>
      <c r="U83" s="436"/>
      <c r="V83" s="436"/>
      <c r="W83" s="436"/>
    </row>
    <row r="84" customFormat="false" ht="15" hidden="false" customHeight="false" outlineLevel="0" collapsed="false">
      <c r="L84" s="436"/>
      <c r="M84" s="436"/>
      <c r="N84" s="436"/>
      <c r="O84" s="436"/>
      <c r="P84" s="436"/>
      <c r="Q84" s="436"/>
      <c r="R84" s="436"/>
      <c r="S84" s="436"/>
      <c r="T84" s="436"/>
      <c r="U84" s="436"/>
      <c r="V84" s="436"/>
      <c r="W84" s="436"/>
    </row>
    <row r="85" customFormat="false" ht="15" hidden="false" customHeight="false" outlineLevel="0" collapsed="false">
      <c r="L85" s="436"/>
      <c r="M85" s="436"/>
      <c r="N85" s="436"/>
      <c r="O85" s="436"/>
      <c r="P85" s="436"/>
      <c r="Q85" s="436"/>
      <c r="R85" s="436"/>
      <c r="S85" s="436"/>
      <c r="T85" s="436"/>
      <c r="U85" s="436"/>
      <c r="V85" s="436"/>
      <c r="W85" s="436"/>
    </row>
    <row r="86" customFormat="false" ht="15" hidden="false" customHeight="false" outlineLevel="0" collapsed="false">
      <c r="L86" s="436" t="str">
        <f aca="false">A21</f>
        <v>Architecture Assessment</v>
      </c>
      <c r="M86" s="436"/>
      <c r="N86" s="436"/>
      <c r="O86" s="436"/>
      <c r="P86" s="436"/>
      <c r="Q86" s="436"/>
      <c r="R86" s="436"/>
      <c r="S86" s="436"/>
      <c r="T86" s="436"/>
      <c r="U86" s="436"/>
      <c r="V86" s="436"/>
      <c r="W86" s="436"/>
    </row>
    <row r="87" customFormat="false" ht="15" hidden="false" customHeight="false" outlineLevel="0" collapsed="false">
      <c r="L87" s="436"/>
      <c r="M87" s="436"/>
      <c r="N87" s="436"/>
      <c r="O87" s="436"/>
      <c r="P87" s="436"/>
      <c r="Q87" s="436"/>
      <c r="R87" s="436"/>
      <c r="S87" s="436"/>
      <c r="T87" s="436"/>
      <c r="U87" s="436"/>
      <c r="V87" s="436"/>
      <c r="W87" s="436"/>
    </row>
    <row r="88" customFormat="false" ht="15" hidden="false" customHeight="false" outlineLevel="0" collapsed="false">
      <c r="L88" s="436"/>
      <c r="M88" s="436"/>
      <c r="N88" s="436"/>
      <c r="O88" s="436"/>
      <c r="P88" s="436"/>
      <c r="Q88" s="436"/>
      <c r="R88" s="436"/>
      <c r="S88" s="436"/>
      <c r="T88" s="436"/>
      <c r="U88" s="436"/>
      <c r="V88" s="436"/>
      <c r="W88" s="436"/>
    </row>
    <row r="89" customFormat="false" ht="15" hidden="false" customHeight="false" outlineLevel="0" collapsed="false">
      <c r="L89" s="436"/>
      <c r="M89" s="436"/>
      <c r="N89" s="436"/>
      <c r="O89" s="436"/>
      <c r="P89" s="436"/>
      <c r="Q89" s="436"/>
      <c r="R89" s="436"/>
      <c r="S89" s="436"/>
      <c r="T89" s="436"/>
      <c r="U89" s="436"/>
      <c r="V89" s="436"/>
      <c r="W89" s="436"/>
    </row>
    <row r="90" customFormat="false" ht="15" hidden="false" customHeight="false" outlineLevel="0" collapsed="false">
      <c r="L90" s="436"/>
      <c r="M90" s="436"/>
      <c r="N90" s="436"/>
      <c r="O90" s="436"/>
      <c r="P90" s="436"/>
      <c r="Q90" s="436"/>
      <c r="R90" s="436"/>
      <c r="S90" s="436"/>
      <c r="T90" s="436"/>
      <c r="U90" s="436"/>
      <c r="V90" s="436"/>
      <c r="W90" s="436"/>
    </row>
    <row r="91" customFormat="false" ht="15" hidden="false" customHeight="false" outlineLevel="0" collapsed="false">
      <c r="L91" s="436"/>
      <c r="M91" s="436"/>
      <c r="N91" s="436"/>
      <c r="O91" s="436"/>
      <c r="P91" s="436"/>
      <c r="Q91" s="436"/>
      <c r="R91" s="436"/>
      <c r="S91" s="436"/>
      <c r="T91" s="436"/>
      <c r="U91" s="436"/>
      <c r="V91" s="436"/>
      <c r="W91" s="436"/>
    </row>
    <row r="92" customFormat="false" ht="15" hidden="false" customHeight="false" outlineLevel="0" collapsed="false">
      <c r="L92" s="436"/>
      <c r="M92" s="436"/>
      <c r="N92" s="436"/>
      <c r="O92" s="436"/>
      <c r="P92" s="436"/>
      <c r="Q92" s="436"/>
      <c r="R92" s="436"/>
      <c r="S92" s="436"/>
      <c r="T92" s="436"/>
      <c r="U92" s="436"/>
      <c r="V92" s="436"/>
      <c r="W92" s="436"/>
    </row>
    <row r="93" customFormat="false" ht="15" hidden="false" customHeight="false" outlineLevel="0" collapsed="false">
      <c r="L93" s="436"/>
      <c r="M93" s="436"/>
      <c r="N93" s="436"/>
      <c r="O93" s="436"/>
      <c r="P93" s="436"/>
      <c r="Q93" s="436"/>
      <c r="R93" s="436"/>
      <c r="S93" s="436"/>
      <c r="T93" s="436"/>
      <c r="U93" s="436"/>
      <c r="V93" s="436"/>
      <c r="W93" s="436"/>
    </row>
    <row r="94" customFormat="false" ht="15" hidden="false" customHeight="false" outlineLevel="0" collapsed="false">
      <c r="L94" s="436" t="str">
        <f aca="false">A22</f>
        <v>Requirements Testing</v>
      </c>
      <c r="M94" s="436"/>
      <c r="N94" s="436"/>
      <c r="O94" s="436"/>
      <c r="P94" s="436"/>
      <c r="Q94" s="436"/>
      <c r="R94" s="436"/>
      <c r="S94" s="436"/>
      <c r="T94" s="436"/>
      <c r="U94" s="436"/>
      <c r="V94" s="436"/>
      <c r="W94" s="436"/>
    </row>
    <row r="95" customFormat="false" ht="15" hidden="false" customHeight="false" outlineLevel="0" collapsed="false">
      <c r="L95" s="436"/>
      <c r="M95" s="436"/>
      <c r="N95" s="436"/>
      <c r="O95" s="436"/>
      <c r="P95" s="436"/>
      <c r="Q95" s="436"/>
      <c r="R95" s="436"/>
      <c r="S95" s="436"/>
      <c r="T95" s="436"/>
      <c r="U95" s="436"/>
      <c r="V95" s="436"/>
      <c r="W95" s="436"/>
    </row>
    <row r="96" customFormat="false" ht="15" hidden="false" customHeight="false" outlineLevel="0" collapsed="false">
      <c r="L96" s="436"/>
      <c r="M96" s="436"/>
      <c r="N96" s="436"/>
      <c r="O96" s="436"/>
      <c r="P96" s="436"/>
      <c r="Q96" s="436"/>
      <c r="R96" s="436"/>
      <c r="S96" s="436"/>
      <c r="T96" s="436"/>
      <c r="U96" s="436"/>
      <c r="V96" s="436"/>
      <c r="W96" s="436"/>
    </row>
    <row r="97" customFormat="false" ht="15" hidden="false" customHeight="false" outlineLevel="0" collapsed="false">
      <c r="L97" s="436"/>
      <c r="M97" s="436"/>
      <c r="N97" s="436"/>
      <c r="O97" s="436"/>
      <c r="P97" s="436"/>
      <c r="Q97" s="436"/>
      <c r="R97" s="436"/>
      <c r="S97" s="436"/>
      <c r="T97" s="436"/>
      <c r="U97" s="436"/>
      <c r="V97" s="436"/>
      <c r="W97" s="436"/>
    </row>
    <row r="98" customFormat="false" ht="15" hidden="false" customHeight="false" outlineLevel="0" collapsed="false">
      <c r="L98" s="436"/>
      <c r="M98" s="436"/>
      <c r="N98" s="436"/>
      <c r="O98" s="436"/>
      <c r="P98" s="436"/>
      <c r="Q98" s="436"/>
      <c r="R98" s="436"/>
      <c r="S98" s="436"/>
      <c r="T98" s="436"/>
      <c r="U98" s="436"/>
      <c r="V98" s="436"/>
      <c r="W98" s="436"/>
    </row>
    <row r="99" customFormat="false" ht="15" hidden="false" customHeight="false" outlineLevel="0" collapsed="false">
      <c r="L99" s="436"/>
      <c r="M99" s="436"/>
      <c r="N99" s="436"/>
      <c r="O99" s="436"/>
      <c r="P99" s="436"/>
      <c r="Q99" s="436"/>
      <c r="R99" s="436"/>
      <c r="S99" s="436"/>
      <c r="T99" s="436"/>
      <c r="U99" s="436"/>
      <c r="V99" s="436"/>
      <c r="W99" s="436"/>
    </row>
    <row r="100" customFormat="false" ht="15" hidden="false" customHeight="false" outlineLevel="0" collapsed="false">
      <c r="L100" s="436"/>
      <c r="M100" s="436"/>
      <c r="N100" s="436"/>
      <c r="O100" s="436"/>
      <c r="P100" s="436"/>
      <c r="Q100" s="436"/>
      <c r="R100" s="436"/>
      <c r="S100" s="436"/>
      <c r="T100" s="436"/>
      <c r="U100" s="436"/>
      <c r="V100" s="436"/>
      <c r="W100" s="436"/>
    </row>
    <row r="101" customFormat="false" ht="15" hidden="false" customHeight="false" outlineLevel="0" collapsed="false">
      <c r="L101" s="436"/>
      <c r="M101" s="436"/>
      <c r="N101" s="436"/>
      <c r="O101" s="436"/>
      <c r="P101" s="436"/>
      <c r="Q101" s="436"/>
      <c r="R101" s="436"/>
      <c r="S101" s="436"/>
      <c r="T101" s="436"/>
      <c r="U101" s="436"/>
      <c r="V101" s="436"/>
      <c r="W101" s="436"/>
    </row>
    <row r="102" customFormat="false" ht="15" hidden="false" customHeight="false" outlineLevel="0" collapsed="false">
      <c r="L102" s="436" t="str">
        <f aca="false">A23</f>
        <v>Security Testing</v>
      </c>
      <c r="M102" s="436"/>
      <c r="N102" s="436"/>
      <c r="O102" s="436"/>
      <c r="P102" s="436"/>
      <c r="Q102" s="436"/>
      <c r="R102" s="436"/>
      <c r="S102" s="436"/>
      <c r="T102" s="436"/>
      <c r="U102" s="436"/>
      <c r="V102" s="436"/>
      <c r="W102" s="436"/>
    </row>
    <row r="103" customFormat="false" ht="15" hidden="false" customHeight="false" outlineLevel="0" collapsed="false">
      <c r="L103" s="436"/>
      <c r="M103" s="436"/>
      <c r="N103" s="436"/>
      <c r="O103" s="436"/>
      <c r="P103" s="436"/>
      <c r="Q103" s="436"/>
      <c r="R103" s="436"/>
      <c r="S103" s="436"/>
      <c r="T103" s="436"/>
      <c r="U103" s="436"/>
      <c r="V103" s="436"/>
      <c r="W103" s="436"/>
    </row>
    <row r="104" customFormat="false" ht="15" hidden="false" customHeight="false" outlineLevel="0" collapsed="false">
      <c r="L104" s="436"/>
      <c r="M104" s="436"/>
      <c r="N104" s="436"/>
      <c r="O104" s="436"/>
      <c r="P104" s="436"/>
      <c r="Q104" s="436"/>
      <c r="R104" s="436"/>
      <c r="S104" s="436"/>
      <c r="T104" s="436"/>
      <c r="U104" s="436"/>
      <c r="V104" s="436"/>
      <c r="W104" s="436"/>
    </row>
    <row r="105" customFormat="false" ht="15" hidden="false" customHeight="false" outlineLevel="0" collapsed="false">
      <c r="L105" s="436"/>
      <c r="M105" s="436"/>
      <c r="N105" s="436"/>
      <c r="O105" s="436"/>
      <c r="P105" s="436"/>
      <c r="Q105" s="436"/>
      <c r="R105" s="436"/>
      <c r="S105" s="436"/>
      <c r="T105" s="436"/>
      <c r="U105" s="436"/>
      <c r="V105" s="436"/>
      <c r="W105" s="436"/>
    </row>
    <row r="106" customFormat="false" ht="15" hidden="false" customHeight="false" outlineLevel="0" collapsed="false">
      <c r="L106" s="436"/>
      <c r="M106" s="436"/>
      <c r="N106" s="436"/>
      <c r="O106" s="436"/>
      <c r="P106" s="436"/>
      <c r="Q106" s="436"/>
      <c r="R106" s="436"/>
      <c r="S106" s="436"/>
      <c r="T106" s="436"/>
      <c r="U106" s="436"/>
      <c r="V106" s="436"/>
      <c r="W106" s="436"/>
    </row>
    <row r="107" customFormat="false" ht="15" hidden="false" customHeight="false" outlineLevel="0" collapsed="false">
      <c r="L107" s="436"/>
      <c r="M107" s="436"/>
      <c r="N107" s="436"/>
      <c r="O107" s="436"/>
      <c r="P107" s="436"/>
      <c r="Q107" s="436"/>
      <c r="R107" s="436"/>
      <c r="S107" s="436"/>
      <c r="T107" s="436"/>
      <c r="U107" s="436"/>
      <c r="V107" s="436"/>
      <c r="W107" s="436"/>
    </row>
    <row r="108" customFormat="false" ht="15" hidden="false" customHeight="false" outlineLevel="0" collapsed="false">
      <c r="L108" s="436"/>
      <c r="M108" s="436"/>
      <c r="N108" s="436"/>
      <c r="O108" s="436"/>
      <c r="P108" s="436"/>
      <c r="Q108" s="436"/>
      <c r="R108" s="436"/>
      <c r="S108" s="436"/>
      <c r="T108" s="436"/>
      <c r="U108" s="436"/>
      <c r="V108" s="436"/>
      <c r="W108" s="436"/>
    </row>
    <row r="109" customFormat="false" ht="15" hidden="false" customHeight="false" outlineLevel="0" collapsed="false">
      <c r="L109" s="436"/>
      <c r="M109" s="436"/>
      <c r="N109" s="436"/>
      <c r="O109" s="436"/>
      <c r="P109" s="436"/>
      <c r="Q109" s="436"/>
      <c r="R109" s="436"/>
      <c r="S109" s="436"/>
      <c r="T109" s="436"/>
      <c r="U109" s="436"/>
      <c r="V109" s="436"/>
      <c r="W109" s="436"/>
    </row>
    <row r="110" customFormat="false" ht="15" hidden="false" customHeight="false" outlineLevel="0" collapsed="false">
      <c r="L110" s="436" t="str">
        <f aca="false">A24</f>
        <v>Incident Management</v>
      </c>
      <c r="M110" s="436"/>
      <c r="N110" s="436"/>
      <c r="O110" s="436"/>
      <c r="P110" s="436"/>
      <c r="Q110" s="436"/>
      <c r="R110" s="436"/>
      <c r="S110" s="436"/>
      <c r="T110" s="436"/>
      <c r="U110" s="436"/>
      <c r="V110" s="436"/>
      <c r="W110" s="436"/>
    </row>
    <row r="111" customFormat="false" ht="15" hidden="false" customHeight="false" outlineLevel="0" collapsed="false">
      <c r="L111" s="436"/>
      <c r="M111" s="436"/>
      <c r="N111" s="436"/>
      <c r="O111" s="436"/>
      <c r="P111" s="436"/>
      <c r="Q111" s="436"/>
      <c r="R111" s="436"/>
      <c r="S111" s="436"/>
      <c r="T111" s="436"/>
      <c r="U111" s="436"/>
      <c r="V111" s="436"/>
      <c r="W111" s="436"/>
    </row>
    <row r="112" customFormat="false" ht="15" hidden="false" customHeight="false" outlineLevel="0" collapsed="false">
      <c r="L112" s="436"/>
      <c r="M112" s="436"/>
      <c r="N112" s="436"/>
      <c r="O112" s="436"/>
      <c r="P112" s="436"/>
      <c r="Q112" s="436"/>
      <c r="R112" s="436"/>
      <c r="S112" s="436"/>
      <c r="T112" s="436"/>
      <c r="U112" s="436"/>
      <c r="V112" s="436"/>
      <c r="W112" s="436"/>
    </row>
    <row r="113" customFormat="false" ht="15" hidden="false" customHeight="false" outlineLevel="0" collapsed="false">
      <c r="L113" s="436"/>
      <c r="M113" s="436"/>
      <c r="N113" s="436"/>
      <c r="O113" s="436"/>
      <c r="P113" s="436"/>
      <c r="Q113" s="436"/>
      <c r="R113" s="436"/>
      <c r="S113" s="436"/>
      <c r="T113" s="436"/>
      <c r="U113" s="436"/>
      <c r="V113" s="436"/>
      <c r="W113" s="436"/>
    </row>
    <row r="114" customFormat="false" ht="15" hidden="false" customHeight="false" outlineLevel="0" collapsed="false">
      <c r="L114" s="436"/>
      <c r="M114" s="436"/>
      <c r="N114" s="436"/>
      <c r="O114" s="436"/>
      <c r="P114" s="436"/>
      <c r="Q114" s="436"/>
      <c r="R114" s="436"/>
      <c r="S114" s="436"/>
      <c r="T114" s="436"/>
      <c r="U114" s="436"/>
      <c r="V114" s="436"/>
      <c r="W114" s="436"/>
    </row>
    <row r="115" customFormat="false" ht="15" hidden="false" customHeight="false" outlineLevel="0" collapsed="false">
      <c r="L115" s="436"/>
      <c r="M115" s="436"/>
      <c r="N115" s="436"/>
      <c r="O115" s="436"/>
      <c r="P115" s="436"/>
      <c r="Q115" s="436"/>
      <c r="R115" s="436"/>
      <c r="S115" s="436"/>
      <c r="T115" s="436"/>
      <c r="U115" s="436"/>
      <c r="V115" s="436"/>
      <c r="W115" s="436"/>
    </row>
    <row r="116" customFormat="false" ht="15" hidden="false" customHeight="false" outlineLevel="0" collapsed="false">
      <c r="L116" s="436"/>
      <c r="M116" s="436"/>
      <c r="N116" s="436"/>
      <c r="O116" s="436"/>
      <c r="P116" s="436"/>
      <c r="Q116" s="436"/>
      <c r="R116" s="436"/>
      <c r="S116" s="436"/>
      <c r="T116" s="436"/>
      <c r="U116" s="436"/>
      <c r="V116" s="436"/>
      <c r="W116" s="436"/>
    </row>
    <row r="117" customFormat="false" ht="15" hidden="false" customHeight="false" outlineLevel="0" collapsed="false">
      <c r="L117" s="436"/>
      <c r="M117" s="436"/>
      <c r="N117" s="436"/>
      <c r="O117" s="436"/>
      <c r="P117" s="436"/>
      <c r="Q117" s="436"/>
      <c r="R117" s="436"/>
      <c r="S117" s="436"/>
      <c r="T117" s="436"/>
      <c r="U117" s="436"/>
      <c r="V117" s="436"/>
      <c r="W117" s="436"/>
    </row>
    <row r="118" customFormat="false" ht="15" hidden="false" customHeight="false" outlineLevel="0" collapsed="false">
      <c r="L118" s="436" t="str">
        <f aca="false">A25</f>
        <v>Environment Management</v>
      </c>
      <c r="M118" s="436"/>
      <c r="N118" s="436"/>
      <c r="O118" s="436"/>
      <c r="P118" s="436"/>
      <c r="Q118" s="436"/>
      <c r="R118" s="436"/>
      <c r="S118" s="436"/>
      <c r="T118" s="436"/>
      <c r="U118" s="436"/>
      <c r="V118" s="436"/>
      <c r="W118" s="436"/>
    </row>
    <row r="119" customFormat="false" ht="15" hidden="false" customHeight="false" outlineLevel="0" collapsed="false">
      <c r="L119" s="436"/>
      <c r="M119" s="436"/>
      <c r="N119" s="436"/>
      <c r="O119" s="436"/>
      <c r="P119" s="436"/>
      <c r="Q119" s="436"/>
      <c r="R119" s="436"/>
      <c r="S119" s="436"/>
      <c r="T119" s="436"/>
      <c r="U119" s="436"/>
      <c r="V119" s="436"/>
      <c r="W119" s="436"/>
    </row>
    <row r="120" customFormat="false" ht="15" hidden="false" customHeight="false" outlineLevel="0" collapsed="false">
      <c r="L120" s="436"/>
      <c r="M120" s="436"/>
      <c r="N120" s="436"/>
      <c r="O120" s="436"/>
      <c r="P120" s="436"/>
      <c r="Q120" s="436"/>
      <c r="R120" s="436"/>
      <c r="S120" s="436"/>
      <c r="T120" s="436"/>
      <c r="U120" s="436"/>
      <c r="V120" s="436"/>
      <c r="W120" s="436"/>
    </row>
    <row r="121" customFormat="false" ht="15" hidden="false" customHeight="false" outlineLevel="0" collapsed="false">
      <c r="L121" s="436"/>
      <c r="M121" s="436"/>
      <c r="N121" s="436"/>
      <c r="O121" s="436"/>
      <c r="P121" s="436"/>
      <c r="Q121" s="436"/>
      <c r="R121" s="436"/>
      <c r="S121" s="436"/>
      <c r="T121" s="436"/>
      <c r="U121" s="436"/>
      <c r="V121" s="436"/>
      <c r="W121" s="436"/>
    </row>
    <row r="122" customFormat="false" ht="15" hidden="false" customHeight="false" outlineLevel="0" collapsed="false">
      <c r="L122" s="436"/>
      <c r="M122" s="436"/>
      <c r="N122" s="436"/>
      <c r="O122" s="436"/>
      <c r="P122" s="436"/>
      <c r="Q122" s="436"/>
      <c r="R122" s="436"/>
      <c r="S122" s="436"/>
      <c r="T122" s="436"/>
      <c r="U122" s="436"/>
      <c r="V122" s="436"/>
      <c r="W122" s="436"/>
    </row>
    <row r="123" customFormat="false" ht="15" hidden="false" customHeight="false" outlineLevel="0" collapsed="false">
      <c r="L123" s="436"/>
      <c r="M123" s="436"/>
      <c r="N123" s="436"/>
      <c r="O123" s="436"/>
      <c r="P123" s="436"/>
      <c r="Q123" s="436"/>
      <c r="R123" s="436"/>
      <c r="S123" s="436"/>
      <c r="T123" s="436"/>
      <c r="U123" s="436"/>
      <c r="V123" s="436"/>
      <c r="W123" s="436"/>
    </row>
    <row r="124" customFormat="false" ht="15" hidden="false" customHeight="false" outlineLevel="0" collapsed="false">
      <c r="L124" s="436"/>
      <c r="M124" s="436"/>
      <c r="N124" s="436"/>
      <c r="O124" s="436"/>
      <c r="P124" s="436"/>
      <c r="Q124" s="436"/>
      <c r="R124" s="436"/>
      <c r="S124" s="436"/>
      <c r="T124" s="436"/>
      <c r="U124" s="436"/>
      <c r="V124" s="436"/>
      <c r="W124" s="436"/>
    </row>
    <row r="125" customFormat="false" ht="15" hidden="false" customHeight="false" outlineLevel="0" collapsed="false">
      <c r="L125" s="436"/>
      <c r="M125" s="436"/>
      <c r="N125" s="436"/>
      <c r="O125" s="436"/>
      <c r="P125" s="436"/>
      <c r="Q125" s="436"/>
      <c r="R125" s="436"/>
      <c r="S125" s="436"/>
      <c r="T125" s="436"/>
      <c r="U125" s="436"/>
      <c r="V125" s="436"/>
      <c r="W125" s="436"/>
    </row>
    <row r="126" customFormat="false" ht="15" hidden="false" customHeight="false" outlineLevel="0" collapsed="false">
      <c r="L126" s="436" t="str">
        <f aca="false">A26</f>
        <v>Operational Management</v>
      </c>
      <c r="M126" s="436"/>
      <c r="N126" s="436"/>
      <c r="O126" s="436"/>
      <c r="P126" s="436"/>
      <c r="Q126" s="436"/>
      <c r="R126" s="436"/>
      <c r="S126" s="436"/>
      <c r="T126" s="436"/>
      <c r="U126" s="436"/>
      <c r="V126" s="436"/>
      <c r="W126" s="436"/>
    </row>
    <row r="127" customFormat="false" ht="15" hidden="false" customHeight="false" outlineLevel="0" collapsed="false">
      <c r="L127" s="436"/>
      <c r="M127" s="436"/>
      <c r="N127" s="436"/>
      <c r="O127" s="436"/>
      <c r="P127" s="436"/>
      <c r="Q127" s="436"/>
      <c r="R127" s="436"/>
      <c r="S127" s="436"/>
      <c r="T127" s="436"/>
      <c r="U127" s="436"/>
      <c r="V127" s="436"/>
      <c r="W127" s="436"/>
    </row>
    <row r="128" customFormat="false" ht="15" hidden="false" customHeight="false" outlineLevel="0" collapsed="false">
      <c r="L128" s="436"/>
      <c r="M128" s="436"/>
      <c r="N128" s="436"/>
      <c r="O128" s="436"/>
      <c r="P128" s="436"/>
      <c r="Q128" s="436"/>
      <c r="R128" s="436"/>
      <c r="S128" s="436"/>
      <c r="T128" s="436"/>
      <c r="U128" s="436"/>
      <c r="V128" s="436"/>
      <c r="W128" s="436"/>
    </row>
    <row r="129" customFormat="false" ht="15" hidden="false" customHeight="false" outlineLevel="0" collapsed="false">
      <c r="L129" s="436"/>
      <c r="M129" s="436"/>
      <c r="N129" s="436"/>
      <c r="O129" s="436"/>
      <c r="P129" s="436"/>
      <c r="Q129" s="436"/>
      <c r="R129" s="436"/>
      <c r="S129" s="436"/>
      <c r="T129" s="436"/>
      <c r="U129" s="436"/>
      <c r="V129" s="436"/>
      <c r="W129" s="436"/>
    </row>
    <row r="130" customFormat="false" ht="15" hidden="false" customHeight="false" outlineLevel="0" collapsed="false">
      <c r="L130" s="436"/>
      <c r="M130" s="436"/>
      <c r="N130" s="436"/>
      <c r="O130" s="436"/>
      <c r="P130" s="436"/>
      <c r="Q130" s="436"/>
      <c r="R130" s="436"/>
      <c r="S130" s="436"/>
      <c r="T130" s="436"/>
      <c r="U130" s="436"/>
      <c r="V130" s="436"/>
      <c r="W130" s="436"/>
    </row>
    <row r="131" customFormat="false" ht="15" hidden="false" customHeight="false" outlineLevel="0" collapsed="false">
      <c r="L131" s="436"/>
      <c r="M131" s="436"/>
      <c r="N131" s="436"/>
      <c r="O131" s="436"/>
      <c r="P131" s="436"/>
      <c r="Q131" s="436"/>
      <c r="R131" s="436"/>
      <c r="S131" s="436"/>
      <c r="T131" s="436"/>
      <c r="U131" s="436"/>
      <c r="V131" s="436"/>
      <c r="W131" s="436"/>
    </row>
    <row r="132" customFormat="false" ht="13.5" hidden="false" customHeight="true" outlineLevel="0" collapsed="false">
      <c r="L132" s="436"/>
      <c r="M132" s="436"/>
      <c r="N132" s="436"/>
      <c r="O132" s="436"/>
      <c r="P132" s="436"/>
      <c r="Q132" s="436"/>
      <c r="R132" s="436"/>
      <c r="S132" s="436"/>
      <c r="T132" s="436"/>
      <c r="U132" s="436"/>
      <c r="V132" s="436"/>
      <c r="W132" s="436"/>
    </row>
  </sheetData>
  <mergeCells count="20">
    <mergeCell ref="A1:K1"/>
    <mergeCell ref="B4:C4"/>
    <mergeCell ref="B5:C5"/>
    <mergeCell ref="B6:C6"/>
    <mergeCell ref="B7:C7"/>
    <mergeCell ref="B8:C8"/>
    <mergeCell ref="O8:R8"/>
    <mergeCell ref="S8:V8"/>
    <mergeCell ref="O9:P9"/>
    <mergeCell ref="Q9:R9"/>
    <mergeCell ref="S9:T9"/>
    <mergeCell ref="U9:V9"/>
    <mergeCell ref="O10:P10"/>
    <mergeCell ref="Q10:R10"/>
    <mergeCell ref="S10:T10"/>
    <mergeCell ref="U10:V10"/>
    <mergeCell ref="O11:P11"/>
    <mergeCell ref="Q11:R11"/>
    <mergeCell ref="S11:T11"/>
    <mergeCell ref="U11:V11"/>
  </mergeCells>
  <dataValidations count="1">
    <dataValidation allowBlank="false" errorStyle="stop" operator="between" showDropDown="false" showErrorMessage="true" showInputMessage="true" sqref="B12:B26" type="none">
      <formula1>0</formula1>
      <formula2>0</formula2>
    </dataValidation>
  </dataValidations>
  <printOptions headings="false" gridLines="false" gridLinesSet="true" horizontalCentered="false" verticalCentered="false"/>
  <pageMargins left="0.551388888888889" right="0.551388888888889" top="0.39375" bottom="0.39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2"/>
  <sheetViews>
    <sheetView showFormulas="false" showGridLines="true" showRowColHeaders="true" showZeros="true" rightToLeft="false" tabSelected="false" showOutlineSymbols="true" defaultGridColor="true" view="normal" topLeftCell="D2" colorId="64" zoomScale="100" zoomScaleNormal="100" zoomScalePageLayoutView="100" workbookViewId="0">
      <selection pane="topLeft" activeCell="I4" activeCellId="0" sqref="I4"/>
    </sheetView>
  </sheetViews>
  <sheetFormatPr defaultColWidth="8.84765625" defaultRowHeight="12" customHeight="true" zeroHeight="false" outlineLevelRow="0" outlineLevelCol="0"/>
  <cols>
    <col collapsed="false" customWidth="true" hidden="false" outlineLevel="0" max="9" min="9" style="483" width="22.53"/>
    <col collapsed="false" customWidth="true" hidden="false" outlineLevel="0" max="10" min="10" style="0" width="35.15"/>
    <col collapsed="false" customWidth="true" hidden="false" outlineLevel="0" max="15" min="15" style="0" width="21.84"/>
    <col collapsed="false" customWidth="true" hidden="false" outlineLevel="0" max="16" min="16" style="0" width="29.15"/>
  </cols>
  <sheetData>
    <row r="1" customFormat="false" ht="66" hidden="false" customHeight="true" outlineLevel="0" collapsed="false">
      <c r="A1" s="484" t="s">
        <v>271</v>
      </c>
      <c r="B1" s="484"/>
      <c r="C1" s="484"/>
      <c r="D1" s="484"/>
      <c r="E1" s="484"/>
      <c r="F1" s="484"/>
      <c r="G1" s="484"/>
      <c r="H1" s="484"/>
      <c r="I1" s="484"/>
      <c r="J1" s="484"/>
      <c r="K1" s="484"/>
      <c r="M1" s="485" t="str">
        <f aca="false">IF(M2=M3,"OK","Problem")</f>
        <v>Problem</v>
      </c>
    </row>
    <row r="2" customFormat="false" ht="12" hidden="false" customHeight="false" outlineLevel="0" collapsed="false">
      <c r="M2" s="0" t="n">
        <f aca="false">COUNTA(M4:M200)</f>
        <v>25</v>
      </c>
    </row>
    <row r="3" customFormat="false" ht="12" hidden="false" customHeight="false" outlineLevel="0" collapsed="false">
      <c r="A3" s="486" t="s">
        <v>216</v>
      </c>
      <c r="B3" s="487"/>
      <c r="C3" s="488" t="s">
        <v>272</v>
      </c>
      <c r="D3" s="488"/>
      <c r="E3" s="488"/>
      <c r="F3" s="487"/>
      <c r="G3" s="487"/>
      <c r="H3" s="487"/>
      <c r="I3" s="489"/>
      <c r="M3" s="0" t="n">
        <f aca="false">COUNTA('imp-answers'!A2:A200)</f>
        <v>24</v>
      </c>
    </row>
    <row r="4" customFormat="false" ht="12" hidden="false" customHeight="false" outlineLevel="0" collapsed="false">
      <c r="A4" s="490" t="s">
        <v>273</v>
      </c>
      <c r="C4" s="491" t="n">
        <v>3</v>
      </c>
      <c r="D4" s="491" t="n">
        <v>3</v>
      </c>
      <c r="E4" s="491" t="n">
        <v>3</v>
      </c>
      <c r="F4" s="491" t="n">
        <v>6</v>
      </c>
      <c r="G4" s="492"/>
      <c r="H4" s="493" t="s">
        <v>274</v>
      </c>
      <c r="I4" s="494" t="n">
        <v>1</v>
      </c>
      <c r="J4" s="0" t="s">
        <v>275</v>
      </c>
      <c r="K4" s="0" t="n">
        <v>0</v>
      </c>
      <c r="M4" s="495" t="str">
        <f aca="false">CHAR(65+N4)</f>
        <v>A</v>
      </c>
      <c r="N4" s="495" t="n">
        <v>0</v>
      </c>
      <c r="O4" s="494"/>
      <c r="P4" s="496" t="str">
        <f aca="false">INDEX('imp-answers'!$B$2:$B$50, MATCH($N4, 'imp-answers'!$A$2:$A$50, 0))</f>
        <v>No</v>
      </c>
      <c r="Q4" s="496" t="n">
        <f aca="false">INDEX('imp-answers'!$F$2:$F$50, MATCH($N4, 'imp-answers'!$A$2:$A$50, 0))</f>
        <v>0</v>
      </c>
    </row>
    <row r="5" customFormat="false" ht="12" hidden="false" customHeight="false" outlineLevel="0" collapsed="false">
      <c r="A5" s="490" t="s">
        <v>275</v>
      </c>
      <c r="B5" s="496"/>
      <c r="C5" s="491" t="n">
        <v>2.01</v>
      </c>
      <c r="D5" s="491" t="n">
        <v>2.99</v>
      </c>
      <c r="E5" s="497" t="s">
        <v>276</v>
      </c>
      <c r="F5" s="498" t="n">
        <v>5</v>
      </c>
      <c r="G5" s="483"/>
      <c r="H5" s="493"/>
      <c r="I5" s="499"/>
      <c r="J5" s="0" t="s">
        <v>277</v>
      </c>
      <c r="K5" s="0" t="n">
        <v>0.2</v>
      </c>
      <c r="M5" s="495"/>
      <c r="N5" s="495"/>
      <c r="O5" s="499"/>
      <c r="P5" s="496" t="str">
        <f aca="false">INDEX('imp-answers'!$C$2:$C$50, MATCH($N4, 'imp-answers'!$A$2:$A$50, 0))</f>
        <v>Yes, for some applications</v>
      </c>
      <c r="Q5" s="496" t="n">
        <f aca="false">INDEX('imp-answers'!$G$2:$G$50, MATCH($N4, 'imp-answers'!$A$2:$A$50, 0))</f>
        <v>0.25</v>
      </c>
    </row>
    <row r="6" customFormat="false" ht="12" hidden="false" customHeight="false" outlineLevel="0" collapsed="false">
      <c r="C6" s="491" t="n">
        <v>2</v>
      </c>
      <c r="D6" s="491" t="n">
        <v>2</v>
      </c>
      <c r="E6" s="491" t="n">
        <v>2</v>
      </c>
      <c r="F6" s="491" t="n">
        <v>4</v>
      </c>
      <c r="G6" s="492"/>
      <c r="H6" s="493"/>
      <c r="I6" s="500"/>
      <c r="J6" s="0" t="s">
        <v>278</v>
      </c>
      <c r="K6" s="0" t="n">
        <v>0.5</v>
      </c>
      <c r="M6" s="495"/>
      <c r="N6" s="495"/>
      <c r="O6" s="501"/>
      <c r="P6" s="496" t="str">
        <f aca="false">INDEX('imp-answers'!$D$2:$D$50, MATCH($N4, 'imp-answers'!$A$2:$A$50, 0))</f>
        <v>Yes, for at least half of the applications</v>
      </c>
      <c r="Q6" s="496" t="n">
        <f aca="false">INDEX('imp-answers'!$H$2:$H$50, MATCH($N4, 'imp-answers'!$A$2:$A$50, 0))</f>
        <v>0.5</v>
      </c>
    </row>
    <row r="7" customFormat="false" ht="12" hidden="false" customHeight="false" outlineLevel="0" collapsed="false">
      <c r="C7" s="491" t="n">
        <v>1.01</v>
      </c>
      <c r="D7" s="491" t="n">
        <v>1.99</v>
      </c>
      <c r="E7" s="497" t="s">
        <v>279</v>
      </c>
      <c r="F7" s="498" t="n">
        <v>3</v>
      </c>
      <c r="G7" s="483"/>
      <c r="H7" s="493"/>
      <c r="I7" s="502" t="n">
        <v>2</v>
      </c>
      <c r="J7" s="0" t="s">
        <v>280</v>
      </c>
      <c r="K7" s="0" t="n">
        <v>1</v>
      </c>
      <c r="M7" s="495"/>
      <c r="N7" s="495"/>
      <c r="O7" s="500"/>
      <c r="P7" s="496" t="str">
        <f aca="false">INDEX('imp-answers'!$E$2:$E$50, MATCH($N4, 'imp-answers'!$A$2:$A$50, 0))</f>
        <v>Yes, for most or all of the applications</v>
      </c>
      <c r="Q7" s="496" t="n">
        <f aca="false">INDEX('imp-answers'!$I$2:$I$50, MATCH($N4, 'imp-answers'!$A$2:$A$50, 0))</f>
        <v>1</v>
      </c>
    </row>
    <row r="8" customFormat="false" ht="12" hidden="false" customHeight="false" outlineLevel="0" collapsed="false">
      <c r="C8" s="491" t="n">
        <v>1</v>
      </c>
      <c r="D8" s="491" t="n">
        <v>1</v>
      </c>
      <c r="E8" s="491" t="n">
        <v>1</v>
      </c>
      <c r="F8" s="491" t="n">
        <v>2</v>
      </c>
      <c r="G8" s="492"/>
      <c r="M8" s="495"/>
      <c r="N8" s="495"/>
      <c r="O8" s="503"/>
    </row>
    <row r="9" customFormat="false" ht="12" hidden="false" customHeight="false" outlineLevel="0" collapsed="false">
      <c r="C9" s="491" t="n">
        <v>0.01</v>
      </c>
      <c r="D9" s="491" t="n">
        <v>0.99</v>
      </c>
      <c r="E9" s="497" t="s">
        <v>281</v>
      </c>
      <c r="F9" s="498" t="n">
        <v>1</v>
      </c>
      <c r="G9" s="483"/>
      <c r="H9" s="493" t="s">
        <v>282</v>
      </c>
      <c r="I9" s="504" t="s">
        <v>283</v>
      </c>
      <c r="J9" s="0" t="s">
        <v>275</v>
      </c>
      <c r="K9" s="0" t="n">
        <v>0</v>
      </c>
    </row>
    <row r="10" customFormat="false" ht="12" hidden="false" customHeight="false" outlineLevel="0" collapsed="false">
      <c r="C10" s="491" t="n">
        <v>0</v>
      </c>
      <c r="D10" s="491" t="n">
        <v>0</v>
      </c>
      <c r="E10" s="491" t="n">
        <v>0</v>
      </c>
      <c r="F10" s="491" t="n">
        <v>0</v>
      </c>
      <c r="G10" s="492"/>
      <c r="H10" s="493"/>
      <c r="I10" s="499" t="n">
        <v>5</v>
      </c>
      <c r="J10" s="0" t="s">
        <v>284</v>
      </c>
      <c r="K10" s="0" t="n">
        <v>0.2</v>
      </c>
      <c r="M10" s="495" t="str">
        <f aca="false">CHAR(65+N10)</f>
        <v>B</v>
      </c>
      <c r="N10" s="495" t="n">
        <v>1</v>
      </c>
      <c r="O10" s="494"/>
      <c r="P10" s="496" t="str">
        <f aca="false">INDEX('imp-answers'!$B$2:$B$50, MATCH($N10, 'imp-answers'!$A$2:$A$50, 0))</f>
        <v>No</v>
      </c>
      <c r="Q10" s="496" t="n">
        <f aca="false">INDEX('imp-answers'!$F$2:$F$50, MATCH($N10, 'imp-answers'!$A$2:$A$50, 0))</f>
        <v>0</v>
      </c>
    </row>
    <row r="11" customFormat="false" ht="12" hidden="false" customHeight="false" outlineLevel="0" collapsed="false">
      <c r="H11" s="493"/>
      <c r="I11" s="500" t="s">
        <v>285</v>
      </c>
      <c r="J11" s="0" t="s">
        <v>286</v>
      </c>
      <c r="K11" s="0" t="n">
        <v>0.5</v>
      </c>
      <c r="M11" s="495"/>
      <c r="N11" s="495"/>
      <c r="O11" s="499"/>
      <c r="P11" s="496" t="str">
        <f aca="false">INDEX('imp-answers'!$C$2:$C$50, MATCH($N10, 'imp-answers'!$A$2:$A$50, 0))</f>
        <v>Yes, some of them</v>
      </c>
      <c r="Q11" s="496" t="n">
        <f aca="false">INDEX('imp-answers'!$G$2:$G$50, MATCH($N10, 'imp-answers'!$A$2:$A$50, 0))</f>
        <v>0.25</v>
      </c>
    </row>
    <row r="12" customFormat="false" ht="12" hidden="false" customHeight="false" outlineLevel="0" collapsed="false">
      <c r="H12" s="493"/>
      <c r="I12" s="502" t="s">
        <v>287</v>
      </c>
      <c r="J12" s="0" t="s">
        <v>288</v>
      </c>
      <c r="K12" s="0" t="n">
        <v>1</v>
      </c>
      <c r="M12" s="495"/>
      <c r="N12" s="495"/>
      <c r="O12" s="501"/>
      <c r="P12" s="496" t="str">
        <f aca="false">INDEX('imp-answers'!$D$2:$D$50, MATCH($N10, 'imp-answers'!$A$2:$A$50, 0))</f>
        <v>Yes, at least half of them</v>
      </c>
      <c r="Q12" s="496" t="n">
        <f aca="false">INDEX('imp-answers'!$H$2:$H$50, MATCH($N10, 'imp-answers'!$A$2:$A$50, 0))</f>
        <v>0.5</v>
      </c>
    </row>
    <row r="13" customFormat="false" ht="12" hidden="false" customHeight="false" outlineLevel="0" collapsed="false">
      <c r="M13" s="495"/>
      <c r="N13" s="495"/>
      <c r="O13" s="500"/>
      <c r="P13" s="496" t="str">
        <f aca="false">INDEX('imp-answers'!$E$2:$E$50, MATCH($N10, 'imp-answers'!$A$2:$A$50, 0))</f>
        <v>Yes, most or all of them</v>
      </c>
      <c r="Q13" s="496" t="n">
        <f aca="false">INDEX('imp-answers'!$I$2:$I$50, MATCH($N10, 'imp-answers'!$A$2:$A$50, 0))</f>
        <v>1</v>
      </c>
    </row>
    <row r="14" customFormat="false" ht="12" hidden="false" customHeight="false" outlineLevel="0" collapsed="false">
      <c r="H14" s="493" t="s">
        <v>289</v>
      </c>
      <c r="I14" s="504" t="s">
        <v>290</v>
      </c>
      <c r="J14" s="0" t="s">
        <v>275</v>
      </c>
      <c r="K14" s="0" t="n">
        <v>0</v>
      </c>
      <c r="M14" s="495"/>
      <c r="N14" s="495"/>
      <c r="O14" s="503"/>
    </row>
    <row r="15" customFormat="false" ht="12" hidden="false" customHeight="false" outlineLevel="0" collapsed="false">
      <c r="H15" s="493"/>
      <c r="I15" s="499" t="s">
        <v>291</v>
      </c>
      <c r="J15" s="0" t="s">
        <v>292</v>
      </c>
      <c r="K15" s="0" t="n">
        <v>0.2</v>
      </c>
    </row>
    <row r="16" customFormat="false" ht="12" hidden="false" customHeight="false" outlineLevel="0" collapsed="false">
      <c r="H16" s="493"/>
      <c r="I16" s="500" t="s">
        <v>293</v>
      </c>
      <c r="J16" s="0" t="s">
        <v>294</v>
      </c>
      <c r="K16" s="0" t="n">
        <v>0.5</v>
      </c>
      <c r="M16" s="495" t="str">
        <f aca="false">CHAR(65+N16)</f>
        <v>C</v>
      </c>
      <c r="N16" s="495" t="n">
        <v>2</v>
      </c>
      <c r="O16" s="494"/>
      <c r="P16" s="496" t="str">
        <f aca="false">INDEX('imp-answers'!$B$2:$B$50, MATCH($N16, 'imp-answers'!$A$2:$A$50, 0))</f>
        <v>No</v>
      </c>
      <c r="Q16" s="496" t="n">
        <f aca="false">INDEX('imp-answers'!$F$2:$F$50, MATCH($N16, 'imp-answers'!$A$2:$A$50, 0))</f>
        <v>0</v>
      </c>
    </row>
    <row r="17" customFormat="false" ht="12" hidden="false" customHeight="false" outlineLevel="0" collapsed="false">
      <c r="H17" s="493"/>
      <c r="I17" s="502" t="s">
        <v>295</v>
      </c>
      <c r="J17" s="0" t="s">
        <v>296</v>
      </c>
      <c r="K17" s="0" t="n">
        <v>1</v>
      </c>
      <c r="M17" s="495"/>
      <c r="N17" s="495"/>
      <c r="O17" s="499"/>
      <c r="P17" s="496" t="str">
        <f aca="false">INDEX('imp-answers'!$C$2:$C$50, MATCH($N16, 'imp-answers'!$A$2:$A$50, 0))</f>
        <v>Yes, some content</v>
      </c>
      <c r="Q17" s="496" t="n">
        <f aca="false">INDEX('imp-answers'!$G$2:$G$50, MATCH($N16, 'imp-answers'!$A$2:$A$50, 0))</f>
        <v>0.25</v>
      </c>
    </row>
    <row r="18" customFormat="false" ht="12" hidden="false" customHeight="false" outlineLevel="0" collapsed="false">
      <c r="M18" s="495"/>
      <c r="N18" s="495"/>
      <c r="O18" s="501"/>
      <c r="P18" s="496" t="str">
        <f aca="false">INDEX('imp-answers'!$D$2:$D$50, MATCH($N16, 'imp-answers'!$A$2:$A$50, 0))</f>
        <v>Yes, at least half of the content</v>
      </c>
      <c r="Q18" s="496" t="n">
        <f aca="false">INDEX('imp-answers'!$H$2:$H$50, MATCH($N16, 'imp-answers'!$A$2:$A$50, 0))</f>
        <v>0.5</v>
      </c>
    </row>
    <row r="19" customFormat="false" ht="12" hidden="false" customHeight="false" outlineLevel="0" collapsed="false">
      <c r="H19" s="493" t="s">
        <v>297</v>
      </c>
      <c r="I19" s="504" t="s">
        <v>298</v>
      </c>
      <c r="J19" s="0" t="s">
        <v>275</v>
      </c>
      <c r="K19" s="0" t="n">
        <v>0</v>
      </c>
      <c r="M19" s="495"/>
      <c r="N19" s="495"/>
      <c r="O19" s="500"/>
      <c r="P19" s="496" t="str">
        <f aca="false">INDEX('imp-answers'!$E$2:$E$50, MATCH($N16, 'imp-answers'!$A$2:$A$50, 0))</f>
        <v>Yes, most or all of the content</v>
      </c>
      <c r="Q19" s="496" t="n">
        <f aca="false">INDEX('imp-answers'!$I$2:$I$50, MATCH($N16, 'imp-answers'!$A$2:$A$50, 0))</f>
        <v>1</v>
      </c>
    </row>
    <row r="20" customFormat="false" ht="12" hidden="false" customHeight="false" outlineLevel="0" collapsed="false">
      <c r="H20" s="493"/>
      <c r="I20" s="499" t="n">
        <v>13</v>
      </c>
      <c r="J20" s="0" t="s">
        <v>299</v>
      </c>
      <c r="K20" s="0" t="n">
        <v>0.2</v>
      </c>
      <c r="M20" s="495"/>
      <c r="N20" s="495"/>
      <c r="O20" s="503"/>
    </row>
    <row r="21" customFormat="false" ht="12" hidden="false" customHeight="false" outlineLevel="0" collapsed="false">
      <c r="H21" s="493"/>
      <c r="I21" s="500"/>
      <c r="J21" s="0" t="s">
        <v>300</v>
      </c>
      <c r="K21" s="0" t="n">
        <v>0.5</v>
      </c>
    </row>
    <row r="22" customFormat="false" ht="12" hidden="false" customHeight="false" outlineLevel="0" collapsed="false">
      <c r="H22" s="493"/>
      <c r="I22" s="502" t="n">
        <v>18</v>
      </c>
      <c r="J22" s="0" t="s">
        <v>301</v>
      </c>
      <c r="K22" s="0" t="n">
        <v>1</v>
      </c>
      <c r="M22" s="495" t="str">
        <f aca="false">CHAR(65+N22)</f>
        <v>D</v>
      </c>
      <c r="N22" s="495" t="n">
        <v>3</v>
      </c>
      <c r="O22" s="494"/>
      <c r="P22" s="496" t="str">
        <f aca="false">INDEX('imp-answers'!$B$2:$B$50, MATCH($N22, 'imp-answers'!$A$2:$A$50, 0))</f>
        <v>No</v>
      </c>
      <c r="Q22" s="496" t="n">
        <f aca="false">INDEX('imp-answers'!$F$2:$F$50, MATCH($N22, 'imp-answers'!$A$2:$A$50, 0))</f>
        <v>0</v>
      </c>
    </row>
    <row r="23" customFormat="false" ht="12" hidden="false" customHeight="false" outlineLevel="0" collapsed="false">
      <c r="M23" s="495"/>
      <c r="N23" s="495"/>
      <c r="O23" s="499"/>
      <c r="P23" s="496" t="str">
        <f aca="false">INDEX('imp-answers'!$C$2:$C$50, MATCH($N22, 'imp-answers'!$A$2:$A$50, 0))</f>
        <v>Yes, for some of the training</v>
      </c>
      <c r="Q23" s="496" t="n">
        <f aca="false">INDEX('imp-answers'!$G$2:$G$50, MATCH($N22, 'imp-answers'!$A$2:$A$50, 0))</f>
        <v>0.25</v>
      </c>
    </row>
    <row r="24" customFormat="false" ht="12" hidden="false" customHeight="false" outlineLevel="0" collapsed="false">
      <c r="H24" s="493" t="s">
        <v>302</v>
      </c>
      <c r="I24" s="504" t="n">
        <v>10</v>
      </c>
      <c r="J24" s="0" t="s">
        <v>275</v>
      </c>
      <c r="K24" s="0" t="n">
        <v>0</v>
      </c>
      <c r="M24" s="495"/>
      <c r="N24" s="495"/>
      <c r="O24" s="501"/>
      <c r="P24" s="496" t="str">
        <f aca="false">INDEX('imp-answers'!$D$2:$D$50, MATCH($N22, 'imp-answers'!$A$2:$A$50, 0))</f>
        <v>Yes, for at least half of the training</v>
      </c>
      <c r="Q24" s="496" t="n">
        <f aca="false">INDEX('imp-answers'!$H$2:$H$50, MATCH($N22, 'imp-answers'!$A$2:$A$50, 0))</f>
        <v>0.5</v>
      </c>
    </row>
    <row r="25" customFormat="false" ht="12" hidden="false" customHeight="false" outlineLevel="0" collapsed="false">
      <c r="H25" s="493"/>
      <c r="I25" s="499"/>
      <c r="J25" s="0" t="s">
        <v>303</v>
      </c>
      <c r="K25" s="0" t="n">
        <v>1</v>
      </c>
      <c r="M25" s="495"/>
      <c r="N25" s="495"/>
      <c r="O25" s="500"/>
      <c r="P25" s="496" t="str">
        <f aca="false">INDEX('imp-answers'!$E$2:$E$50, MATCH($N22, 'imp-answers'!$A$2:$A$50, 0))</f>
        <v>Yes, for most or all of the training</v>
      </c>
      <c r="Q25" s="496" t="n">
        <f aca="false">INDEX('imp-answers'!$I$2:$I$50, MATCH($N22, 'imp-answers'!$A$2:$A$50, 0))</f>
        <v>1</v>
      </c>
    </row>
    <row r="26" customFormat="false" ht="12" hidden="false" customHeight="false" outlineLevel="0" collapsed="false">
      <c r="H26" s="493"/>
      <c r="I26" s="500"/>
      <c r="J26" s="0" t="s">
        <v>304</v>
      </c>
      <c r="K26" s="0" t="n">
        <v>0.5</v>
      </c>
      <c r="M26" s="495"/>
      <c r="N26" s="495"/>
      <c r="O26" s="503"/>
    </row>
    <row r="27" customFormat="false" ht="12" hidden="false" customHeight="false" outlineLevel="0" collapsed="false">
      <c r="H27" s="493"/>
      <c r="I27" s="502" t="n">
        <v>19</v>
      </c>
      <c r="J27" s="0" t="s">
        <v>273</v>
      </c>
      <c r="K27" s="0" t="n">
        <v>1</v>
      </c>
    </row>
    <row r="28" customFormat="false" ht="12" hidden="false" customHeight="false" outlineLevel="0" collapsed="false">
      <c r="M28" s="495" t="str">
        <f aca="false">CHAR(65+N28)</f>
        <v>E</v>
      </c>
      <c r="N28" s="495" t="n">
        <v>4</v>
      </c>
      <c r="O28" s="494"/>
      <c r="P28" s="496" t="str">
        <f aca="false">INDEX('imp-answers'!$B$2:$B$50, MATCH($N28, 'imp-answers'!$A$2:$A$50, 0))</f>
        <v>No</v>
      </c>
      <c r="Q28" s="496" t="n">
        <f aca="false">INDEX('imp-answers'!$F$2:$F$50, MATCH($N28, 'imp-answers'!$A$2:$A$50, 0))</f>
        <v>0</v>
      </c>
    </row>
    <row r="29" customFormat="false" ht="12" hidden="false" customHeight="false" outlineLevel="0" collapsed="false">
      <c r="H29" s="493" t="s">
        <v>305</v>
      </c>
      <c r="I29" s="504" t="s">
        <v>306</v>
      </c>
      <c r="J29" s="0" t="s">
        <v>275</v>
      </c>
      <c r="K29" s="0" t="n">
        <v>0</v>
      </c>
      <c r="M29" s="495"/>
      <c r="N29" s="495"/>
      <c r="O29" s="499"/>
      <c r="P29" s="496" t="str">
        <f aca="false">INDEX('imp-answers'!$C$2:$C$50, MATCH($N28, 'imp-answers'!$A$2:$A$50, 0))</f>
        <v>Yes, some of the time</v>
      </c>
      <c r="Q29" s="496" t="n">
        <f aca="false">INDEX('imp-answers'!$G$2:$G$50, MATCH($N28, 'imp-answers'!$A$2:$A$50, 0))</f>
        <v>0.25</v>
      </c>
    </row>
    <row r="30" customFormat="false" ht="12" hidden="false" customHeight="false" outlineLevel="0" collapsed="false">
      <c r="H30" s="493"/>
      <c r="I30" s="499" t="s">
        <v>307</v>
      </c>
      <c r="J30" s="0" t="s">
        <v>308</v>
      </c>
      <c r="K30" s="0" t="n">
        <v>0.2</v>
      </c>
      <c r="M30" s="495"/>
      <c r="N30" s="495"/>
      <c r="O30" s="501"/>
      <c r="P30" s="496" t="str">
        <f aca="false">INDEX('imp-answers'!$D$2:$D$50, MATCH($N28, 'imp-answers'!$A$2:$A$50, 0))</f>
        <v>Yes, at least half of the time</v>
      </c>
      <c r="Q30" s="496" t="n">
        <f aca="false">INDEX('imp-answers'!$H$2:$H$50, MATCH($N28, 'imp-answers'!$A$2:$A$50, 0))</f>
        <v>0.5</v>
      </c>
    </row>
    <row r="31" customFormat="false" ht="12" hidden="false" customHeight="false" outlineLevel="0" collapsed="false">
      <c r="H31" s="493"/>
      <c r="I31" s="500"/>
      <c r="J31" s="0" t="s">
        <v>309</v>
      </c>
      <c r="K31" s="0" t="n">
        <v>0.5</v>
      </c>
      <c r="M31" s="495"/>
      <c r="N31" s="495"/>
      <c r="O31" s="500"/>
      <c r="P31" s="496" t="str">
        <f aca="false">INDEX('imp-answers'!$E$2:$E$50, MATCH($N28, 'imp-answers'!$A$2:$A$50, 0))</f>
        <v>Yes, most or all of the time</v>
      </c>
      <c r="Q31" s="496" t="n">
        <f aca="false">INDEX('imp-answers'!$I$2:$I$50, MATCH($N28, 'imp-answers'!$A$2:$A$50, 0))</f>
        <v>1</v>
      </c>
    </row>
    <row r="32" customFormat="false" ht="12" hidden="false" customHeight="false" outlineLevel="0" collapsed="false">
      <c r="H32" s="493"/>
      <c r="I32" s="502"/>
      <c r="J32" s="0" t="s">
        <v>310</v>
      </c>
      <c r="K32" s="0" t="n">
        <v>1</v>
      </c>
      <c r="M32" s="495"/>
      <c r="N32" s="495"/>
      <c r="O32" s="503"/>
    </row>
    <row r="34" customFormat="false" ht="12" hidden="false" customHeight="false" outlineLevel="0" collapsed="false">
      <c r="H34" s="493" t="s">
        <v>311</v>
      </c>
      <c r="I34" s="504"/>
      <c r="J34" s="0" t="s">
        <v>275</v>
      </c>
      <c r="K34" s="0" t="n">
        <v>0</v>
      </c>
      <c r="M34" s="495" t="str">
        <f aca="false">CHAR(65+N34)</f>
        <v>F</v>
      </c>
      <c r="N34" s="495" t="n">
        <v>5</v>
      </c>
      <c r="O34" s="494"/>
      <c r="P34" s="496" t="str">
        <f aca="false">INDEX('imp-answers'!$B$2:$B$50, MATCH($N34, 'imp-answers'!$A$2:$A$50, 0))</f>
        <v>No</v>
      </c>
      <c r="Q34" s="496" t="n">
        <f aca="false">INDEX('imp-answers'!$F$2:$F$50, MATCH($N34, 'imp-answers'!$A$2:$A$50, 0))</f>
        <v>0</v>
      </c>
    </row>
    <row r="35" customFormat="false" ht="12" hidden="false" customHeight="false" outlineLevel="0" collapsed="false">
      <c r="H35" s="493"/>
      <c r="I35" s="499" t="s">
        <v>312</v>
      </c>
      <c r="J35" s="0" t="s">
        <v>313</v>
      </c>
      <c r="K35" s="0" t="n">
        <v>0.2</v>
      </c>
      <c r="M35" s="495"/>
      <c r="N35" s="495"/>
      <c r="O35" s="499"/>
      <c r="P35" s="496" t="str">
        <f aca="false">INDEX('imp-answers'!$C$2:$C$50, MATCH($N34, 'imp-answers'!$A$2:$A$50, 0))</f>
        <v>Yes, we started implementing it</v>
      </c>
      <c r="Q35" s="496" t="n">
        <f aca="false">INDEX('imp-answers'!$G$2:$G$50, MATCH($N34, 'imp-answers'!$A$2:$A$50, 0))</f>
        <v>0.25</v>
      </c>
    </row>
    <row r="36" customFormat="false" ht="12" hidden="false" customHeight="false" outlineLevel="0" collapsed="false">
      <c r="H36" s="493"/>
      <c r="I36" s="500" t="s">
        <v>314</v>
      </c>
      <c r="J36" s="0" t="s">
        <v>315</v>
      </c>
      <c r="K36" s="0" t="n">
        <v>0.5</v>
      </c>
      <c r="M36" s="495"/>
      <c r="N36" s="495"/>
      <c r="O36" s="501"/>
      <c r="P36" s="496" t="str">
        <f aca="false">INDEX('imp-answers'!$D$2:$D$50, MATCH($N34, 'imp-answers'!$A$2:$A$50, 0))</f>
        <v>Yes, for part of the organization</v>
      </c>
      <c r="Q36" s="496" t="n">
        <f aca="false">INDEX('imp-answers'!$H$2:$H$50, MATCH($N34, 'imp-answers'!$A$2:$A$50, 0))</f>
        <v>0.5</v>
      </c>
    </row>
    <row r="37" customFormat="false" ht="12" hidden="false" customHeight="false" outlineLevel="0" collapsed="false">
      <c r="H37" s="493"/>
      <c r="I37" s="502" t="s">
        <v>316</v>
      </c>
      <c r="J37" s="0" t="s">
        <v>317</v>
      </c>
      <c r="K37" s="0" t="n">
        <v>1</v>
      </c>
      <c r="M37" s="495"/>
      <c r="N37" s="495"/>
      <c r="O37" s="500"/>
      <c r="P37" s="496" t="str">
        <f aca="false">INDEX('imp-answers'!$E$2:$E$50, MATCH($N34, 'imp-answers'!$A$2:$A$50, 0))</f>
        <v>Yes, for the entire organization</v>
      </c>
      <c r="Q37" s="496" t="n">
        <f aca="false">INDEX('imp-answers'!$I$2:$I$50, MATCH($N34, 'imp-answers'!$A$2:$A$50, 0))</f>
        <v>1</v>
      </c>
    </row>
    <row r="38" customFormat="false" ht="12" hidden="false" customHeight="false" outlineLevel="0" collapsed="false">
      <c r="M38" s="495"/>
      <c r="N38" s="495"/>
      <c r="O38" s="503"/>
    </row>
    <row r="39" customFormat="false" ht="12" hidden="false" customHeight="false" outlineLevel="0" collapsed="false">
      <c r="H39" s="493" t="s">
        <v>318</v>
      </c>
      <c r="I39" s="504"/>
    </row>
    <row r="40" customFormat="false" ht="12" hidden="false" customHeight="false" outlineLevel="0" collapsed="false">
      <c r="H40" s="493"/>
      <c r="I40" s="499"/>
      <c r="M40" s="495" t="str">
        <f aca="false">CHAR(65+N40)</f>
        <v>G</v>
      </c>
      <c r="N40" s="495" t="n">
        <v>6</v>
      </c>
      <c r="O40" s="494"/>
      <c r="P40" s="496" t="str">
        <f aca="false">INDEX('imp-answers'!$B$2:$B$50, MATCH($N40, 'imp-answers'!$A$2:$A$50, 0))</f>
        <v>No</v>
      </c>
      <c r="Q40" s="496" t="n">
        <f aca="false">INDEX('imp-answers'!$F$2:$F$50, MATCH($N40, 'imp-answers'!$A$2:$A$50, 0))</f>
        <v>0</v>
      </c>
    </row>
    <row r="41" customFormat="false" ht="12" hidden="false" customHeight="false" outlineLevel="0" collapsed="false">
      <c r="H41" s="493"/>
      <c r="I41" s="500"/>
      <c r="M41" s="495"/>
      <c r="N41" s="495"/>
      <c r="O41" s="499"/>
      <c r="P41" s="496" t="str">
        <f aca="false">INDEX('imp-answers'!$C$2:$C$50, MATCH($N40, 'imp-answers'!$A$2:$A$50, 0))</f>
        <v>Yes, for some components</v>
      </c>
      <c r="Q41" s="496" t="n">
        <f aca="false">INDEX('imp-answers'!$G$2:$G$50, MATCH($N40, 'imp-answers'!$A$2:$A$50, 0))</f>
        <v>0.25</v>
      </c>
    </row>
    <row r="42" customFormat="false" ht="12" hidden="false" customHeight="false" outlineLevel="0" collapsed="false">
      <c r="H42" s="493"/>
      <c r="I42" s="502"/>
      <c r="M42" s="495"/>
      <c r="N42" s="495"/>
      <c r="O42" s="501"/>
      <c r="P42" s="496" t="str">
        <f aca="false">INDEX('imp-answers'!$D$2:$D$50, MATCH($N40, 'imp-answers'!$A$2:$A$50, 0))</f>
        <v>Yes, for at least half of the components</v>
      </c>
      <c r="Q42" s="496" t="n">
        <f aca="false">INDEX('imp-answers'!$H$2:$H$50, MATCH($N40, 'imp-answers'!$A$2:$A$50, 0))</f>
        <v>0.5</v>
      </c>
    </row>
    <row r="43" customFormat="false" ht="12" hidden="false" customHeight="false" outlineLevel="0" collapsed="false">
      <c r="M43" s="495"/>
      <c r="N43" s="495"/>
      <c r="O43" s="500"/>
      <c r="P43" s="496" t="str">
        <f aca="false">INDEX('imp-answers'!$E$2:$E$50, MATCH($N40, 'imp-answers'!$A$2:$A$50, 0))</f>
        <v>Yes, for most or all of the components</v>
      </c>
      <c r="Q43" s="496" t="n">
        <f aca="false">INDEX('imp-answers'!$I$2:$I$50, MATCH($N40, 'imp-answers'!$A$2:$A$50, 0))</f>
        <v>1</v>
      </c>
    </row>
    <row r="44" customFormat="false" ht="12" hidden="false" customHeight="false" outlineLevel="0" collapsed="false">
      <c r="M44" s="495"/>
      <c r="N44" s="495"/>
      <c r="O44" s="503"/>
    </row>
    <row r="46" customFormat="false" ht="12" hidden="false" customHeight="false" outlineLevel="0" collapsed="false">
      <c r="M46" s="495" t="str">
        <f aca="false">CHAR(65+N46)</f>
        <v>H</v>
      </c>
      <c r="N46" s="495" t="n">
        <v>7</v>
      </c>
      <c r="O46" s="494"/>
      <c r="P46" s="496" t="str">
        <f aca="false">INDEX('imp-answers'!$B$2:$B$50, MATCH($N46, 'imp-answers'!$A$2:$A$50, 0))</f>
        <v>No</v>
      </c>
      <c r="Q46" s="496" t="n">
        <f aca="false">INDEX('imp-answers'!$F$2:$F$50, MATCH($N46, 'imp-answers'!$A$2:$A$50, 0))</f>
        <v>0</v>
      </c>
    </row>
    <row r="47" customFormat="false" ht="12" hidden="false" customHeight="false" outlineLevel="0" collapsed="false">
      <c r="M47" s="495"/>
      <c r="N47" s="495"/>
      <c r="O47" s="499"/>
      <c r="P47" s="496" t="str">
        <f aca="false">INDEX('imp-answers'!$C$2:$C$50, MATCH($N46, 'imp-answers'!$A$2:$A$50, 0))</f>
        <v>Yes, for some incidents</v>
      </c>
      <c r="Q47" s="496" t="n">
        <f aca="false">INDEX('imp-answers'!$G$2:$G$50, MATCH($N46, 'imp-answers'!$A$2:$A$50, 0))</f>
        <v>0.25</v>
      </c>
    </row>
    <row r="48" customFormat="false" ht="12" hidden="false" customHeight="false" outlineLevel="0" collapsed="false">
      <c r="M48" s="495"/>
      <c r="N48" s="495"/>
      <c r="O48" s="501"/>
      <c r="P48" s="496" t="str">
        <f aca="false">INDEX('imp-answers'!$D$2:$D$50, MATCH($N46, 'imp-answers'!$A$2:$A$50, 0))</f>
        <v>Yes, for at least half of the incidents</v>
      </c>
      <c r="Q48" s="496" t="n">
        <f aca="false">INDEX('imp-answers'!$H$2:$H$50, MATCH($N46, 'imp-answers'!$A$2:$A$50, 0))</f>
        <v>0.5</v>
      </c>
    </row>
    <row r="49" customFormat="false" ht="12" hidden="false" customHeight="false" outlineLevel="0" collapsed="false">
      <c r="M49" s="495"/>
      <c r="N49" s="495"/>
      <c r="O49" s="500"/>
      <c r="P49" s="496" t="str">
        <f aca="false">INDEX('imp-answers'!$E$2:$E$50, MATCH($N46, 'imp-answers'!$A$2:$A$50, 0))</f>
        <v>Yes, for most or all of the incidents</v>
      </c>
      <c r="Q49" s="496" t="n">
        <f aca="false">INDEX('imp-answers'!$I$2:$I$50, MATCH($N46, 'imp-answers'!$A$2:$A$50, 0))</f>
        <v>1</v>
      </c>
    </row>
    <row r="50" customFormat="false" ht="12" hidden="false" customHeight="false" outlineLevel="0" collapsed="false">
      <c r="M50" s="495"/>
      <c r="N50" s="495"/>
      <c r="O50" s="503"/>
    </row>
    <row r="52" customFormat="false" ht="12" hidden="false" customHeight="false" outlineLevel="0" collapsed="false">
      <c r="M52" s="495" t="str">
        <f aca="false">CHAR(65+N52)</f>
        <v>I</v>
      </c>
      <c r="N52" s="495" t="n">
        <v>8</v>
      </c>
      <c r="O52" s="494"/>
      <c r="P52" s="496" t="str">
        <f aca="false">INDEX('imp-answers'!$B$2:$B$50, MATCH($N52, 'imp-answers'!$A$2:$A$50, 0))</f>
        <v>No</v>
      </c>
      <c r="Q52" s="496" t="n">
        <f aca="false">INDEX('imp-answers'!$F$2:$F$50, MATCH($N52, 'imp-answers'!$A$2:$A$50, 0))</f>
        <v>0</v>
      </c>
    </row>
    <row r="53" customFormat="false" ht="12" hidden="false" customHeight="false" outlineLevel="0" collapsed="false">
      <c r="M53" s="495"/>
      <c r="N53" s="495"/>
      <c r="O53" s="499"/>
      <c r="P53" s="496" t="str">
        <f aca="false">INDEX('imp-answers'!$C$2:$C$50, MATCH($N52, 'imp-answers'!$A$2:$A$50, 0))</f>
        <v>Yes, for some incident types</v>
      </c>
      <c r="Q53" s="496" t="n">
        <f aca="false">INDEX('imp-answers'!$G$2:$G$50, MATCH($N52, 'imp-answers'!$A$2:$A$50, 0))</f>
        <v>0.25</v>
      </c>
    </row>
    <row r="54" customFormat="false" ht="12" hidden="false" customHeight="false" outlineLevel="0" collapsed="false">
      <c r="M54" s="495"/>
      <c r="N54" s="495"/>
      <c r="O54" s="501"/>
      <c r="P54" s="496" t="str">
        <f aca="false">INDEX('imp-answers'!$D$2:$D$50, MATCH($N52, 'imp-answers'!$A$2:$A$50, 0))</f>
        <v>Yes, for at least half of the incident types</v>
      </c>
      <c r="Q54" s="496" t="n">
        <f aca="false">INDEX('imp-answers'!$H$2:$H$50, MATCH($N52, 'imp-answers'!$A$2:$A$50, 0))</f>
        <v>0.5</v>
      </c>
    </row>
    <row r="55" customFormat="false" ht="12" hidden="false" customHeight="false" outlineLevel="0" collapsed="false">
      <c r="M55" s="495"/>
      <c r="N55" s="495"/>
      <c r="O55" s="500"/>
      <c r="P55" s="496" t="str">
        <f aca="false">INDEX('imp-answers'!$E$2:$E$50, MATCH($N52, 'imp-answers'!$A$2:$A$50, 0))</f>
        <v>Yes, for most or all of the incident types</v>
      </c>
      <c r="Q55" s="496" t="n">
        <f aca="false">INDEX('imp-answers'!$I$2:$I$50, MATCH($N52, 'imp-answers'!$A$2:$A$50, 0))</f>
        <v>1</v>
      </c>
    </row>
    <row r="56" customFormat="false" ht="12" hidden="false" customHeight="false" outlineLevel="0" collapsed="false">
      <c r="M56" s="495"/>
      <c r="N56" s="495"/>
      <c r="O56" s="503"/>
    </row>
    <row r="58" customFormat="false" ht="12" hidden="false" customHeight="false" outlineLevel="0" collapsed="false">
      <c r="M58" s="495" t="str">
        <f aca="false">CHAR(65+N58)</f>
        <v>J</v>
      </c>
      <c r="N58" s="495" t="n">
        <v>9</v>
      </c>
      <c r="O58" s="494"/>
      <c r="P58" s="496" t="str">
        <f aca="false">INDEX('imp-answers'!$B$2:$B$50, MATCH($N58, 'imp-answers'!$A$2:$A$50, 0))</f>
        <v>No</v>
      </c>
      <c r="Q58" s="496" t="n">
        <f aca="false">INDEX('imp-answers'!$F$2:$F$50, MATCH($N58, 'imp-answers'!$A$2:$A$50, 0))</f>
        <v>0</v>
      </c>
    </row>
    <row r="59" customFormat="false" ht="12" hidden="false" customHeight="false" outlineLevel="0" collapsed="false">
      <c r="M59" s="495"/>
      <c r="N59" s="495"/>
      <c r="O59" s="499"/>
      <c r="P59" s="496" t="str">
        <f aca="false">INDEX('imp-answers'!$C$2:$C$50, MATCH($N58, 'imp-answers'!$A$2:$A$50, 0))</f>
        <v>Yes, for some of our data</v>
      </c>
      <c r="Q59" s="496" t="n">
        <f aca="false">INDEX('imp-answers'!$G$2:$G$50, MATCH($N58, 'imp-answers'!$A$2:$A$50, 0))</f>
        <v>0.25</v>
      </c>
    </row>
    <row r="60" customFormat="false" ht="12" hidden="false" customHeight="false" outlineLevel="0" collapsed="false">
      <c r="M60" s="495"/>
      <c r="N60" s="495"/>
      <c r="O60" s="501"/>
      <c r="P60" s="496" t="str">
        <f aca="false">INDEX('imp-answers'!$D$2:$D$50, MATCH($N58, 'imp-answers'!$A$2:$A$50, 0))</f>
        <v>Yes, for at least half of our data</v>
      </c>
      <c r="Q60" s="496" t="n">
        <f aca="false">INDEX('imp-answers'!$H$2:$H$50, MATCH($N58, 'imp-answers'!$A$2:$A$50, 0))</f>
        <v>0.5</v>
      </c>
    </row>
    <row r="61" customFormat="false" ht="12" hidden="false" customHeight="false" outlineLevel="0" collapsed="false">
      <c r="M61" s="495"/>
      <c r="N61" s="495"/>
      <c r="O61" s="500"/>
      <c r="P61" s="496" t="str">
        <f aca="false">INDEX('imp-answers'!$E$2:$E$50, MATCH($N58, 'imp-answers'!$A$2:$A$50, 0))</f>
        <v>Yes, for most or all of our data</v>
      </c>
      <c r="Q61" s="496" t="n">
        <f aca="false">INDEX('imp-answers'!$I$2:$I$50, MATCH($N58, 'imp-answers'!$A$2:$A$50, 0))</f>
        <v>1</v>
      </c>
    </row>
    <row r="62" customFormat="false" ht="12" hidden="false" customHeight="false" outlineLevel="0" collapsed="false">
      <c r="M62" s="495"/>
      <c r="N62" s="495"/>
      <c r="O62" s="503"/>
    </row>
    <row r="64" customFormat="false" ht="12" hidden="false" customHeight="false" outlineLevel="0" collapsed="false">
      <c r="M64" s="495" t="str">
        <f aca="false">CHAR(65+N64)</f>
        <v>K</v>
      </c>
      <c r="N64" s="495" t="n">
        <v>10</v>
      </c>
      <c r="O64" s="494"/>
      <c r="P64" s="496" t="str">
        <f aca="false">INDEX('imp-answers'!$B$2:$B$50, MATCH($N64, 'imp-answers'!$A$2:$A$50, 0))</f>
        <v>No</v>
      </c>
      <c r="Q64" s="496" t="n">
        <f aca="false">INDEX('imp-answers'!$F$2:$F$50, MATCH($N64, 'imp-answers'!$A$2:$A$50, 0))</f>
        <v>0</v>
      </c>
    </row>
    <row r="65" customFormat="false" ht="12" hidden="false" customHeight="false" outlineLevel="0" collapsed="false">
      <c r="M65" s="495"/>
      <c r="N65" s="495"/>
      <c r="O65" s="499"/>
      <c r="P65" s="496" t="str">
        <f aca="false">INDEX('imp-answers'!$C$2:$C$50, MATCH($N64, 'imp-answers'!$A$2:$A$50, 0))</f>
        <v>Yes, we do it when requested</v>
      </c>
      <c r="Q65" s="496" t="n">
        <f aca="false">INDEX('imp-answers'!$G$2:$G$50, MATCH($N64, 'imp-answers'!$A$2:$A$50, 0))</f>
        <v>0.25</v>
      </c>
    </row>
    <row r="66" customFormat="false" ht="12" hidden="false" customHeight="false" outlineLevel="0" collapsed="false">
      <c r="M66" s="495"/>
      <c r="N66" s="495"/>
      <c r="O66" s="501"/>
      <c r="P66" s="496" t="str">
        <f aca="false">INDEX('imp-answers'!$D$2:$D$50, MATCH($N64, 'imp-answers'!$A$2:$A$50, 0))</f>
        <v>Yes, we do it every few years</v>
      </c>
      <c r="Q66" s="496" t="n">
        <f aca="false">INDEX('imp-answers'!$H$2:$H$50, MATCH($N64, 'imp-answers'!$A$2:$A$50, 0))</f>
        <v>0.5</v>
      </c>
    </row>
    <row r="67" customFormat="false" ht="12" hidden="false" customHeight="false" outlineLevel="0" collapsed="false">
      <c r="M67" s="495"/>
      <c r="N67" s="495"/>
      <c r="O67" s="500"/>
      <c r="P67" s="496" t="str">
        <f aca="false">INDEX('imp-answers'!$E$2:$E$50, MATCH($N64, 'imp-answers'!$A$2:$A$50, 0))</f>
        <v>Yes, we do it at least annually</v>
      </c>
      <c r="Q67" s="496" t="n">
        <f aca="false">INDEX('imp-answers'!$I$2:$I$50, MATCH($N64, 'imp-answers'!$A$2:$A$50, 0))</f>
        <v>1</v>
      </c>
    </row>
    <row r="68" customFormat="false" ht="12" hidden="false" customHeight="false" outlineLevel="0" collapsed="false">
      <c r="M68" s="495"/>
      <c r="N68" s="495"/>
      <c r="O68" s="503"/>
    </row>
    <row r="70" customFormat="false" ht="12" hidden="false" customHeight="false" outlineLevel="0" collapsed="false">
      <c r="M70" s="495" t="str">
        <f aca="false">CHAR(65+N70)</f>
        <v>L</v>
      </c>
      <c r="N70" s="495" t="n">
        <v>11</v>
      </c>
      <c r="O70" s="494"/>
      <c r="P70" s="496" t="str">
        <f aca="false">INDEX('imp-answers'!$B$2:$B$50, MATCH($N70, 'imp-answers'!$A$2:$A$50, 0))</f>
        <v>No</v>
      </c>
      <c r="Q70" s="496" t="n">
        <f aca="false">INDEX('imp-answers'!$F$2:$F$50, MATCH($N70, 'imp-answers'!$A$2:$A$50, 0))</f>
        <v>0</v>
      </c>
    </row>
    <row r="71" customFormat="false" ht="12" hidden="false" customHeight="false" outlineLevel="0" collapsed="false">
      <c r="M71" s="495"/>
      <c r="N71" s="495"/>
      <c r="O71" s="499"/>
      <c r="P71" s="496" t="str">
        <f aca="false">INDEX('imp-answers'!$C$2:$C$50, MATCH($N70, 'imp-answers'!$A$2:$A$50, 0))</f>
        <v>Yes, for some of the assets</v>
      </c>
      <c r="Q71" s="496" t="n">
        <f aca="false">INDEX('imp-answers'!$G$2:$G$50, MATCH($N70, 'imp-answers'!$A$2:$A$50, 0))</f>
        <v>0.25</v>
      </c>
    </row>
    <row r="72" customFormat="false" ht="12" hidden="false" customHeight="false" outlineLevel="0" collapsed="false">
      <c r="M72" s="495"/>
      <c r="N72" s="495"/>
      <c r="O72" s="501"/>
      <c r="P72" s="496" t="str">
        <f aca="false">INDEX('imp-answers'!$D$2:$D$50, MATCH($N70, 'imp-answers'!$A$2:$A$50, 0))</f>
        <v>Yes, for at least half of the assets</v>
      </c>
      <c r="Q72" s="496" t="n">
        <f aca="false">INDEX('imp-answers'!$H$2:$H$50, MATCH($N70, 'imp-answers'!$A$2:$A$50, 0))</f>
        <v>0.5</v>
      </c>
    </row>
    <row r="73" customFormat="false" ht="12" hidden="false" customHeight="false" outlineLevel="0" collapsed="false">
      <c r="M73" s="495"/>
      <c r="N73" s="495"/>
      <c r="O73" s="500"/>
      <c r="P73" s="496" t="str">
        <f aca="false">INDEX('imp-answers'!$E$2:$E$50, MATCH($N70, 'imp-answers'!$A$2:$A$50, 0))</f>
        <v>Yes, for most or all of the assets</v>
      </c>
      <c r="Q73" s="496" t="n">
        <f aca="false">INDEX('imp-answers'!$I$2:$I$50, MATCH($N70, 'imp-answers'!$A$2:$A$50, 0))</f>
        <v>1</v>
      </c>
    </row>
    <row r="74" customFormat="false" ht="12" hidden="false" customHeight="false" outlineLevel="0" collapsed="false">
      <c r="M74" s="495"/>
      <c r="N74" s="495"/>
      <c r="O74" s="503"/>
    </row>
    <row r="76" customFormat="false" ht="12" hidden="false" customHeight="false" outlineLevel="0" collapsed="false">
      <c r="M76" s="495" t="str">
        <f aca="false">CHAR(65+N76)</f>
        <v>M</v>
      </c>
      <c r="N76" s="495" t="n">
        <v>12</v>
      </c>
      <c r="O76" s="494"/>
      <c r="P76" s="496" t="str">
        <f aca="false">INDEX('imp-answers'!$B$2:$B$50, MATCH($N76, 'imp-answers'!$A$2:$A$50, 0))</f>
        <v>No</v>
      </c>
      <c r="Q76" s="496" t="n">
        <f aca="false">INDEX('imp-answers'!$F$2:$F$50, MATCH($N76, 'imp-answers'!$A$2:$A$50, 0))</f>
        <v>0</v>
      </c>
    </row>
    <row r="77" customFormat="false" ht="12" hidden="false" customHeight="false" outlineLevel="0" collapsed="false">
      <c r="M77" s="495"/>
      <c r="N77" s="495"/>
      <c r="O77" s="499"/>
      <c r="P77" s="496" t="str">
        <f aca="false">INDEX('imp-answers'!$C$2:$C$50, MATCH($N76, 'imp-answers'!$A$2:$A$50, 0))</f>
        <v>Yes, for some of the technology domains</v>
      </c>
      <c r="Q77" s="496" t="n">
        <f aca="false">INDEX('imp-answers'!$G$2:$G$50, MATCH($N76, 'imp-answers'!$A$2:$A$50, 0))</f>
        <v>0.25</v>
      </c>
    </row>
    <row r="78" customFormat="false" ht="12" hidden="false" customHeight="false" outlineLevel="0" collapsed="false">
      <c r="M78" s="495"/>
      <c r="N78" s="495"/>
      <c r="O78" s="501"/>
      <c r="P78" s="496" t="str">
        <f aca="false">INDEX('imp-answers'!$D$2:$D$50, MATCH($N76, 'imp-answers'!$A$2:$A$50, 0))</f>
        <v>Yes, for at least half of the technology domains</v>
      </c>
      <c r="Q78" s="496" t="n">
        <f aca="false">INDEX('imp-answers'!$H$2:$H$50, MATCH($N76, 'imp-answers'!$A$2:$A$50, 0))</f>
        <v>0.5</v>
      </c>
    </row>
    <row r="79" customFormat="false" ht="12" hidden="false" customHeight="false" outlineLevel="0" collapsed="false">
      <c r="M79" s="495"/>
      <c r="N79" s="495"/>
      <c r="O79" s="500"/>
      <c r="P79" s="496" t="str">
        <f aca="false">INDEX('imp-answers'!$E$2:$E$50, MATCH($N76, 'imp-answers'!$A$2:$A$50, 0))</f>
        <v>Yes, for most or all of the technology domains</v>
      </c>
      <c r="Q79" s="496" t="n">
        <f aca="false">INDEX('imp-answers'!$I$2:$I$50, MATCH($N76, 'imp-answers'!$A$2:$A$50, 0))</f>
        <v>1</v>
      </c>
    </row>
    <row r="80" customFormat="false" ht="12" hidden="false" customHeight="false" outlineLevel="0" collapsed="false">
      <c r="M80" s="495"/>
      <c r="N80" s="495"/>
      <c r="O80" s="503"/>
    </row>
    <row r="82" customFormat="false" ht="12" hidden="false" customHeight="false" outlineLevel="0" collapsed="false">
      <c r="M82" s="495" t="str">
        <f aca="false">CHAR(65+N82)</f>
        <v>N</v>
      </c>
      <c r="N82" s="495" t="n">
        <v>13</v>
      </c>
      <c r="O82" s="494"/>
      <c r="P82" s="496" t="str">
        <f aca="false">INDEX('imp-answers'!$B$2:$B$50, MATCH($N82, 'imp-answers'!$A$2:$A$50, 0))</f>
        <v>No</v>
      </c>
      <c r="Q82" s="496" t="n">
        <f aca="false">INDEX('imp-answers'!$F$2:$F$50, MATCH($N82, 'imp-answers'!$A$2:$A$50, 0))</f>
        <v>0</v>
      </c>
    </row>
    <row r="83" customFormat="false" ht="12" hidden="false" customHeight="false" outlineLevel="0" collapsed="false">
      <c r="M83" s="495"/>
      <c r="N83" s="495"/>
      <c r="O83" s="499"/>
      <c r="P83" s="496" t="str">
        <f aca="false">INDEX('imp-answers'!$C$2:$C$50, MATCH($N82, 'imp-answers'!$A$2:$A$50, 0))</f>
        <v>Yes, it covers general risks</v>
      </c>
      <c r="Q83" s="496" t="n">
        <f aca="false">INDEX('imp-answers'!$G$2:$G$50, MATCH($N82, 'imp-answers'!$A$2:$A$50, 0))</f>
        <v>0.25</v>
      </c>
    </row>
    <row r="84" customFormat="false" ht="12" hidden="false" customHeight="false" outlineLevel="0" collapsed="false">
      <c r="M84" s="495"/>
      <c r="N84" s="495"/>
      <c r="O84" s="501"/>
      <c r="P84" s="496" t="str">
        <f aca="false">INDEX('imp-answers'!$D$2:$D$50, MATCH($N82, 'imp-answers'!$A$2:$A$50, 0))</f>
        <v>Yes, it covers organization-specific risks</v>
      </c>
      <c r="Q84" s="496" t="n">
        <f aca="false">INDEX('imp-answers'!$H$2:$H$50, MATCH($N82, 'imp-answers'!$A$2:$A$50, 0))</f>
        <v>0.5</v>
      </c>
    </row>
    <row r="85" customFormat="false" ht="12" hidden="false" customHeight="false" outlineLevel="0" collapsed="false">
      <c r="M85" s="495"/>
      <c r="N85" s="495"/>
      <c r="O85" s="500"/>
      <c r="P85" s="496" t="str">
        <f aca="false">INDEX('imp-answers'!$E$2:$E$50, MATCH($N82, 'imp-answers'!$A$2:$A$50, 0))</f>
        <v>Yes, it covers risks and opportunities</v>
      </c>
      <c r="Q85" s="496" t="n">
        <f aca="false">INDEX('imp-answers'!$I$2:$I$50, MATCH($N82, 'imp-answers'!$A$2:$A$50, 0))</f>
        <v>1</v>
      </c>
    </row>
    <row r="86" customFormat="false" ht="12" hidden="false" customHeight="false" outlineLevel="0" collapsed="false">
      <c r="M86" s="495"/>
      <c r="N86" s="495"/>
      <c r="O86" s="503"/>
    </row>
    <row r="88" customFormat="false" ht="12" hidden="false" customHeight="false" outlineLevel="0" collapsed="false">
      <c r="M88" s="495" t="str">
        <f aca="false">CHAR(65+N88)</f>
        <v>O</v>
      </c>
      <c r="N88" s="495" t="n">
        <v>14</v>
      </c>
      <c r="O88" s="494"/>
      <c r="P88" s="496" t="str">
        <f aca="false">INDEX('imp-answers'!$B$2:$B$50, MATCH($N88, 'imp-answers'!$A$2:$A$50, 0))</f>
        <v>No</v>
      </c>
      <c r="Q88" s="496" t="n">
        <f aca="false">INDEX('imp-answers'!$F$2:$F$50, MATCH($N88, 'imp-answers'!$A$2:$A$50, 0))</f>
        <v>0</v>
      </c>
    </row>
    <row r="89" customFormat="false" ht="12" hidden="false" customHeight="false" outlineLevel="0" collapsed="false">
      <c r="M89" s="495"/>
      <c r="N89" s="495"/>
      <c r="O89" s="499"/>
      <c r="P89" s="496" t="str">
        <f aca="false">INDEX('imp-answers'!$C$2:$C$50, MATCH($N88, 'imp-answers'!$A$2:$A$50, 0))</f>
        <v>Yes, we review it annually</v>
      </c>
      <c r="Q89" s="496" t="n">
        <f aca="false">INDEX('imp-answers'!$G$2:$G$50, MATCH($N88, 'imp-answers'!$A$2:$A$50, 0))</f>
        <v>0.25</v>
      </c>
    </row>
    <row r="90" customFormat="false" ht="12" hidden="false" customHeight="false" outlineLevel="0" collapsed="false">
      <c r="M90" s="495"/>
      <c r="N90" s="495"/>
      <c r="O90" s="501"/>
      <c r="P90" s="496" t="str">
        <f aca="false">INDEX('imp-answers'!$D$2:$D$50, MATCH($N88, 'imp-answers'!$A$2:$A$50, 0))</f>
        <v>Yes, we consult the plan before making significant decisions</v>
      </c>
      <c r="Q90" s="496" t="n">
        <f aca="false">INDEX('imp-answers'!$H$2:$H$50, MATCH($N88, 'imp-answers'!$A$2:$A$50, 0))</f>
        <v>0.5</v>
      </c>
    </row>
    <row r="91" customFormat="false" ht="12" hidden="false" customHeight="false" outlineLevel="0" collapsed="false">
      <c r="M91" s="495"/>
      <c r="N91" s="495"/>
      <c r="O91" s="500"/>
      <c r="P91" s="496" t="str">
        <f aca="false">INDEX('imp-answers'!$E$2:$E$50, MATCH($N88, 'imp-answers'!$A$2:$A$50, 0))</f>
        <v>Yes, we consult the plan often, and it is aligned with our application security strategy</v>
      </c>
      <c r="Q91" s="496" t="n">
        <f aca="false">INDEX('imp-answers'!$I$2:$I$50, MATCH($N88, 'imp-answers'!$A$2:$A$50, 0))</f>
        <v>1</v>
      </c>
    </row>
    <row r="92" customFormat="false" ht="12" hidden="false" customHeight="false" outlineLevel="0" collapsed="false">
      <c r="M92" s="495"/>
      <c r="N92" s="495"/>
      <c r="O92" s="503"/>
    </row>
    <row r="94" customFormat="false" ht="12" hidden="false" customHeight="false" outlineLevel="0" collapsed="false">
      <c r="M94" s="495" t="str">
        <f aca="false">CHAR(65+N94)</f>
        <v>P</v>
      </c>
      <c r="N94" s="495" t="n">
        <v>15</v>
      </c>
      <c r="O94" s="494"/>
      <c r="P94" s="496" t="str">
        <f aca="false">INDEX('imp-answers'!$B$2:$B$50, MATCH($N94, 'imp-answers'!$A$2:$A$50, 0))</f>
        <v>No</v>
      </c>
      <c r="Q94" s="496" t="n">
        <f aca="false">INDEX('imp-answers'!$F$2:$F$50, MATCH($N94, 'imp-answers'!$A$2:$A$50, 0))</f>
        <v>0</v>
      </c>
    </row>
    <row r="95" customFormat="false" ht="12" hidden="false" customHeight="false" outlineLevel="0" collapsed="false">
      <c r="M95" s="495"/>
      <c r="N95" s="495"/>
      <c r="O95" s="499"/>
      <c r="P95" s="496" t="str">
        <f aca="false">INDEX('imp-answers'!$C$2:$C$50, MATCH($N94, 'imp-answers'!$A$2:$A$50, 0))</f>
        <v>Yes, but review is ad-hoc</v>
      </c>
      <c r="Q95" s="496" t="n">
        <f aca="false">INDEX('imp-answers'!$G$2:$G$50, MATCH($N94, 'imp-answers'!$A$2:$A$50, 0))</f>
        <v>0.25</v>
      </c>
    </row>
    <row r="96" customFormat="false" ht="12" hidden="false" customHeight="false" outlineLevel="0" collapsed="false">
      <c r="M96" s="495"/>
      <c r="N96" s="495"/>
      <c r="O96" s="501"/>
      <c r="P96" s="496" t="str">
        <f aca="false">INDEX('imp-answers'!$D$2:$D$50, MATCH($N94, 'imp-answers'!$A$2:$A$50, 0))</f>
        <v>Yes, we review it at regular times</v>
      </c>
      <c r="Q96" s="496" t="n">
        <f aca="false">INDEX('imp-answers'!$H$2:$H$50, MATCH($N94, 'imp-answers'!$A$2:$A$50, 0))</f>
        <v>0.5</v>
      </c>
    </row>
    <row r="97" customFormat="false" ht="12" hidden="false" customHeight="false" outlineLevel="0" collapsed="false">
      <c r="M97" s="495"/>
      <c r="N97" s="495"/>
      <c r="O97" s="500"/>
      <c r="P97" s="496" t="str">
        <f aca="false">INDEX('imp-answers'!$E$2:$E$50, MATCH($N94, 'imp-answers'!$A$2:$A$50, 0))</f>
        <v>Yes, we review it at least annually</v>
      </c>
      <c r="Q97" s="496" t="n">
        <f aca="false">INDEX('imp-answers'!$I$2:$I$50, MATCH($N94, 'imp-answers'!$A$2:$A$50, 0))</f>
        <v>1</v>
      </c>
    </row>
    <row r="98" customFormat="false" ht="12" hidden="false" customHeight="false" outlineLevel="0" collapsed="false">
      <c r="M98" s="495"/>
      <c r="N98" s="495"/>
      <c r="O98" s="503"/>
    </row>
    <row r="100" customFormat="false" ht="12" hidden="false" customHeight="false" outlineLevel="0" collapsed="false">
      <c r="M100" s="495" t="str">
        <f aca="false">CHAR(65+N100)</f>
        <v>Q</v>
      </c>
      <c r="N100" s="495" t="n">
        <v>16</v>
      </c>
      <c r="O100" s="494"/>
      <c r="P100" s="496" t="str">
        <f aca="false">INDEX('imp-answers'!$B$2:$B$50, MATCH($N100, 'imp-answers'!$A$2:$A$50, 0))</f>
        <v>No</v>
      </c>
      <c r="Q100" s="496" t="n">
        <f aca="false">INDEX('imp-answers'!$F$2:$F$50, MATCH($N100, 'imp-answers'!$A$2:$A$50, 0))</f>
        <v>0</v>
      </c>
    </row>
    <row r="101" customFormat="false" ht="12" hidden="false" customHeight="false" outlineLevel="0" collapsed="false">
      <c r="M101" s="495"/>
      <c r="N101" s="495"/>
      <c r="O101" s="499"/>
      <c r="P101" s="496" t="str">
        <f aca="false">INDEX('imp-answers'!$C$2:$C$50, MATCH($N100, 'imp-answers'!$A$2:$A$50, 0))</f>
        <v>Yes, for one metrics category</v>
      </c>
      <c r="Q101" s="496" t="n">
        <f aca="false">INDEX('imp-answers'!$G$2:$G$50, MATCH($N100, 'imp-answers'!$A$2:$A$50, 0))</f>
        <v>0.25</v>
      </c>
    </row>
    <row r="102" customFormat="false" ht="12" hidden="false" customHeight="false" outlineLevel="0" collapsed="false">
      <c r="M102" s="495"/>
      <c r="N102" s="495"/>
      <c r="O102" s="501"/>
      <c r="P102" s="496" t="str">
        <f aca="false">INDEX('imp-answers'!$D$2:$D$50, MATCH($N100, 'imp-answers'!$A$2:$A$50, 0))</f>
        <v>Yes, for two metrics categories</v>
      </c>
      <c r="Q102" s="496" t="n">
        <f aca="false">INDEX('imp-answers'!$H$2:$H$50, MATCH($N100, 'imp-answers'!$A$2:$A$50, 0))</f>
        <v>0.5</v>
      </c>
    </row>
    <row r="103" customFormat="false" ht="12" hidden="false" customHeight="false" outlineLevel="0" collapsed="false">
      <c r="M103" s="495"/>
      <c r="N103" s="495"/>
      <c r="O103" s="500"/>
      <c r="P103" s="496" t="str">
        <f aca="false">INDEX('imp-answers'!$E$2:$E$50, MATCH($N100, 'imp-answers'!$A$2:$A$50, 0))</f>
        <v>Yes, for all three metrics categories</v>
      </c>
      <c r="Q103" s="496" t="n">
        <f aca="false">INDEX('imp-answers'!$I$2:$I$50, MATCH($N100, 'imp-answers'!$A$2:$A$50, 0))</f>
        <v>1</v>
      </c>
    </row>
    <row r="104" customFormat="false" ht="12" hidden="false" customHeight="false" outlineLevel="0" collapsed="false">
      <c r="M104" s="495"/>
      <c r="N104" s="495"/>
      <c r="O104" s="503"/>
    </row>
    <row r="106" customFormat="false" ht="12" hidden="false" customHeight="false" outlineLevel="0" collapsed="false">
      <c r="M106" s="495" t="str">
        <f aca="false">CHAR(65+N106)</f>
        <v>R</v>
      </c>
      <c r="N106" s="495" t="n">
        <v>17</v>
      </c>
      <c r="O106" s="494"/>
      <c r="P106" s="496" t="str">
        <f aca="false">INDEX('imp-answers'!$B$2:$B$50, MATCH($N106, 'imp-answers'!$A$2:$A$50, 0))</f>
        <v>No</v>
      </c>
      <c r="Q106" s="496" t="n">
        <f aca="false">INDEX('imp-answers'!$F$2:$F$50, MATCH($N106, 'imp-answers'!$A$2:$A$50, 0))</f>
        <v>0</v>
      </c>
    </row>
    <row r="107" customFormat="false" ht="12" hidden="false" customHeight="false" outlineLevel="0" collapsed="false">
      <c r="M107" s="495"/>
      <c r="N107" s="495"/>
      <c r="O107" s="499"/>
      <c r="P107" s="496" t="str">
        <f aca="false">INDEX('imp-answers'!$C$2:$C$50, MATCH($N106, 'imp-answers'!$A$2:$A$50, 0))</f>
        <v>Yes, sporadically</v>
      </c>
      <c r="Q107" s="496" t="n">
        <f aca="false">INDEX('imp-answers'!$G$2:$G$50, MATCH($N106, 'imp-answers'!$A$2:$A$50, 0))</f>
        <v>0.25</v>
      </c>
    </row>
    <row r="108" customFormat="false" ht="12" hidden="false" customHeight="false" outlineLevel="0" collapsed="false">
      <c r="M108" s="495"/>
      <c r="N108" s="495"/>
      <c r="O108" s="501"/>
      <c r="P108" s="496" t="str">
        <f aca="false">INDEX('imp-answers'!$D$2:$D$50, MATCH($N106, 'imp-answers'!$A$2:$A$50, 0))</f>
        <v>Yes, upon change of the application</v>
      </c>
      <c r="Q108" s="496" t="n">
        <f aca="false">INDEX('imp-answers'!$H$2:$H$50, MATCH($N106, 'imp-answers'!$A$2:$A$50, 0))</f>
        <v>0.5</v>
      </c>
    </row>
    <row r="109" customFormat="false" ht="12" hidden="false" customHeight="false" outlineLevel="0" collapsed="false">
      <c r="M109" s="495"/>
      <c r="N109" s="495"/>
      <c r="O109" s="500"/>
      <c r="P109" s="496" t="str">
        <f aca="false">INDEX('imp-answers'!$E$2:$E$50, MATCH($N106, 'imp-answers'!$A$2:$A$50, 0))</f>
        <v>Yes, at least annually</v>
      </c>
      <c r="Q109" s="496" t="n">
        <f aca="false">INDEX('imp-answers'!$I$2:$I$50, MATCH($N106, 'imp-answers'!$A$2:$A$50, 0))</f>
        <v>1</v>
      </c>
    </row>
    <row r="110" customFormat="false" ht="12" hidden="false" customHeight="false" outlineLevel="0" collapsed="false">
      <c r="M110" s="495"/>
      <c r="N110" s="495"/>
      <c r="O110" s="503"/>
    </row>
    <row r="112" customFormat="false" ht="12" hidden="false" customHeight="false" outlineLevel="0" collapsed="false">
      <c r="M112" s="495" t="str">
        <f aca="false">CHAR(65+N112)</f>
        <v>S</v>
      </c>
      <c r="N112" s="495" t="n">
        <v>18</v>
      </c>
      <c r="O112" s="494"/>
      <c r="P112" s="496" t="str">
        <f aca="false">INDEX('imp-answers'!$B$2:$B$50, MATCH($N112, 'imp-answers'!$A$2:$A$50, 0))</f>
        <v>No</v>
      </c>
      <c r="Q112" s="496" t="n">
        <f aca="false">INDEX('imp-answers'!$F$2:$F$50, MATCH($N112, 'imp-answers'!$A$2:$A$50, 0))</f>
        <v>0</v>
      </c>
    </row>
    <row r="113" customFormat="false" ht="12" hidden="false" customHeight="false" outlineLevel="0" collapsed="false">
      <c r="M113" s="495"/>
      <c r="N113" s="495"/>
      <c r="O113" s="499"/>
      <c r="P113" s="496" t="str">
        <f aca="false">INDEX('imp-answers'!$C$2:$C$50, MATCH($N112, 'imp-answers'!$A$2:$A$50, 0))</f>
        <v>Yes, for some of the metrics</v>
      </c>
      <c r="Q113" s="496" t="n">
        <f aca="false">INDEX('imp-answers'!$G$2:$G$50, MATCH($N112, 'imp-answers'!$A$2:$A$50, 0))</f>
        <v>0.25</v>
      </c>
    </row>
    <row r="114" customFormat="false" ht="12" hidden="false" customHeight="false" outlineLevel="0" collapsed="false">
      <c r="M114" s="495"/>
      <c r="N114" s="495"/>
      <c r="O114" s="501"/>
      <c r="P114" s="496" t="str">
        <f aca="false">INDEX('imp-answers'!$D$2:$D$50, MATCH($N112, 'imp-answers'!$A$2:$A$50, 0))</f>
        <v>Yes, for at least half of the metrics</v>
      </c>
      <c r="Q114" s="496" t="n">
        <f aca="false">INDEX('imp-answers'!$H$2:$H$50, MATCH($N112, 'imp-answers'!$A$2:$A$50, 0))</f>
        <v>0.5</v>
      </c>
    </row>
    <row r="115" customFormat="false" ht="12" hidden="false" customHeight="false" outlineLevel="0" collapsed="false">
      <c r="M115" s="495"/>
      <c r="N115" s="495"/>
      <c r="O115" s="500"/>
      <c r="P115" s="496" t="str">
        <f aca="false">INDEX('imp-answers'!$E$2:$E$50, MATCH($N112, 'imp-answers'!$A$2:$A$50, 0))</f>
        <v>Yes, for most or all of the metrics</v>
      </c>
      <c r="Q115" s="496" t="n">
        <f aca="false">INDEX('imp-answers'!$I$2:$I$50, MATCH($N112, 'imp-answers'!$A$2:$A$50, 0))</f>
        <v>1</v>
      </c>
    </row>
    <row r="116" customFormat="false" ht="12" hidden="false" customHeight="false" outlineLevel="0" collapsed="false">
      <c r="M116" s="495"/>
      <c r="N116" s="495"/>
      <c r="O116" s="503"/>
    </row>
    <row r="118" customFormat="false" ht="12" hidden="false" customHeight="false" outlineLevel="0" collapsed="false">
      <c r="M118" s="495" t="str">
        <f aca="false">CHAR(65+N118)</f>
        <v>T</v>
      </c>
      <c r="N118" s="495" t="n">
        <v>19</v>
      </c>
      <c r="O118" s="494"/>
      <c r="P118" s="496" t="str">
        <f aca="false">INDEX('imp-answers'!$B$2:$B$50, MATCH($N118, 'imp-answers'!$A$2:$A$50, 0))</f>
        <v>No</v>
      </c>
      <c r="Q118" s="496" t="n">
        <f aca="false">INDEX('imp-answers'!$F$2:$F$50, MATCH($N118, 'imp-answers'!$A$2:$A$50, 0))</f>
        <v>0</v>
      </c>
    </row>
    <row r="119" customFormat="false" ht="12" hidden="false" customHeight="false" outlineLevel="0" collapsed="false">
      <c r="M119" s="495"/>
      <c r="N119" s="495"/>
      <c r="O119" s="499"/>
      <c r="P119" s="496" t="str">
        <f aca="false">INDEX('imp-answers'!$C$2:$C$50, MATCH($N118, 'imp-answers'!$A$2:$A$50, 0))</f>
        <v>Yes, but reporting is ad-hoc</v>
      </c>
      <c r="Q119" s="496" t="n">
        <f aca="false">INDEX('imp-answers'!$G$2:$G$50, MATCH($N118, 'imp-answers'!$A$2:$A$50, 0))</f>
        <v>0.25</v>
      </c>
    </row>
    <row r="120" customFormat="false" ht="12" hidden="false" customHeight="false" outlineLevel="0" collapsed="false">
      <c r="M120" s="495"/>
      <c r="N120" s="495"/>
      <c r="O120" s="501"/>
      <c r="P120" s="496" t="str">
        <f aca="false">INDEX('imp-answers'!$D$2:$D$50, MATCH($N118, 'imp-answers'!$A$2:$A$50, 0))</f>
        <v>Yes, we report at regular times</v>
      </c>
      <c r="Q120" s="496" t="n">
        <f aca="false">INDEX('imp-answers'!$H$2:$H$50, MATCH($N118, 'imp-answers'!$A$2:$A$50, 0))</f>
        <v>0.5</v>
      </c>
    </row>
    <row r="121" customFormat="false" ht="12" hidden="false" customHeight="false" outlineLevel="0" collapsed="false">
      <c r="M121" s="495"/>
      <c r="N121" s="495"/>
      <c r="O121" s="500"/>
      <c r="P121" s="496" t="str">
        <f aca="false">INDEX('imp-answers'!$E$2:$E$50, MATCH($N118, 'imp-answers'!$A$2:$A$50, 0))</f>
        <v>Yes, we report at least annually</v>
      </c>
      <c r="Q121" s="496" t="n">
        <f aca="false">INDEX('imp-answers'!$I$2:$I$50, MATCH($N118, 'imp-answers'!$A$2:$A$50, 0))</f>
        <v>1</v>
      </c>
    </row>
    <row r="122" customFormat="false" ht="12" hidden="false" customHeight="false" outlineLevel="0" collapsed="false">
      <c r="M122" s="495"/>
      <c r="N122" s="495"/>
      <c r="O122" s="503"/>
    </row>
    <row r="124" customFormat="false" ht="12" hidden="false" customHeight="false" outlineLevel="0" collapsed="false">
      <c r="M124" s="495" t="str">
        <f aca="false">CHAR(65+N124)</f>
        <v>U</v>
      </c>
      <c r="N124" s="495" t="n">
        <v>20</v>
      </c>
      <c r="O124" s="494"/>
      <c r="P124" s="496" t="str">
        <f aca="false">INDEX('imp-answers'!$B$2:$B$50, MATCH($N124, 'imp-answers'!$A$2:$A$50, 0))</f>
        <v>No</v>
      </c>
      <c r="Q124" s="496" t="n">
        <f aca="false">INDEX('imp-answers'!$F$2:$F$50, MATCH($N124, 'imp-answers'!$A$2:$A$50, 0))</f>
        <v>0</v>
      </c>
    </row>
    <row r="125" customFormat="false" ht="12" hidden="false" customHeight="false" outlineLevel="0" collapsed="false">
      <c r="M125" s="495"/>
      <c r="N125" s="495"/>
      <c r="O125" s="499"/>
      <c r="P125" s="496" t="str">
        <f aca="false">INDEX('imp-answers'!$C$2:$C$50, MATCH($N124, 'imp-answers'!$A$2:$A$50, 0))</f>
        <v>Yes, for some obligations</v>
      </c>
      <c r="Q125" s="496" t="n">
        <f aca="false">INDEX('imp-answers'!$G$2:$G$50, MATCH($N124, 'imp-answers'!$A$2:$A$50, 0))</f>
        <v>0.25</v>
      </c>
    </row>
    <row r="126" customFormat="false" ht="12" hidden="false" customHeight="false" outlineLevel="0" collapsed="false">
      <c r="M126" s="495"/>
      <c r="N126" s="495"/>
      <c r="O126" s="501"/>
      <c r="P126" s="496" t="str">
        <f aca="false">INDEX('imp-answers'!$D$2:$D$50, MATCH($N124, 'imp-answers'!$A$2:$A$50, 0))</f>
        <v>Yes, for at least half of the obligations</v>
      </c>
      <c r="Q126" s="496" t="n">
        <f aca="false">INDEX('imp-answers'!$H$2:$H$50, MATCH($N124, 'imp-answers'!$A$2:$A$50, 0))</f>
        <v>0.5</v>
      </c>
    </row>
    <row r="127" customFormat="false" ht="12" hidden="false" customHeight="false" outlineLevel="0" collapsed="false">
      <c r="M127" s="495"/>
      <c r="N127" s="495"/>
      <c r="O127" s="500"/>
      <c r="P127" s="496" t="str">
        <f aca="false">INDEX('imp-answers'!$E$2:$E$50, MATCH($N124, 'imp-answers'!$A$2:$A$50, 0))</f>
        <v>Yes, for most or all of the obligations</v>
      </c>
      <c r="Q127" s="496" t="n">
        <f aca="false">INDEX('imp-answers'!$I$2:$I$50, MATCH($N124, 'imp-answers'!$A$2:$A$50, 0))</f>
        <v>1</v>
      </c>
    </row>
    <row r="128" customFormat="false" ht="12" hidden="false" customHeight="false" outlineLevel="0" collapsed="false">
      <c r="M128" s="495"/>
      <c r="N128" s="495"/>
      <c r="O128" s="503"/>
    </row>
    <row r="130" customFormat="false" ht="12" hidden="false" customHeight="false" outlineLevel="0" collapsed="false">
      <c r="M130" s="495" t="str">
        <f aca="false">CHAR(65+N130)</f>
        <v>V</v>
      </c>
      <c r="N130" s="495" t="n">
        <v>21</v>
      </c>
      <c r="O130" s="494"/>
      <c r="P130" s="496" t="str">
        <f aca="false">INDEX('imp-answers'!$B$2:$B$50, MATCH($N130, 'imp-answers'!$A$2:$A$50, 0))</f>
        <v>No</v>
      </c>
      <c r="Q130" s="496" t="n">
        <f aca="false">INDEX('imp-answers'!$F$2:$F$50, MATCH($N130, 'imp-answers'!$A$2:$A$50, 0))</f>
        <v>0</v>
      </c>
    </row>
    <row r="131" customFormat="false" ht="12" hidden="false" customHeight="false" outlineLevel="0" collapsed="false">
      <c r="M131" s="495"/>
      <c r="N131" s="495"/>
      <c r="O131" s="499"/>
      <c r="P131" s="496" t="str">
        <f aca="false">INDEX('imp-answers'!$C$2:$C$50, MATCH($N130, 'imp-answers'!$A$2:$A$50, 0))</f>
        <v>Yes, for some teams</v>
      </c>
      <c r="Q131" s="496" t="n">
        <f aca="false">INDEX('imp-answers'!$G$2:$G$50, MATCH($N130, 'imp-answers'!$A$2:$A$50, 0))</f>
        <v>0.25</v>
      </c>
    </row>
    <row r="132" customFormat="false" ht="12" hidden="false" customHeight="false" outlineLevel="0" collapsed="false">
      <c r="M132" s="495"/>
      <c r="N132" s="495"/>
      <c r="O132" s="501"/>
      <c r="P132" s="496" t="str">
        <f aca="false">INDEX('imp-answers'!$D$2:$D$50, MATCH($N130, 'imp-answers'!$A$2:$A$50, 0))</f>
        <v>Yes, for at least half of the teams</v>
      </c>
      <c r="Q132" s="496" t="n">
        <f aca="false">INDEX('imp-answers'!$H$2:$H$50, MATCH($N130, 'imp-answers'!$A$2:$A$50, 0))</f>
        <v>0.5</v>
      </c>
    </row>
    <row r="133" customFormat="false" ht="12" hidden="false" customHeight="false" outlineLevel="0" collapsed="false">
      <c r="M133" s="495"/>
      <c r="N133" s="495"/>
      <c r="O133" s="500"/>
      <c r="P133" s="496" t="str">
        <f aca="false">INDEX('imp-answers'!$E$2:$E$50, MATCH($N130, 'imp-answers'!$A$2:$A$50, 0))</f>
        <v>Yes, for most or all of the teams</v>
      </c>
      <c r="Q133" s="496" t="n">
        <f aca="false">INDEX('imp-answers'!$I$2:$I$50, MATCH($N130, 'imp-answers'!$A$2:$A$50, 0))</f>
        <v>1</v>
      </c>
    </row>
    <row r="134" customFormat="false" ht="12" hidden="false" customHeight="false" outlineLevel="0" collapsed="false">
      <c r="M134" s="495"/>
      <c r="N134" s="495"/>
      <c r="O134" s="503"/>
    </row>
    <row r="136" customFormat="false" ht="12" hidden="false" customHeight="false" outlineLevel="0" collapsed="false">
      <c r="M136" s="495" t="str">
        <f aca="false">CHAR(65+N136)</f>
        <v>W</v>
      </c>
      <c r="N136" s="495" t="n">
        <v>22</v>
      </c>
      <c r="O136" s="494"/>
      <c r="P136" s="496" t="str">
        <f aca="false">INDEX('imp-answers'!$B$2:$B$50, MATCH($N136, 'imp-answers'!$A$2:$A$50, 0))</f>
        <v>No</v>
      </c>
      <c r="Q136" s="496" t="n">
        <f aca="false">INDEX('imp-answers'!$F$2:$F$50, MATCH($N136, 'imp-answers'!$A$2:$A$50, 0))</f>
        <v>0</v>
      </c>
    </row>
    <row r="137" customFormat="false" ht="12" hidden="false" customHeight="false" outlineLevel="0" collapsed="false">
      <c r="M137" s="495"/>
      <c r="N137" s="495"/>
      <c r="O137" s="499"/>
      <c r="P137" s="496" t="str">
        <f aca="false">INDEX('imp-answers'!$C$2:$C$50, MATCH($N136, 'imp-answers'!$A$2:$A$50, 0))</f>
        <v>Yes, some of it</v>
      </c>
      <c r="Q137" s="496" t="n">
        <f aca="false">INDEX('imp-answers'!$G$2:$G$50, MATCH($N136, 'imp-answers'!$A$2:$A$50, 0))</f>
        <v>0.25</v>
      </c>
    </row>
    <row r="138" customFormat="false" ht="12" hidden="false" customHeight="false" outlineLevel="0" collapsed="false">
      <c r="M138" s="495"/>
      <c r="N138" s="495"/>
      <c r="O138" s="501"/>
      <c r="P138" s="496" t="str">
        <f aca="false">INDEX('imp-answers'!$D$2:$D$50, MATCH($N136, 'imp-answers'!$A$2:$A$50, 0))</f>
        <v>Yes, at least half of it</v>
      </c>
      <c r="Q138" s="496" t="n">
        <f aca="false">INDEX('imp-answers'!$H$2:$H$50, MATCH($N136, 'imp-answers'!$A$2:$A$50, 0))</f>
        <v>0.5</v>
      </c>
    </row>
    <row r="139" customFormat="false" ht="12" hidden="false" customHeight="false" outlineLevel="0" collapsed="false">
      <c r="M139" s="495"/>
      <c r="N139" s="495"/>
      <c r="O139" s="500"/>
      <c r="P139" s="496" t="str">
        <f aca="false">INDEX('imp-answers'!$E$2:$E$50, MATCH($N136, 'imp-answers'!$A$2:$A$50, 0))</f>
        <v>Yes, most or all of it</v>
      </c>
      <c r="Q139" s="496" t="n">
        <f aca="false">INDEX('imp-answers'!$I$2:$I$50, MATCH($N136, 'imp-answers'!$A$2:$A$50, 0))</f>
        <v>1</v>
      </c>
    </row>
    <row r="140" customFormat="false" ht="12" hidden="false" customHeight="false" outlineLevel="0" collapsed="false">
      <c r="M140" s="495"/>
      <c r="N140" s="495"/>
      <c r="O140" s="503"/>
    </row>
    <row r="142" customFormat="false" ht="12" hidden="false" customHeight="false" outlineLevel="0" collapsed="false">
      <c r="M142" s="495" t="str">
        <f aca="false">CHAR(65+N142)</f>
        <v>X</v>
      </c>
      <c r="N142" s="495" t="n">
        <v>23</v>
      </c>
      <c r="O142" s="494"/>
      <c r="P142" s="496" t="str">
        <f aca="false">INDEX('imp-answers'!$B$2:$B$50, MATCH($N142, 'imp-answers'!$A$2:$A$50, 0))</f>
        <v>No</v>
      </c>
      <c r="Q142" s="496" t="n">
        <f aca="false">INDEX('imp-answers'!$F$2:$F$50, MATCH($N142, 'imp-answers'!$A$2:$A$50, 0))</f>
        <v>0</v>
      </c>
    </row>
    <row r="143" customFormat="false" ht="12" hidden="false" customHeight="false" outlineLevel="0" collapsed="false">
      <c r="M143" s="495"/>
      <c r="N143" s="495"/>
      <c r="O143" s="499"/>
      <c r="P143" s="496" t="str">
        <f aca="false">INDEX('imp-answers'!$C$2:$C$50, MATCH($N142, 'imp-answers'!$A$2:$A$50, 0))</f>
        <v>Yes, but we improve it ad-hoc</v>
      </c>
      <c r="Q143" s="496" t="n">
        <f aca="false">INDEX('imp-answers'!$G$2:$G$50, MATCH($N142, 'imp-answers'!$A$2:$A$50, 0))</f>
        <v>0.25</v>
      </c>
    </row>
    <row r="144" customFormat="false" ht="12" hidden="false" customHeight="false" outlineLevel="0" collapsed="false">
      <c r="M144" s="495"/>
      <c r="N144" s="495"/>
      <c r="O144" s="501"/>
      <c r="P144" s="496" t="str">
        <f aca="false">INDEX('imp-answers'!$D$2:$D$50, MATCH($N142, 'imp-answers'!$A$2:$A$50, 0))</f>
        <v>Yes, we improve it at regular times</v>
      </c>
      <c r="Q144" s="496" t="n">
        <f aca="false">INDEX('imp-answers'!$H$2:$H$50, MATCH($N142, 'imp-answers'!$A$2:$A$50, 0))</f>
        <v>0.5</v>
      </c>
    </row>
    <row r="145" customFormat="false" ht="12" hidden="false" customHeight="false" outlineLevel="0" collapsed="false">
      <c r="M145" s="495"/>
      <c r="N145" s="495"/>
      <c r="O145" s="500"/>
      <c r="P145" s="496" t="str">
        <f aca="false">INDEX('imp-answers'!$E$2:$E$50, MATCH($N142, 'imp-answers'!$A$2:$A$50, 0))</f>
        <v>Yes, we improve it at least annually</v>
      </c>
      <c r="Q145" s="496" t="n">
        <f aca="false">INDEX('imp-answers'!$I$2:$I$50, MATCH($N142, 'imp-answers'!$A$2:$A$50, 0))</f>
        <v>1</v>
      </c>
    </row>
    <row r="146" customFormat="false" ht="12" hidden="false" customHeight="false" outlineLevel="0" collapsed="false">
      <c r="M146" s="495"/>
      <c r="N146" s="495"/>
      <c r="O146" s="503"/>
    </row>
    <row r="148" customFormat="false" ht="12" hidden="false" customHeight="false" outlineLevel="0" collapsed="false">
      <c r="M148" s="495" t="str">
        <f aca="false">CHAR(65+N148)</f>
        <v>Y</v>
      </c>
      <c r="N148" s="495" t="n">
        <v>24</v>
      </c>
      <c r="O148" s="494"/>
      <c r="P148" s="496" t="e">
        <f aca="false">INDEX('imp-answers'!$B$2:$B$50, MATCH($N148, 'imp-answers'!$A$2:$A$50, 0))</f>
        <v>#N/A</v>
      </c>
      <c r="Q148" s="496" t="e">
        <f aca="false">INDEX('imp-answers'!$F$2:$F$50, MATCH($N148, 'imp-answers'!$A$2:$A$50, 0))</f>
        <v>#N/A</v>
      </c>
    </row>
    <row r="149" customFormat="false" ht="12" hidden="false" customHeight="false" outlineLevel="0" collapsed="false">
      <c r="M149" s="495"/>
      <c r="N149" s="495"/>
      <c r="O149" s="499"/>
      <c r="P149" s="496" t="e">
        <f aca="false">INDEX('imp-answers'!$C$2:$C$50, MATCH($N148, 'imp-answers'!$A$2:$A$50, 0))</f>
        <v>#N/A</v>
      </c>
      <c r="Q149" s="496" t="e">
        <f aca="false">INDEX('imp-answers'!$G$2:$G$50, MATCH($N148, 'imp-answers'!$A$2:$A$50, 0))</f>
        <v>#N/A</v>
      </c>
    </row>
    <row r="150" customFormat="false" ht="12" hidden="false" customHeight="false" outlineLevel="0" collapsed="false">
      <c r="M150" s="495"/>
      <c r="N150" s="495"/>
      <c r="O150" s="501"/>
      <c r="P150" s="496" t="e">
        <f aca="false">INDEX('imp-answers'!$D$2:$D$50, MATCH($N148, 'imp-answers'!$A$2:$A$50, 0))</f>
        <v>#N/A</v>
      </c>
      <c r="Q150" s="496" t="e">
        <f aca="false">INDEX('imp-answers'!$H$2:$H$50, MATCH($N148, 'imp-answers'!$A$2:$A$50, 0))</f>
        <v>#N/A</v>
      </c>
    </row>
    <row r="151" customFormat="false" ht="12" hidden="false" customHeight="false" outlineLevel="0" collapsed="false">
      <c r="M151" s="495"/>
      <c r="N151" s="495"/>
      <c r="O151" s="500"/>
      <c r="P151" s="496" t="e">
        <f aca="false">INDEX('imp-answers'!$E$2:$E$50, MATCH($N148, 'imp-answers'!$A$2:$A$50, 0))</f>
        <v>#N/A</v>
      </c>
      <c r="Q151" s="496" t="e">
        <f aca="false">INDEX('imp-answers'!$I$2:$I$50, MATCH($N148, 'imp-answers'!$A$2:$A$50, 0))</f>
        <v>#N/A</v>
      </c>
    </row>
    <row r="152" customFormat="false" ht="12" hidden="false" customHeight="false" outlineLevel="0" collapsed="false">
      <c r="M152" s="495"/>
      <c r="N152" s="495"/>
      <c r="O152" s="503"/>
    </row>
  </sheetData>
  <mergeCells count="60">
    <mergeCell ref="A1:K1"/>
    <mergeCell ref="C3:E3"/>
    <mergeCell ref="H4:H7"/>
    <mergeCell ref="M4:M8"/>
    <mergeCell ref="N4:N8"/>
    <mergeCell ref="H9:H12"/>
    <mergeCell ref="M10:M14"/>
    <mergeCell ref="N10:N14"/>
    <mergeCell ref="H14:H17"/>
    <mergeCell ref="M16:M20"/>
    <mergeCell ref="N16:N20"/>
    <mergeCell ref="H19:H22"/>
    <mergeCell ref="M22:M26"/>
    <mergeCell ref="N22:N26"/>
    <mergeCell ref="H24:H27"/>
    <mergeCell ref="M28:M32"/>
    <mergeCell ref="N28:N32"/>
    <mergeCell ref="H29:H32"/>
    <mergeCell ref="H34:H37"/>
    <mergeCell ref="M34:M38"/>
    <mergeCell ref="N34:N38"/>
    <mergeCell ref="H39:H42"/>
    <mergeCell ref="M40:M44"/>
    <mergeCell ref="N40:N44"/>
    <mergeCell ref="M46:M50"/>
    <mergeCell ref="N46:N50"/>
    <mergeCell ref="M52:M56"/>
    <mergeCell ref="N52:N56"/>
    <mergeCell ref="M58:M62"/>
    <mergeCell ref="N58:N62"/>
    <mergeCell ref="M64:M68"/>
    <mergeCell ref="N64:N68"/>
    <mergeCell ref="M70:M74"/>
    <mergeCell ref="N70:N74"/>
    <mergeCell ref="M76:M80"/>
    <mergeCell ref="N76:N80"/>
    <mergeCell ref="M82:M86"/>
    <mergeCell ref="N82:N86"/>
    <mergeCell ref="M88:M92"/>
    <mergeCell ref="N88:N92"/>
    <mergeCell ref="M94:M98"/>
    <mergeCell ref="N94:N98"/>
    <mergeCell ref="M100:M104"/>
    <mergeCell ref="N100:N104"/>
    <mergeCell ref="M106:M110"/>
    <mergeCell ref="N106:N110"/>
    <mergeCell ref="M112:M116"/>
    <mergeCell ref="N112:N116"/>
    <mergeCell ref="M118:M122"/>
    <mergeCell ref="N118:N122"/>
    <mergeCell ref="M124:M128"/>
    <mergeCell ref="N124:N128"/>
    <mergeCell ref="M130:M134"/>
    <mergeCell ref="N130:N134"/>
    <mergeCell ref="M136:M140"/>
    <mergeCell ref="N136:N140"/>
    <mergeCell ref="M142:M146"/>
    <mergeCell ref="N142:N146"/>
    <mergeCell ref="M148:M152"/>
    <mergeCell ref="N148:N15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1"/>
  <sheetViews>
    <sheetView showFormulas="false" showGridLines="true" showRowColHeaders="true" showZeros="true" rightToLeft="false" tabSelected="false" showOutlineSymbols="true" defaultGridColor="true" view="normal" topLeftCell="E1" colorId="64" zoomScale="145" zoomScaleNormal="145" zoomScalePageLayoutView="100" workbookViewId="0">
      <selection pane="topLeft" activeCell="A2" activeCellId="0" sqref="A2"/>
    </sheetView>
  </sheetViews>
  <sheetFormatPr defaultColWidth="11.3828125" defaultRowHeight="12" customHeight="true" zeroHeight="false" outlineLevelRow="0" outlineLevelCol="0"/>
  <cols>
    <col collapsed="false" customWidth="true" hidden="false" outlineLevel="0" max="4" min="4" style="0" width="19.53"/>
    <col collapsed="false" customWidth="true" hidden="false" outlineLevel="0" max="6" min="6" style="0" width="90.53"/>
    <col collapsed="false" customWidth="true" hidden="false" outlineLevel="0" max="7" min="7" style="0" width="64.38"/>
  </cols>
  <sheetData>
    <row r="1" customFormat="false" ht="12" hidden="false" customHeight="false" outlineLevel="0" collapsed="false">
      <c r="A1" s="505" t="s">
        <v>319</v>
      </c>
      <c r="B1" s="505" t="s">
        <v>320</v>
      </c>
      <c r="C1" s="505" t="s">
        <v>261</v>
      </c>
      <c r="D1" s="505" t="s">
        <v>321</v>
      </c>
      <c r="E1" s="505" t="s">
        <v>239</v>
      </c>
      <c r="F1" s="505" t="s">
        <v>322</v>
      </c>
      <c r="G1" s="505" t="s">
        <v>323</v>
      </c>
      <c r="H1" s="505" t="s">
        <v>324</v>
      </c>
    </row>
    <row r="2" customFormat="false" ht="35.05" hidden="false" customHeight="false" outlineLevel="0" collapsed="false">
      <c r="A2" s="0" t="s">
        <v>142</v>
      </c>
      <c r="B2" s="0" t="s">
        <v>221</v>
      </c>
      <c r="C2" s="0" t="s">
        <v>224</v>
      </c>
      <c r="D2" s="0" t="s">
        <v>325</v>
      </c>
      <c r="E2" s="0" t="n">
        <v>1</v>
      </c>
      <c r="F2" s="0" t="s">
        <v>326</v>
      </c>
      <c r="G2" s="506" t="s">
        <v>327</v>
      </c>
      <c r="H2" s="0" t="n">
        <v>0</v>
      </c>
    </row>
    <row r="3" customFormat="false" ht="35.05" hidden="false" customHeight="false" outlineLevel="0" collapsed="false">
      <c r="A3" s="0" t="s">
        <v>145</v>
      </c>
      <c r="B3" s="0" t="s">
        <v>221</v>
      </c>
      <c r="C3" s="0" t="s">
        <v>224</v>
      </c>
      <c r="D3" s="0" t="s">
        <v>328</v>
      </c>
      <c r="E3" s="0" t="n">
        <v>1</v>
      </c>
      <c r="F3" s="0" t="s">
        <v>329</v>
      </c>
      <c r="G3" s="506" t="s">
        <v>330</v>
      </c>
      <c r="H3" s="0" t="n">
        <v>0</v>
      </c>
    </row>
    <row r="4" customFormat="false" ht="35.05" hidden="false" customHeight="false" outlineLevel="0" collapsed="false">
      <c r="A4" s="0" t="s">
        <v>143</v>
      </c>
      <c r="B4" s="0" t="s">
        <v>221</v>
      </c>
      <c r="C4" s="0" t="s">
        <v>224</v>
      </c>
      <c r="D4" s="0" t="s">
        <v>325</v>
      </c>
      <c r="E4" s="0" t="n">
        <v>2</v>
      </c>
      <c r="F4" s="0" t="s">
        <v>331</v>
      </c>
      <c r="G4" s="506" t="s">
        <v>332</v>
      </c>
      <c r="H4" s="0" t="n">
        <v>0</v>
      </c>
    </row>
    <row r="5" customFormat="false" ht="46.25" hidden="false" customHeight="false" outlineLevel="0" collapsed="false">
      <c r="A5" s="0" t="s">
        <v>146</v>
      </c>
      <c r="B5" s="0" t="s">
        <v>221</v>
      </c>
      <c r="C5" s="0" t="s">
        <v>224</v>
      </c>
      <c r="D5" s="0" t="s">
        <v>328</v>
      </c>
      <c r="E5" s="0" t="n">
        <v>2</v>
      </c>
      <c r="F5" s="0" t="s">
        <v>333</v>
      </c>
      <c r="G5" s="506" t="s">
        <v>334</v>
      </c>
      <c r="H5" s="0" t="n">
        <v>12</v>
      </c>
    </row>
    <row r="6" customFormat="false" ht="35.05" hidden="false" customHeight="false" outlineLevel="0" collapsed="false">
      <c r="A6" s="0" t="s">
        <v>144</v>
      </c>
      <c r="B6" s="0" t="s">
        <v>221</v>
      </c>
      <c r="C6" s="0" t="s">
        <v>224</v>
      </c>
      <c r="D6" s="0" t="s">
        <v>325</v>
      </c>
      <c r="E6" s="0" t="n">
        <v>3</v>
      </c>
      <c r="F6" s="0" t="s">
        <v>335</v>
      </c>
      <c r="G6" s="506" t="s">
        <v>336</v>
      </c>
      <c r="H6" s="0" t="n">
        <v>0</v>
      </c>
    </row>
    <row r="7" customFormat="false" ht="35.05" hidden="false" customHeight="false" outlineLevel="0" collapsed="false">
      <c r="A7" s="0" t="s">
        <v>147</v>
      </c>
      <c r="B7" s="0" t="s">
        <v>221</v>
      </c>
      <c r="C7" s="0" t="s">
        <v>224</v>
      </c>
      <c r="D7" s="0" t="s">
        <v>328</v>
      </c>
      <c r="E7" s="0" t="n">
        <v>3</v>
      </c>
      <c r="F7" s="0" t="s">
        <v>337</v>
      </c>
      <c r="G7" s="506" t="s">
        <v>338</v>
      </c>
      <c r="H7" s="0" t="n">
        <v>0</v>
      </c>
    </row>
    <row r="8" customFormat="false" ht="35.05" hidden="false" customHeight="false" outlineLevel="0" collapsed="false">
      <c r="A8" s="0" t="s">
        <v>136</v>
      </c>
      <c r="B8" s="0" t="s">
        <v>221</v>
      </c>
      <c r="C8" s="0" t="s">
        <v>223</v>
      </c>
      <c r="D8" s="0" t="s">
        <v>339</v>
      </c>
      <c r="E8" s="0" t="n">
        <v>1</v>
      </c>
      <c r="F8" s="0" t="s">
        <v>340</v>
      </c>
      <c r="G8" s="506" t="s">
        <v>341</v>
      </c>
      <c r="H8" s="0" t="n">
        <v>0</v>
      </c>
    </row>
    <row r="9" customFormat="false" ht="23.85" hidden="false" customHeight="false" outlineLevel="0" collapsed="false">
      <c r="A9" s="0" t="s">
        <v>139</v>
      </c>
      <c r="B9" s="0" t="s">
        <v>221</v>
      </c>
      <c r="C9" s="0" t="s">
        <v>223</v>
      </c>
      <c r="D9" s="0" t="s">
        <v>342</v>
      </c>
      <c r="E9" s="0" t="n">
        <v>1</v>
      </c>
      <c r="F9" s="0" t="s">
        <v>343</v>
      </c>
      <c r="G9" s="506" t="s">
        <v>344</v>
      </c>
      <c r="H9" s="0" t="n">
        <v>4</v>
      </c>
    </row>
    <row r="10" customFormat="false" ht="46.25" hidden="false" customHeight="false" outlineLevel="0" collapsed="false">
      <c r="A10" s="0" t="s">
        <v>137</v>
      </c>
      <c r="B10" s="0" t="s">
        <v>221</v>
      </c>
      <c r="C10" s="0" t="s">
        <v>223</v>
      </c>
      <c r="D10" s="0" t="s">
        <v>339</v>
      </c>
      <c r="E10" s="0" t="n">
        <v>2</v>
      </c>
      <c r="F10" s="0" t="s">
        <v>345</v>
      </c>
      <c r="G10" s="506" t="s">
        <v>346</v>
      </c>
      <c r="H10" s="0" t="n">
        <v>4</v>
      </c>
    </row>
    <row r="11" customFormat="false" ht="46.25" hidden="false" customHeight="false" outlineLevel="0" collapsed="false">
      <c r="A11" s="0" t="s">
        <v>140</v>
      </c>
      <c r="B11" s="0" t="s">
        <v>221</v>
      </c>
      <c r="C11" s="0" t="s">
        <v>223</v>
      </c>
      <c r="D11" s="0" t="s">
        <v>342</v>
      </c>
      <c r="E11" s="0" t="n">
        <v>2</v>
      </c>
      <c r="F11" s="0" t="s">
        <v>347</v>
      </c>
      <c r="G11" s="506" t="s">
        <v>348</v>
      </c>
      <c r="H11" s="0" t="n">
        <v>4</v>
      </c>
    </row>
    <row r="12" customFormat="false" ht="46.25" hidden="false" customHeight="false" outlineLevel="0" collapsed="false">
      <c r="A12" s="0" t="s">
        <v>138</v>
      </c>
      <c r="B12" s="0" t="s">
        <v>221</v>
      </c>
      <c r="C12" s="0" t="s">
        <v>223</v>
      </c>
      <c r="D12" s="0" t="s">
        <v>339</v>
      </c>
      <c r="E12" s="0" t="n">
        <v>3</v>
      </c>
      <c r="F12" s="0" t="s">
        <v>349</v>
      </c>
      <c r="G12" s="506" t="s">
        <v>350</v>
      </c>
      <c r="H12" s="0" t="n">
        <v>0</v>
      </c>
    </row>
    <row r="13" customFormat="false" ht="35.05" hidden="false" customHeight="false" outlineLevel="0" collapsed="false">
      <c r="A13" s="0" t="s">
        <v>141</v>
      </c>
      <c r="B13" s="0" t="s">
        <v>221</v>
      </c>
      <c r="C13" s="0" t="s">
        <v>223</v>
      </c>
      <c r="D13" s="0" t="s">
        <v>342</v>
      </c>
      <c r="E13" s="0" t="n">
        <v>3</v>
      </c>
      <c r="F13" s="0" t="s">
        <v>351</v>
      </c>
      <c r="G13" s="506" t="s">
        <v>352</v>
      </c>
      <c r="H13" s="0" t="n">
        <v>4</v>
      </c>
    </row>
    <row r="14" customFormat="false" ht="46.25" hidden="false" customHeight="false" outlineLevel="0" collapsed="false">
      <c r="A14" s="0" t="s">
        <v>130</v>
      </c>
      <c r="B14" s="0" t="s">
        <v>221</v>
      </c>
      <c r="C14" s="0" t="s">
        <v>222</v>
      </c>
      <c r="D14" s="0" t="s">
        <v>353</v>
      </c>
      <c r="E14" s="0" t="n">
        <v>1</v>
      </c>
      <c r="F14" s="0" t="s">
        <v>354</v>
      </c>
      <c r="G14" s="506" t="s">
        <v>355</v>
      </c>
      <c r="H14" s="0" t="n">
        <v>1</v>
      </c>
    </row>
    <row r="15" customFormat="false" ht="35.05" hidden="false" customHeight="false" outlineLevel="0" collapsed="false">
      <c r="A15" s="0" t="s">
        <v>133</v>
      </c>
      <c r="B15" s="0" t="s">
        <v>221</v>
      </c>
      <c r="C15" s="0" t="s">
        <v>222</v>
      </c>
      <c r="D15" s="0" t="s">
        <v>356</v>
      </c>
      <c r="E15" s="0" t="n">
        <v>1</v>
      </c>
      <c r="F15" s="0" t="s">
        <v>357</v>
      </c>
      <c r="G15" s="506" t="s">
        <v>358</v>
      </c>
      <c r="H15" s="0" t="n">
        <v>1</v>
      </c>
    </row>
    <row r="16" customFormat="false" ht="46.25" hidden="false" customHeight="false" outlineLevel="0" collapsed="false">
      <c r="A16" s="0" t="s">
        <v>131</v>
      </c>
      <c r="B16" s="0" t="s">
        <v>221</v>
      </c>
      <c r="C16" s="0" t="s">
        <v>222</v>
      </c>
      <c r="D16" s="0" t="s">
        <v>353</v>
      </c>
      <c r="E16" s="0" t="n">
        <v>2</v>
      </c>
      <c r="F16" s="0" t="s">
        <v>359</v>
      </c>
      <c r="G16" s="506" t="s">
        <v>360</v>
      </c>
      <c r="H16" s="0" t="n">
        <v>0</v>
      </c>
    </row>
    <row r="17" customFormat="false" ht="46.25" hidden="false" customHeight="false" outlineLevel="0" collapsed="false">
      <c r="A17" s="0" t="s">
        <v>134</v>
      </c>
      <c r="B17" s="0" t="s">
        <v>221</v>
      </c>
      <c r="C17" s="0" t="s">
        <v>222</v>
      </c>
      <c r="D17" s="0" t="s">
        <v>356</v>
      </c>
      <c r="E17" s="0" t="n">
        <v>2</v>
      </c>
      <c r="F17" s="0" t="s">
        <v>361</v>
      </c>
      <c r="G17" s="506" t="s">
        <v>362</v>
      </c>
      <c r="H17" s="0" t="n">
        <v>0</v>
      </c>
    </row>
    <row r="18" customFormat="false" ht="23.85" hidden="false" customHeight="false" outlineLevel="0" collapsed="false">
      <c r="A18" s="0" t="s">
        <v>132</v>
      </c>
      <c r="B18" s="0" t="s">
        <v>221</v>
      </c>
      <c r="C18" s="0" t="s">
        <v>222</v>
      </c>
      <c r="D18" s="0" t="s">
        <v>353</v>
      </c>
      <c r="E18" s="0" t="n">
        <v>3</v>
      </c>
      <c r="F18" s="0" t="s">
        <v>363</v>
      </c>
      <c r="G18" s="506" t="s">
        <v>364</v>
      </c>
      <c r="H18" s="0" t="n">
        <v>17</v>
      </c>
    </row>
    <row r="19" customFormat="false" ht="35.05" hidden="false" customHeight="false" outlineLevel="0" collapsed="false">
      <c r="A19" s="0" t="s">
        <v>135</v>
      </c>
      <c r="B19" s="0" t="s">
        <v>221</v>
      </c>
      <c r="C19" s="0" t="s">
        <v>222</v>
      </c>
      <c r="D19" s="0" t="s">
        <v>356</v>
      </c>
      <c r="E19" s="0" t="n">
        <v>3</v>
      </c>
      <c r="F19" s="0" t="s">
        <v>365</v>
      </c>
      <c r="G19" s="506" t="s">
        <v>366</v>
      </c>
      <c r="H19" s="0" t="n">
        <v>15</v>
      </c>
    </row>
    <row r="20" customFormat="false" ht="68.65" hidden="false" customHeight="false" outlineLevel="0" collapsed="false">
      <c r="A20" s="0" t="s">
        <v>124</v>
      </c>
      <c r="B20" s="0" t="s">
        <v>212</v>
      </c>
      <c r="C20" s="0" t="s">
        <v>367</v>
      </c>
      <c r="D20" s="0" t="s">
        <v>368</v>
      </c>
      <c r="E20" s="0" t="n">
        <v>1</v>
      </c>
      <c r="F20" s="0" t="s">
        <v>369</v>
      </c>
      <c r="G20" s="506" t="s">
        <v>370</v>
      </c>
      <c r="H20" s="0" t="n">
        <v>1</v>
      </c>
    </row>
    <row r="21" customFormat="false" ht="35.05" hidden="false" customHeight="false" outlineLevel="0" collapsed="false">
      <c r="A21" s="0" t="s">
        <v>127</v>
      </c>
      <c r="B21" s="0" t="s">
        <v>212</v>
      </c>
      <c r="C21" s="0" t="s">
        <v>367</v>
      </c>
      <c r="D21" s="0" t="s">
        <v>371</v>
      </c>
      <c r="E21" s="0" t="n">
        <v>1</v>
      </c>
      <c r="F21" s="0" t="s">
        <v>372</v>
      </c>
      <c r="G21" s="506" t="s">
        <v>373</v>
      </c>
      <c r="H21" s="0" t="n">
        <v>21</v>
      </c>
    </row>
    <row r="22" customFormat="false" ht="57.45" hidden="false" customHeight="false" outlineLevel="0" collapsed="false">
      <c r="A22" s="0" t="s">
        <v>125</v>
      </c>
      <c r="B22" s="0" t="s">
        <v>212</v>
      </c>
      <c r="C22" s="0" t="s">
        <v>367</v>
      </c>
      <c r="D22" s="0" t="s">
        <v>368</v>
      </c>
      <c r="E22" s="0" t="n">
        <v>2</v>
      </c>
      <c r="F22" s="0" t="s">
        <v>374</v>
      </c>
      <c r="G22" s="506" t="s">
        <v>375</v>
      </c>
      <c r="H22" s="0" t="n">
        <v>3</v>
      </c>
    </row>
    <row r="23" customFormat="false" ht="46.25" hidden="false" customHeight="false" outlineLevel="0" collapsed="false">
      <c r="A23" s="0" t="s">
        <v>128</v>
      </c>
      <c r="B23" s="0" t="s">
        <v>212</v>
      </c>
      <c r="C23" s="0" t="s">
        <v>367</v>
      </c>
      <c r="D23" s="0" t="s">
        <v>371</v>
      </c>
      <c r="E23" s="0" t="n">
        <v>2</v>
      </c>
      <c r="F23" s="0" t="s">
        <v>376</v>
      </c>
      <c r="G23" s="506" t="s">
        <v>377</v>
      </c>
      <c r="H23" s="0" t="n">
        <v>5</v>
      </c>
    </row>
    <row r="24" customFormat="false" ht="35.05" hidden="false" customHeight="false" outlineLevel="0" collapsed="false">
      <c r="A24" s="0" t="s">
        <v>126</v>
      </c>
      <c r="B24" s="0" t="s">
        <v>212</v>
      </c>
      <c r="C24" s="0" t="s">
        <v>367</v>
      </c>
      <c r="D24" s="0" t="s">
        <v>368</v>
      </c>
      <c r="E24" s="0" t="n">
        <v>3</v>
      </c>
      <c r="F24" s="0" t="s">
        <v>378</v>
      </c>
      <c r="G24" s="506" t="s">
        <v>379</v>
      </c>
      <c r="H24" s="0" t="n">
        <v>3</v>
      </c>
    </row>
    <row r="25" customFormat="false" ht="57.45" hidden="false" customHeight="false" outlineLevel="0" collapsed="false">
      <c r="A25" s="0" t="s">
        <v>129</v>
      </c>
      <c r="B25" s="0" t="s">
        <v>212</v>
      </c>
      <c r="C25" s="0" t="s">
        <v>367</v>
      </c>
      <c r="D25" s="0" t="s">
        <v>371</v>
      </c>
      <c r="E25" s="0" t="n">
        <v>3</v>
      </c>
      <c r="F25" s="0" t="s">
        <v>380</v>
      </c>
      <c r="G25" s="506" t="s">
        <v>381</v>
      </c>
      <c r="H25" s="0" t="n">
        <v>5</v>
      </c>
    </row>
    <row r="26" customFormat="false" ht="23.85" hidden="false" customHeight="false" outlineLevel="0" collapsed="false">
      <c r="A26" s="0" t="s">
        <v>118</v>
      </c>
      <c r="B26" s="0" t="s">
        <v>212</v>
      </c>
      <c r="C26" s="0" t="s">
        <v>382</v>
      </c>
      <c r="D26" s="0" t="s">
        <v>383</v>
      </c>
      <c r="E26" s="0" t="n">
        <v>1</v>
      </c>
      <c r="F26" s="0" t="s">
        <v>384</v>
      </c>
      <c r="G26" s="506" t="s">
        <v>385</v>
      </c>
      <c r="H26" s="0" t="n">
        <v>0</v>
      </c>
    </row>
    <row r="27" customFormat="false" ht="23.85" hidden="false" customHeight="false" outlineLevel="0" collapsed="false">
      <c r="A27" s="0" t="s">
        <v>121</v>
      </c>
      <c r="B27" s="0" t="s">
        <v>212</v>
      </c>
      <c r="C27" s="0" t="s">
        <v>382</v>
      </c>
      <c r="D27" s="0" t="s">
        <v>386</v>
      </c>
      <c r="E27" s="0" t="n">
        <v>1</v>
      </c>
      <c r="F27" s="0" t="s">
        <v>387</v>
      </c>
      <c r="G27" s="506" t="s">
        <v>388</v>
      </c>
      <c r="H27" s="0" t="n">
        <v>0</v>
      </c>
    </row>
    <row r="28" customFormat="false" ht="23.85" hidden="false" customHeight="false" outlineLevel="0" collapsed="false">
      <c r="A28" s="0" t="s">
        <v>119</v>
      </c>
      <c r="B28" s="0" t="s">
        <v>212</v>
      </c>
      <c r="C28" s="0" t="s">
        <v>382</v>
      </c>
      <c r="D28" s="0" t="s">
        <v>383</v>
      </c>
      <c r="E28" s="0" t="n">
        <v>2</v>
      </c>
      <c r="F28" s="0" t="s">
        <v>389</v>
      </c>
      <c r="G28" s="506" t="s">
        <v>390</v>
      </c>
      <c r="H28" s="0" t="n">
        <v>2</v>
      </c>
    </row>
    <row r="29" customFormat="false" ht="23.85" hidden="false" customHeight="false" outlineLevel="0" collapsed="false">
      <c r="A29" s="0" t="s">
        <v>122</v>
      </c>
      <c r="B29" s="0" t="s">
        <v>212</v>
      </c>
      <c r="C29" s="0" t="s">
        <v>382</v>
      </c>
      <c r="D29" s="0" t="s">
        <v>386</v>
      </c>
      <c r="E29" s="0" t="n">
        <v>2</v>
      </c>
      <c r="F29" s="0" t="s">
        <v>391</v>
      </c>
      <c r="G29" s="506" t="s">
        <v>392</v>
      </c>
      <c r="H29" s="0" t="n">
        <v>20</v>
      </c>
    </row>
    <row r="30" customFormat="false" ht="35.05" hidden="false" customHeight="false" outlineLevel="0" collapsed="false">
      <c r="A30" s="0" t="s">
        <v>120</v>
      </c>
      <c r="B30" s="0" t="s">
        <v>212</v>
      </c>
      <c r="C30" s="0" t="s">
        <v>382</v>
      </c>
      <c r="D30" s="0" t="s">
        <v>383</v>
      </c>
      <c r="E30" s="0" t="n">
        <v>3</v>
      </c>
      <c r="F30" s="0" t="s">
        <v>393</v>
      </c>
      <c r="G30" s="506" t="s">
        <v>394</v>
      </c>
      <c r="H30" s="0" t="n">
        <v>19</v>
      </c>
    </row>
    <row r="31" customFormat="false" ht="35.05" hidden="false" customHeight="false" outlineLevel="0" collapsed="false">
      <c r="A31" s="0" t="s">
        <v>123</v>
      </c>
      <c r="B31" s="0" t="s">
        <v>212</v>
      </c>
      <c r="C31" s="0" t="s">
        <v>382</v>
      </c>
      <c r="D31" s="0" t="s">
        <v>386</v>
      </c>
      <c r="E31" s="0" t="n">
        <v>3</v>
      </c>
      <c r="F31" s="0" t="s">
        <v>395</v>
      </c>
      <c r="G31" s="506" t="s">
        <v>396</v>
      </c>
      <c r="H31" s="0" t="n">
        <v>19</v>
      </c>
    </row>
    <row r="32" customFormat="false" ht="46.25" hidden="false" customHeight="false" outlineLevel="0" collapsed="false">
      <c r="A32" s="0" t="s">
        <v>111</v>
      </c>
      <c r="B32" s="0" t="s">
        <v>212</v>
      </c>
      <c r="C32" s="0" t="s">
        <v>397</v>
      </c>
      <c r="D32" s="0" t="s">
        <v>398</v>
      </c>
      <c r="E32" s="0" t="n">
        <v>1</v>
      </c>
      <c r="F32" s="0" t="s">
        <v>399</v>
      </c>
      <c r="G32" s="506" t="s">
        <v>400</v>
      </c>
      <c r="H32" s="0" t="n">
        <v>13</v>
      </c>
    </row>
    <row r="33" customFormat="false" ht="46.25" hidden="false" customHeight="false" outlineLevel="0" collapsed="false">
      <c r="A33" s="0" t="s">
        <v>115</v>
      </c>
      <c r="B33" s="0" t="s">
        <v>212</v>
      </c>
      <c r="C33" s="0" t="s">
        <v>397</v>
      </c>
      <c r="D33" s="0" t="s">
        <v>401</v>
      </c>
      <c r="E33" s="0" t="n">
        <v>1</v>
      </c>
      <c r="F33" s="0" t="s">
        <v>402</v>
      </c>
      <c r="G33" s="506" t="s">
        <v>403</v>
      </c>
      <c r="H33" s="0" t="n">
        <v>16</v>
      </c>
    </row>
    <row r="34" customFormat="false" ht="57.45" hidden="false" customHeight="false" outlineLevel="0" collapsed="false">
      <c r="A34" s="0" t="s">
        <v>113</v>
      </c>
      <c r="B34" s="0" t="s">
        <v>212</v>
      </c>
      <c r="C34" s="0" t="s">
        <v>397</v>
      </c>
      <c r="D34" s="0" t="s">
        <v>398</v>
      </c>
      <c r="E34" s="0" t="n">
        <v>2</v>
      </c>
      <c r="F34" s="0" t="s">
        <v>404</v>
      </c>
      <c r="G34" s="506" t="s">
        <v>405</v>
      </c>
      <c r="H34" s="0" t="n">
        <v>14</v>
      </c>
    </row>
    <row r="35" customFormat="false" ht="46.25" hidden="false" customHeight="false" outlineLevel="0" collapsed="false">
      <c r="A35" s="0" t="s">
        <v>116</v>
      </c>
      <c r="B35" s="0" t="s">
        <v>212</v>
      </c>
      <c r="C35" s="0" t="s">
        <v>397</v>
      </c>
      <c r="D35" s="0" t="s">
        <v>401</v>
      </c>
      <c r="E35" s="0" t="n">
        <v>2</v>
      </c>
      <c r="F35" s="0" t="s">
        <v>406</v>
      </c>
      <c r="G35" s="506" t="s">
        <v>407</v>
      </c>
      <c r="H35" s="0" t="n">
        <v>18</v>
      </c>
    </row>
    <row r="36" customFormat="false" ht="46.25" hidden="false" customHeight="false" outlineLevel="0" collapsed="false">
      <c r="A36" s="0" t="s">
        <v>114</v>
      </c>
      <c r="B36" s="0" t="s">
        <v>212</v>
      </c>
      <c r="C36" s="0" t="s">
        <v>397</v>
      </c>
      <c r="D36" s="0" t="s">
        <v>398</v>
      </c>
      <c r="E36" s="0" t="n">
        <v>3</v>
      </c>
      <c r="F36" s="0" t="s">
        <v>408</v>
      </c>
      <c r="G36" s="506" t="s">
        <v>409</v>
      </c>
      <c r="H36" s="0" t="n">
        <v>15</v>
      </c>
    </row>
    <row r="37" customFormat="false" ht="23.85" hidden="false" customHeight="false" outlineLevel="0" collapsed="false">
      <c r="A37" s="0" t="s">
        <v>117</v>
      </c>
      <c r="B37" s="0" t="s">
        <v>212</v>
      </c>
      <c r="C37" s="0" t="s">
        <v>397</v>
      </c>
      <c r="D37" s="0" t="s">
        <v>401</v>
      </c>
      <c r="E37" s="0" t="n">
        <v>3</v>
      </c>
      <c r="F37" s="0" t="s">
        <v>410</v>
      </c>
      <c r="G37" s="506" t="s">
        <v>411</v>
      </c>
      <c r="H37" s="0" t="n">
        <v>15</v>
      </c>
    </row>
    <row r="38" customFormat="false" ht="46.25" hidden="false" customHeight="false" outlineLevel="0" collapsed="false">
      <c r="A38" s="0" t="s">
        <v>160</v>
      </c>
      <c r="B38" s="0" t="s">
        <v>225</v>
      </c>
      <c r="C38" s="0" t="s">
        <v>228</v>
      </c>
      <c r="D38" s="0" t="s">
        <v>412</v>
      </c>
      <c r="E38" s="0" t="n">
        <v>1</v>
      </c>
      <c r="F38" s="0" t="s">
        <v>413</v>
      </c>
      <c r="G38" s="506" t="s">
        <v>414</v>
      </c>
      <c r="H38" s="0" t="n">
        <v>0</v>
      </c>
    </row>
    <row r="39" customFormat="false" ht="35.05" hidden="false" customHeight="false" outlineLevel="0" collapsed="false">
      <c r="A39" s="0" t="s">
        <v>163</v>
      </c>
      <c r="B39" s="0" t="s">
        <v>225</v>
      </c>
      <c r="C39" s="0" t="s">
        <v>228</v>
      </c>
      <c r="D39" s="0" t="s">
        <v>415</v>
      </c>
      <c r="E39" s="0" t="n">
        <v>1</v>
      </c>
      <c r="F39" s="0" t="s">
        <v>416</v>
      </c>
      <c r="G39" s="506" t="s">
        <v>417</v>
      </c>
      <c r="H39" s="0" t="n">
        <v>0</v>
      </c>
    </row>
    <row r="40" customFormat="false" ht="35.05" hidden="false" customHeight="false" outlineLevel="0" collapsed="false">
      <c r="A40" s="0" t="s">
        <v>161</v>
      </c>
      <c r="B40" s="0" t="s">
        <v>225</v>
      </c>
      <c r="C40" s="0" t="s">
        <v>228</v>
      </c>
      <c r="D40" s="0" t="s">
        <v>412</v>
      </c>
      <c r="E40" s="0" t="n">
        <v>2</v>
      </c>
      <c r="F40" s="0" t="s">
        <v>418</v>
      </c>
      <c r="G40" s="506" t="s">
        <v>419</v>
      </c>
      <c r="H40" s="0" t="n">
        <v>0</v>
      </c>
    </row>
    <row r="41" customFormat="false" ht="35.05" hidden="false" customHeight="false" outlineLevel="0" collapsed="false">
      <c r="A41" s="0" t="s">
        <v>164</v>
      </c>
      <c r="B41" s="0" t="s">
        <v>225</v>
      </c>
      <c r="C41" s="0" t="s">
        <v>228</v>
      </c>
      <c r="D41" s="0" t="s">
        <v>415</v>
      </c>
      <c r="E41" s="0" t="n">
        <v>2</v>
      </c>
      <c r="F41" s="0" t="s">
        <v>420</v>
      </c>
      <c r="G41" s="506" t="s">
        <v>421</v>
      </c>
      <c r="H41" s="0" t="n">
        <v>0</v>
      </c>
    </row>
    <row r="42" customFormat="false" ht="23.85" hidden="false" customHeight="false" outlineLevel="0" collapsed="false">
      <c r="A42" s="0" t="s">
        <v>162</v>
      </c>
      <c r="B42" s="0" t="s">
        <v>225</v>
      </c>
      <c r="C42" s="0" t="s">
        <v>228</v>
      </c>
      <c r="D42" s="0" t="s">
        <v>412</v>
      </c>
      <c r="E42" s="0" t="n">
        <v>3</v>
      </c>
      <c r="F42" s="0" t="s">
        <v>422</v>
      </c>
      <c r="G42" s="506" t="s">
        <v>423</v>
      </c>
      <c r="H42" s="0" t="n">
        <v>0</v>
      </c>
    </row>
    <row r="43" customFormat="false" ht="46.25" hidden="false" customHeight="false" outlineLevel="0" collapsed="false">
      <c r="A43" s="0" t="s">
        <v>165</v>
      </c>
      <c r="B43" s="0" t="s">
        <v>225</v>
      </c>
      <c r="C43" s="0" t="s">
        <v>228</v>
      </c>
      <c r="D43" s="0" t="s">
        <v>415</v>
      </c>
      <c r="E43" s="0" t="n">
        <v>3</v>
      </c>
      <c r="F43" s="0" t="s">
        <v>424</v>
      </c>
      <c r="G43" s="506" t="s">
        <v>425</v>
      </c>
      <c r="H43" s="0" t="n">
        <v>0</v>
      </c>
    </row>
    <row r="44" customFormat="false" ht="57.45" hidden="false" customHeight="false" outlineLevel="0" collapsed="false">
      <c r="A44" s="0" t="s">
        <v>148</v>
      </c>
      <c r="B44" s="0" t="s">
        <v>225</v>
      </c>
      <c r="C44" s="0" t="s">
        <v>226</v>
      </c>
      <c r="D44" s="0" t="s">
        <v>426</v>
      </c>
      <c r="E44" s="0" t="n">
        <v>1</v>
      </c>
      <c r="F44" s="0" t="s">
        <v>427</v>
      </c>
      <c r="G44" s="506" t="s">
        <v>428</v>
      </c>
      <c r="H44" s="0" t="n">
        <v>0</v>
      </c>
    </row>
    <row r="45" customFormat="false" ht="35.05" hidden="false" customHeight="false" outlineLevel="0" collapsed="false">
      <c r="A45" s="0" t="s">
        <v>151</v>
      </c>
      <c r="B45" s="0" t="s">
        <v>225</v>
      </c>
      <c r="C45" s="0" t="s">
        <v>226</v>
      </c>
      <c r="D45" s="0" t="s">
        <v>429</v>
      </c>
      <c r="E45" s="0" t="n">
        <v>1</v>
      </c>
      <c r="F45" s="0" t="s">
        <v>430</v>
      </c>
      <c r="G45" s="506" t="s">
        <v>431</v>
      </c>
      <c r="H45" s="0" t="n">
        <v>0</v>
      </c>
    </row>
    <row r="46" customFormat="false" ht="35.05" hidden="false" customHeight="false" outlineLevel="0" collapsed="false">
      <c r="A46" s="0" t="s">
        <v>149</v>
      </c>
      <c r="B46" s="0" t="s">
        <v>225</v>
      </c>
      <c r="C46" s="0" t="s">
        <v>226</v>
      </c>
      <c r="D46" s="0" t="s">
        <v>426</v>
      </c>
      <c r="E46" s="0" t="n">
        <v>2</v>
      </c>
      <c r="F46" s="0" t="s">
        <v>432</v>
      </c>
      <c r="G46" s="506" t="s">
        <v>433</v>
      </c>
      <c r="H46" s="0" t="n">
        <v>0</v>
      </c>
    </row>
    <row r="47" customFormat="false" ht="57.45" hidden="false" customHeight="false" outlineLevel="0" collapsed="false">
      <c r="A47" s="0" t="s">
        <v>152</v>
      </c>
      <c r="B47" s="0" t="s">
        <v>225</v>
      </c>
      <c r="C47" s="0" t="s">
        <v>226</v>
      </c>
      <c r="D47" s="0" t="s">
        <v>429</v>
      </c>
      <c r="E47" s="0" t="n">
        <v>2</v>
      </c>
      <c r="F47" s="0" t="s">
        <v>434</v>
      </c>
      <c r="G47" s="506" t="s">
        <v>435</v>
      </c>
      <c r="H47" s="0" t="n">
        <v>0</v>
      </c>
    </row>
    <row r="48" customFormat="false" ht="46.25" hidden="false" customHeight="false" outlineLevel="0" collapsed="false">
      <c r="A48" s="0" t="s">
        <v>150</v>
      </c>
      <c r="B48" s="0" t="s">
        <v>225</v>
      </c>
      <c r="C48" s="0" t="s">
        <v>226</v>
      </c>
      <c r="D48" s="0" t="s">
        <v>426</v>
      </c>
      <c r="E48" s="0" t="n">
        <v>3</v>
      </c>
      <c r="F48" s="0" t="s">
        <v>436</v>
      </c>
      <c r="G48" s="506" t="s">
        <v>437</v>
      </c>
      <c r="H48" s="0" t="n">
        <v>0</v>
      </c>
    </row>
    <row r="49" customFormat="false" ht="46.25" hidden="false" customHeight="false" outlineLevel="0" collapsed="false">
      <c r="A49" s="0" t="s">
        <v>153</v>
      </c>
      <c r="B49" s="0" t="s">
        <v>225</v>
      </c>
      <c r="C49" s="0" t="s">
        <v>226</v>
      </c>
      <c r="D49" s="0" t="s">
        <v>429</v>
      </c>
      <c r="E49" s="0" t="n">
        <v>3</v>
      </c>
      <c r="F49" s="0" t="s">
        <v>438</v>
      </c>
      <c r="G49" s="506" t="s">
        <v>439</v>
      </c>
      <c r="H49" s="0" t="n">
        <v>0</v>
      </c>
    </row>
    <row r="50" customFormat="false" ht="57.45" hidden="false" customHeight="false" outlineLevel="0" collapsed="false">
      <c r="A50" s="0" t="s">
        <v>154</v>
      </c>
      <c r="B50" s="0" t="s">
        <v>225</v>
      </c>
      <c r="C50" s="0" t="s">
        <v>227</v>
      </c>
      <c r="D50" s="0" t="s">
        <v>440</v>
      </c>
      <c r="E50" s="0" t="n">
        <v>1</v>
      </c>
      <c r="F50" s="0" t="s">
        <v>441</v>
      </c>
      <c r="G50" s="506" t="s">
        <v>442</v>
      </c>
      <c r="H50" s="0" t="n">
        <v>0</v>
      </c>
    </row>
    <row r="51" customFormat="false" ht="35.05" hidden="false" customHeight="false" outlineLevel="0" collapsed="false">
      <c r="A51" s="0" t="s">
        <v>157</v>
      </c>
      <c r="B51" s="0" t="s">
        <v>225</v>
      </c>
      <c r="C51" s="0" t="s">
        <v>227</v>
      </c>
      <c r="D51" s="0" t="s">
        <v>443</v>
      </c>
      <c r="E51" s="0" t="n">
        <v>1</v>
      </c>
      <c r="F51" s="0" t="s">
        <v>444</v>
      </c>
      <c r="G51" s="506" t="s">
        <v>445</v>
      </c>
      <c r="H51" s="0" t="n">
        <v>0</v>
      </c>
    </row>
    <row r="52" customFormat="false" ht="46.25" hidden="false" customHeight="false" outlineLevel="0" collapsed="false">
      <c r="A52" s="0" t="s">
        <v>155</v>
      </c>
      <c r="B52" s="0" t="s">
        <v>225</v>
      </c>
      <c r="C52" s="0" t="s">
        <v>227</v>
      </c>
      <c r="D52" s="0" t="s">
        <v>440</v>
      </c>
      <c r="E52" s="0" t="n">
        <v>2</v>
      </c>
      <c r="F52" s="0" t="s">
        <v>446</v>
      </c>
      <c r="G52" s="506" t="s">
        <v>447</v>
      </c>
      <c r="H52" s="0" t="n">
        <v>0</v>
      </c>
    </row>
    <row r="53" customFormat="false" ht="35.05" hidden="false" customHeight="false" outlineLevel="0" collapsed="false">
      <c r="A53" s="0" t="s">
        <v>158</v>
      </c>
      <c r="B53" s="0" t="s">
        <v>225</v>
      </c>
      <c r="C53" s="0" t="s">
        <v>227</v>
      </c>
      <c r="D53" s="0" t="s">
        <v>443</v>
      </c>
      <c r="E53" s="0" t="n">
        <v>2</v>
      </c>
      <c r="F53" s="0" t="s">
        <v>448</v>
      </c>
      <c r="G53" s="506" t="s">
        <v>449</v>
      </c>
      <c r="H53" s="0" t="n">
        <v>0</v>
      </c>
    </row>
    <row r="54" customFormat="false" ht="35.05" hidden="false" customHeight="false" outlineLevel="0" collapsed="false">
      <c r="A54" s="0" t="s">
        <v>156</v>
      </c>
      <c r="B54" s="0" t="s">
        <v>225</v>
      </c>
      <c r="C54" s="0" t="s">
        <v>227</v>
      </c>
      <c r="D54" s="0" t="s">
        <v>440</v>
      </c>
      <c r="E54" s="0" t="n">
        <v>3</v>
      </c>
      <c r="F54" s="0" t="s">
        <v>450</v>
      </c>
      <c r="G54" s="506" t="s">
        <v>451</v>
      </c>
      <c r="H54" s="0" t="n">
        <v>0</v>
      </c>
    </row>
    <row r="55" customFormat="false" ht="35.05" hidden="false" customHeight="false" outlineLevel="0" collapsed="false">
      <c r="A55" s="0" t="s">
        <v>159</v>
      </c>
      <c r="B55" s="0" t="s">
        <v>225</v>
      </c>
      <c r="C55" s="0" t="s">
        <v>227</v>
      </c>
      <c r="D55" s="0" t="s">
        <v>443</v>
      </c>
      <c r="E55" s="0" t="n">
        <v>3</v>
      </c>
      <c r="F55" s="0" t="s">
        <v>452</v>
      </c>
      <c r="G55" s="506" t="s">
        <v>453</v>
      </c>
      <c r="H55" s="0" t="n">
        <v>0</v>
      </c>
    </row>
    <row r="56" customFormat="false" ht="23.85" hidden="false" customHeight="false" outlineLevel="0" collapsed="false">
      <c r="A56" s="0" t="s">
        <v>190</v>
      </c>
      <c r="B56" s="0" t="s">
        <v>233</v>
      </c>
      <c r="C56" s="0" t="s">
        <v>235</v>
      </c>
      <c r="D56" s="0" t="s">
        <v>454</v>
      </c>
      <c r="E56" s="0" t="n">
        <v>1</v>
      </c>
      <c r="F56" s="0" t="s">
        <v>455</v>
      </c>
      <c r="G56" s="506" t="s">
        <v>456</v>
      </c>
      <c r="H56" s="0" t="n">
        <v>6</v>
      </c>
    </row>
    <row r="57" customFormat="false" ht="23.85" hidden="false" customHeight="false" outlineLevel="0" collapsed="false">
      <c r="A57" s="0" t="s">
        <v>193</v>
      </c>
      <c r="B57" s="0" t="s">
        <v>233</v>
      </c>
      <c r="C57" s="0" t="s">
        <v>235</v>
      </c>
      <c r="D57" s="0" t="s">
        <v>457</v>
      </c>
      <c r="E57" s="0" t="n">
        <v>1</v>
      </c>
      <c r="F57" s="0" t="s">
        <v>458</v>
      </c>
      <c r="G57" s="506" t="s">
        <v>459</v>
      </c>
      <c r="H57" s="0" t="n">
        <v>6</v>
      </c>
    </row>
    <row r="58" customFormat="false" ht="46.25" hidden="false" customHeight="false" outlineLevel="0" collapsed="false">
      <c r="A58" s="0" t="s">
        <v>191</v>
      </c>
      <c r="B58" s="0" t="s">
        <v>233</v>
      </c>
      <c r="C58" s="0" t="s">
        <v>235</v>
      </c>
      <c r="D58" s="0" t="s">
        <v>454</v>
      </c>
      <c r="E58" s="0" t="n">
        <v>2</v>
      </c>
      <c r="F58" s="0" t="s">
        <v>460</v>
      </c>
      <c r="G58" s="506" t="s">
        <v>461</v>
      </c>
      <c r="H58" s="0" t="n">
        <v>6</v>
      </c>
    </row>
    <row r="59" customFormat="false" ht="35.05" hidden="false" customHeight="false" outlineLevel="0" collapsed="false">
      <c r="A59" s="0" t="s">
        <v>194</v>
      </c>
      <c r="B59" s="0" t="s">
        <v>233</v>
      </c>
      <c r="C59" s="0" t="s">
        <v>235</v>
      </c>
      <c r="D59" s="0" t="s">
        <v>457</v>
      </c>
      <c r="E59" s="0" t="n">
        <v>2</v>
      </c>
      <c r="F59" s="0" t="s">
        <v>462</v>
      </c>
      <c r="G59" s="506" t="s">
        <v>463</v>
      </c>
      <c r="H59" s="0" t="n">
        <v>6</v>
      </c>
    </row>
    <row r="60" customFormat="false" ht="46.25" hidden="false" customHeight="false" outlineLevel="0" collapsed="false">
      <c r="A60" s="0" t="s">
        <v>192</v>
      </c>
      <c r="B60" s="0" t="s">
        <v>233</v>
      </c>
      <c r="C60" s="0" t="s">
        <v>235</v>
      </c>
      <c r="D60" s="0" t="s">
        <v>454</v>
      </c>
      <c r="E60" s="0" t="n">
        <v>3</v>
      </c>
      <c r="F60" s="0" t="s">
        <v>464</v>
      </c>
      <c r="G60" s="506" t="s">
        <v>465</v>
      </c>
      <c r="H60" s="0" t="n">
        <v>6</v>
      </c>
    </row>
    <row r="61" customFormat="false" ht="35.05" hidden="false" customHeight="false" outlineLevel="0" collapsed="false">
      <c r="A61" s="0" t="s">
        <v>195</v>
      </c>
      <c r="B61" s="0" t="s">
        <v>233</v>
      </c>
      <c r="C61" s="0" t="s">
        <v>235</v>
      </c>
      <c r="D61" s="0" t="s">
        <v>457</v>
      </c>
      <c r="E61" s="0" t="n">
        <v>3</v>
      </c>
      <c r="F61" s="0" t="s">
        <v>466</v>
      </c>
      <c r="G61" s="506" t="s">
        <v>467</v>
      </c>
      <c r="H61" s="0" t="n">
        <v>6</v>
      </c>
    </row>
    <row r="62" customFormat="false" ht="35.05" hidden="false" customHeight="false" outlineLevel="0" collapsed="false">
      <c r="A62" s="0" t="s">
        <v>184</v>
      </c>
      <c r="B62" s="0" t="s">
        <v>233</v>
      </c>
      <c r="C62" s="0" t="s">
        <v>234</v>
      </c>
      <c r="D62" s="0" t="s">
        <v>468</v>
      </c>
      <c r="E62" s="0" t="n">
        <v>1</v>
      </c>
      <c r="F62" s="0" t="s">
        <v>469</v>
      </c>
      <c r="G62" s="506" t="s">
        <v>470</v>
      </c>
      <c r="H62" s="0" t="n">
        <v>0</v>
      </c>
    </row>
    <row r="63" customFormat="false" ht="23.85" hidden="false" customHeight="false" outlineLevel="0" collapsed="false">
      <c r="A63" s="0" t="s">
        <v>187</v>
      </c>
      <c r="B63" s="0" t="s">
        <v>233</v>
      </c>
      <c r="C63" s="0" t="s">
        <v>234</v>
      </c>
      <c r="D63" s="0" t="s">
        <v>471</v>
      </c>
      <c r="E63" s="0" t="n">
        <v>1</v>
      </c>
      <c r="F63" s="0" t="s">
        <v>472</v>
      </c>
      <c r="G63" s="506" t="s">
        <v>473</v>
      </c>
      <c r="H63" s="0" t="n">
        <v>7</v>
      </c>
    </row>
    <row r="64" customFormat="false" ht="57.45" hidden="false" customHeight="false" outlineLevel="0" collapsed="false">
      <c r="A64" s="0" t="s">
        <v>185</v>
      </c>
      <c r="B64" s="0" t="s">
        <v>233</v>
      </c>
      <c r="C64" s="0" t="s">
        <v>234</v>
      </c>
      <c r="D64" s="0" t="s">
        <v>468</v>
      </c>
      <c r="E64" s="0" t="n">
        <v>2</v>
      </c>
      <c r="F64" s="0" t="s">
        <v>474</v>
      </c>
      <c r="G64" s="506" t="s">
        <v>475</v>
      </c>
      <c r="H64" s="0" t="n">
        <v>0</v>
      </c>
    </row>
    <row r="65" customFormat="false" ht="46.25" hidden="false" customHeight="false" outlineLevel="0" collapsed="false">
      <c r="A65" s="0" t="s">
        <v>188</v>
      </c>
      <c r="B65" s="0" t="s">
        <v>233</v>
      </c>
      <c r="C65" s="0" t="s">
        <v>234</v>
      </c>
      <c r="D65" s="0" t="s">
        <v>471</v>
      </c>
      <c r="E65" s="0" t="n">
        <v>2</v>
      </c>
      <c r="F65" s="0" t="s">
        <v>476</v>
      </c>
      <c r="G65" s="506" t="s">
        <v>477</v>
      </c>
      <c r="H65" s="0" t="n">
        <v>8</v>
      </c>
    </row>
    <row r="66" customFormat="false" ht="23.85" hidden="false" customHeight="false" outlineLevel="0" collapsed="false">
      <c r="A66" s="0" t="s">
        <v>186</v>
      </c>
      <c r="B66" s="0" t="s">
        <v>233</v>
      </c>
      <c r="C66" s="0" t="s">
        <v>234</v>
      </c>
      <c r="D66" s="0" t="s">
        <v>468</v>
      </c>
      <c r="E66" s="0" t="n">
        <v>3</v>
      </c>
      <c r="F66" s="0" t="s">
        <v>478</v>
      </c>
      <c r="G66" s="506" t="s">
        <v>479</v>
      </c>
      <c r="H66" s="0" t="n">
        <v>0</v>
      </c>
    </row>
    <row r="67" customFormat="false" ht="23.85" hidden="false" customHeight="false" outlineLevel="0" collapsed="false">
      <c r="A67" s="0" t="s">
        <v>189</v>
      </c>
      <c r="B67" s="0" t="s">
        <v>233</v>
      </c>
      <c r="C67" s="0" t="s">
        <v>234</v>
      </c>
      <c r="D67" s="0" t="s">
        <v>471</v>
      </c>
      <c r="E67" s="0" t="n">
        <v>3</v>
      </c>
      <c r="F67" s="0" t="s">
        <v>480</v>
      </c>
      <c r="G67" s="506" t="s">
        <v>481</v>
      </c>
      <c r="H67" s="0" t="n">
        <v>4</v>
      </c>
    </row>
    <row r="68" customFormat="false" ht="35.05" hidden="false" customHeight="false" outlineLevel="0" collapsed="false">
      <c r="A68" s="0" t="s">
        <v>196</v>
      </c>
      <c r="B68" s="0" t="s">
        <v>233</v>
      </c>
      <c r="C68" s="0" t="s">
        <v>236</v>
      </c>
      <c r="D68" s="0" t="s">
        <v>482</v>
      </c>
      <c r="E68" s="0" t="n">
        <v>1</v>
      </c>
      <c r="F68" s="0" t="s">
        <v>483</v>
      </c>
      <c r="G68" s="506" t="s">
        <v>484</v>
      </c>
      <c r="H68" s="0" t="n">
        <v>0</v>
      </c>
    </row>
    <row r="69" customFormat="false" ht="23.85" hidden="false" customHeight="false" outlineLevel="0" collapsed="false">
      <c r="A69" s="0" t="s">
        <v>199</v>
      </c>
      <c r="B69" s="0" t="s">
        <v>233</v>
      </c>
      <c r="C69" s="0" t="s">
        <v>236</v>
      </c>
      <c r="D69" s="0" t="s">
        <v>485</v>
      </c>
      <c r="E69" s="0" t="n">
        <v>1</v>
      </c>
      <c r="F69" s="0" t="s">
        <v>486</v>
      </c>
      <c r="G69" s="506" t="s">
        <v>487</v>
      </c>
      <c r="H69" s="0" t="n">
        <v>0</v>
      </c>
    </row>
    <row r="70" customFormat="false" ht="46.25" hidden="false" customHeight="false" outlineLevel="0" collapsed="false">
      <c r="A70" s="0" t="s">
        <v>197</v>
      </c>
      <c r="B70" s="0" t="s">
        <v>233</v>
      </c>
      <c r="C70" s="0" t="s">
        <v>236</v>
      </c>
      <c r="D70" s="0" t="s">
        <v>482</v>
      </c>
      <c r="E70" s="0" t="n">
        <v>2</v>
      </c>
      <c r="F70" s="0" t="s">
        <v>488</v>
      </c>
      <c r="G70" s="506" t="s">
        <v>489</v>
      </c>
      <c r="H70" s="0" t="n">
        <v>9</v>
      </c>
    </row>
    <row r="71" customFormat="false" ht="35.05" hidden="false" customHeight="false" outlineLevel="0" collapsed="false">
      <c r="A71" s="0" t="s">
        <v>200</v>
      </c>
      <c r="B71" s="0" t="s">
        <v>233</v>
      </c>
      <c r="C71" s="0" t="s">
        <v>236</v>
      </c>
      <c r="D71" s="0" t="s">
        <v>485</v>
      </c>
      <c r="E71" s="0" t="n">
        <v>2</v>
      </c>
      <c r="F71" s="0" t="s">
        <v>490</v>
      </c>
      <c r="G71" s="506" t="s">
        <v>491</v>
      </c>
      <c r="H71" s="0" t="n">
        <v>4</v>
      </c>
    </row>
    <row r="72" customFormat="false" ht="35.05" hidden="false" customHeight="false" outlineLevel="0" collapsed="false">
      <c r="A72" s="0" t="s">
        <v>198</v>
      </c>
      <c r="B72" s="0" t="s">
        <v>233</v>
      </c>
      <c r="C72" s="0" t="s">
        <v>236</v>
      </c>
      <c r="D72" s="0" t="s">
        <v>482</v>
      </c>
      <c r="E72" s="0" t="n">
        <v>3</v>
      </c>
      <c r="F72" s="0" t="s">
        <v>492</v>
      </c>
      <c r="G72" s="506" t="s">
        <v>493</v>
      </c>
      <c r="H72" s="0" t="n">
        <v>10</v>
      </c>
    </row>
    <row r="73" customFormat="false" ht="35.05" hidden="false" customHeight="false" outlineLevel="0" collapsed="false">
      <c r="A73" s="0" t="s">
        <v>201</v>
      </c>
      <c r="B73" s="0" t="s">
        <v>233</v>
      </c>
      <c r="C73" s="0" t="s">
        <v>236</v>
      </c>
      <c r="D73" s="0" t="s">
        <v>485</v>
      </c>
      <c r="E73" s="0" t="n">
        <v>3</v>
      </c>
      <c r="F73" s="0" t="s">
        <v>494</v>
      </c>
      <c r="G73" s="506" t="s">
        <v>495</v>
      </c>
      <c r="H73" s="0" t="n">
        <v>11</v>
      </c>
    </row>
    <row r="74" customFormat="false" ht="46.25" hidden="false" customHeight="false" outlineLevel="0" collapsed="false">
      <c r="A74" s="0" t="s">
        <v>166</v>
      </c>
      <c r="B74" s="0" t="s">
        <v>229</v>
      </c>
      <c r="C74" s="0" t="s">
        <v>230</v>
      </c>
      <c r="D74" s="0" t="s">
        <v>496</v>
      </c>
      <c r="E74" s="0" t="n">
        <v>1</v>
      </c>
      <c r="F74" s="0" t="s">
        <v>497</v>
      </c>
      <c r="G74" s="506" t="s">
        <v>498</v>
      </c>
      <c r="H74" s="0" t="n">
        <v>0</v>
      </c>
    </row>
    <row r="75" customFormat="false" ht="35.05" hidden="false" customHeight="false" outlineLevel="0" collapsed="false">
      <c r="A75" s="0" t="s">
        <v>169</v>
      </c>
      <c r="B75" s="0" t="s">
        <v>229</v>
      </c>
      <c r="C75" s="0" t="s">
        <v>230</v>
      </c>
      <c r="D75" s="0" t="s">
        <v>499</v>
      </c>
      <c r="E75" s="0" t="n">
        <v>1</v>
      </c>
      <c r="F75" s="0" t="s">
        <v>500</v>
      </c>
      <c r="G75" s="506" t="s">
        <v>501</v>
      </c>
      <c r="H75" s="0" t="n">
        <v>0</v>
      </c>
    </row>
    <row r="76" customFormat="false" ht="46.25" hidden="false" customHeight="false" outlineLevel="0" collapsed="false">
      <c r="A76" s="0" t="s">
        <v>167</v>
      </c>
      <c r="B76" s="0" t="s">
        <v>229</v>
      </c>
      <c r="C76" s="0" t="s">
        <v>230</v>
      </c>
      <c r="D76" s="0" t="s">
        <v>496</v>
      </c>
      <c r="E76" s="0" t="n">
        <v>2</v>
      </c>
      <c r="F76" s="0" t="s">
        <v>502</v>
      </c>
      <c r="G76" s="506" t="s">
        <v>503</v>
      </c>
      <c r="H76" s="0" t="n">
        <v>0</v>
      </c>
    </row>
    <row r="77" customFormat="false" ht="46.25" hidden="false" customHeight="false" outlineLevel="0" collapsed="false">
      <c r="A77" s="0" t="s">
        <v>170</v>
      </c>
      <c r="B77" s="0" t="s">
        <v>229</v>
      </c>
      <c r="C77" s="0" t="s">
        <v>230</v>
      </c>
      <c r="D77" s="0" t="s">
        <v>499</v>
      </c>
      <c r="E77" s="0" t="n">
        <v>2</v>
      </c>
      <c r="F77" s="0" t="s">
        <v>504</v>
      </c>
      <c r="G77" s="506" t="s">
        <v>505</v>
      </c>
      <c r="H77" s="0" t="n">
        <v>0</v>
      </c>
    </row>
    <row r="78" customFormat="false" ht="46.25" hidden="false" customHeight="false" outlineLevel="0" collapsed="false">
      <c r="A78" s="0" t="s">
        <v>168</v>
      </c>
      <c r="B78" s="0" t="s">
        <v>229</v>
      </c>
      <c r="C78" s="0" t="s">
        <v>230</v>
      </c>
      <c r="D78" s="0" t="s">
        <v>496</v>
      </c>
      <c r="E78" s="0" t="n">
        <v>3</v>
      </c>
      <c r="F78" s="0" t="s">
        <v>506</v>
      </c>
      <c r="G78" s="506" t="s">
        <v>507</v>
      </c>
      <c r="H78" s="0" t="n">
        <v>0</v>
      </c>
    </row>
    <row r="79" customFormat="false" ht="46.25" hidden="false" customHeight="false" outlineLevel="0" collapsed="false">
      <c r="A79" s="0" t="s">
        <v>171</v>
      </c>
      <c r="B79" s="0" t="s">
        <v>229</v>
      </c>
      <c r="C79" s="0" t="s">
        <v>230</v>
      </c>
      <c r="D79" s="0" t="s">
        <v>499</v>
      </c>
      <c r="E79" s="0" t="n">
        <v>3</v>
      </c>
      <c r="F79" s="0" t="s">
        <v>508</v>
      </c>
      <c r="G79" s="506" t="s">
        <v>509</v>
      </c>
      <c r="H79" s="0" t="n">
        <v>0</v>
      </c>
    </row>
    <row r="80" customFormat="false" ht="23.85" hidden="false" customHeight="false" outlineLevel="0" collapsed="false">
      <c r="A80" s="0" t="s">
        <v>172</v>
      </c>
      <c r="B80" s="0" t="s">
        <v>229</v>
      </c>
      <c r="C80" s="0" t="s">
        <v>510</v>
      </c>
      <c r="D80" s="0" t="s">
        <v>511</v>
      </c>
      <c r="E80" s="0" t="n">
        <v>1</v>
      </c>
      <c r="F80" s="0" t="s">
        <v>512</v>
      </c>
      <c r="G80" s="506" t="s">
        <v>513</v>
      </c>
      <c r="H80" s="0" t="n">
        <v>1</v>
      </c>
    </row>
    <row r="81" customFormat="false" ht="23.85" hidden="false" customHeight="false" outlineLevel="0" collapsed="false">
      <c r="A81" s="0" t="s">
        <v>175</v>
      </c>
      <c r="B81" s="0" t="s">
        <v>229</v>
      </c>
      <c r="C81" s="0" t="s">
        <v>510</v>
      </c>
      <c r="D81" s="0" t="s">
        <v>514</v>
      </c>
      <c r="E81" s="0" t="n">
        <v>1</v>
      </c>
      <c r="F81" s="0" t="s">
        <v>515</v>
      </c>
      <c r="G81" s="506" t="s">
        <v>516</v>
      </c>
      <c r="H81" s="0" t="n">
        <v>0</v>
      </c>
    </row>
    <row r="82" customFormat="false" ht="35.05" hidden="false" customHeight="false" outlineLevel="0" collapsed="false">
      <c r="A82" s="0" t="s">
        <v>173</v>
      </c>
      <c r="B82" s="0" t="s">
        <v>229</v>
      </c>
      <c r="C82" s="0" t="s">
        <v>510</v>
      </c>
      <c r="D82" s="0" t="s">
        <v>511</v>
      </c>
      <c r="E82" s="0" t="n">
        <v>2</v>
      </c>
      <c r="F82" s="0" t="s">
        <v>517</v>
      </c>
      <c r="G82" s="506" t="s">
        <v>518</v>
      </c>
      <c r="H82" s="0" t="n">
        <v>1</v>
      </c>
    </row>
    <row r="83" customFormat="false" ht="35.05" hidden="false" customHeight="false" outlineLevel="0" collapsed="false">
      <c r="A83" s="0" t="s">
        <v>176</v>
      </c>
      <c r="B83" s="0" t="s">
        <v>229</v>
      </c>
      <c r="C83" s="0" t="s">
        <v>510</v>
      </c>
      <c r="D83" s="0" t="s">
        <v>514</v>
      </c>
      <c r="E83" s="0" t="n">
        <v>2</v>
      </c>
      <c r="F83" s="0" t="s">
        <v>519</v>
      </c>
      <c r="G83" s="506" t="s">
        <v>520</v>
      </c>
      <c r="H83" s="0" t="n">
        <v>4</v>
      </c>
    </row>
    <row r="84" customFormat="false" ht="23.85" hidden="false" customHeight="false" outlineLevel="0" collapsed="false">
      <c r="A84" s="0" t="s">
        <v>174</v>
      </c>
      <c r="B84" s="0" t="s">
        <v>229</v>
      </c>
      <c r="C84" s="0" t="s">
        <v>510</v>
      </c>
      <c r="D84" s="0" t="s">
        <v>511</v>
      </c>
      <c r="E84" s="0" t="n">
        <v>3</v>
      </c>
      <c r="F84" s="0" t="s">
        <v>521</v>
      </c>
      <c r="G84" s="506" t="s">
        <v>522</v>
      </c>
      <c r="H84" s="0" t="n">
        <v>0</v>
      </c>
    </row>
    <row r="85" customFormat="false" ht="35.05" hidden="false" customHeight="false" outlineLevel="0" collapsed="false">
      <c r="A85" s="0" t="s">
        <v>177</v>
      </c>
      <c r="B85" s="0" t="s">
        <v>229</v>
      </c>
      <c r="C85" s="0" t="s">
        <v>510</v>
      </c>
      <c r="D85" s="0" t="s">
        <v>514</v>
      </c>
      <c r="E85" s="0" t="n">
        <v>3</v>
      </c>
      <c r="F85" s="0" t="s">
        <v>523</v>
      </c>
      <c r="G85" s="506" t="s">
        <v>524</v>
      </c>
      <c r="H85" s="0" t="n">
        <v>4</v>
      </c>
    </row>
    <row r="86" customFormat="false" ht="23.85" hidden="false" customHeight="false" outlineLevel="0" collapsed="false">
      <c r="A86" s="0" t="s">
        <v>178</v>
      </c>
      <c r="B86" s="0" t="s">
        <v>229</v>
      </c>
      <c r="C86" s="0" t="s">
        <v>232</v>
      </c>
      <c r="D86" s="0" t="s">
        <v>525</v>
      </c>
      <c r="E86" s="0" t="n">
        <v>1</v>
      </c>
      <c r="F86" s="0" t="s">
        <v>526</v>
      </c>
      <c r="G86" s="506" t="s">
        <v>527</v>
      </c>
      <c r="H86" s="0" t="n">
        <v>1</v>
      </c>
    </row>
    <row r="87" customFormat="false" ht="35.05" hidden="false" customHeight="false" outlineLevel="0" collapsed="false">
      <c r="A87" s="0" t="s">
        <v>181</v>
      </c>
      <c r="B87" s="0" t="s">
        <v>229</v>
      </c>
      <c r="C87" s="0" t="s">
        <v>232</v>
      </c>
      <c r="D87" s="0" t="s">
        <v>528</v>
      </c>
      <c r="E87" s="0" t="n">
        <v>1</v>
      </c>
      <c r="F87" s="0" t="s">
        <v>529</v>
      </c>
      <c r="G87" s="506" t="s">
        <v>530</v>
      </c>
      <c r="H87" s="0" t="n">
        <v>6</v>
      </c>
    </row>
    <row r="88" customFormat="false" ht="35.05" hidden="false" customHeight="false" outlineLevel="0" collapsed="false">
      <c r="A88" s="0" t="s">
        <v>179</v>
      </c>
      <c r="B88" s="0" t="s">
        <v>229</v>
      </c>
      <c r="C88" s="0" t="s">
        <v>232</v>
      </c>
      <c r="D88" s="0" t="s">
        <v>525</v>
      </c>
      <c r="E88" s="0" t="n">
        <v>2</v>
      </c>
      <c r="F88" s="0" t="s">
        <v>531</v>
      </c>
      <c r="G88" s="506" t="s">
        <v>532</v>
      </c>
      <c r="H88" s="0" t="n">
        <v>1</v>
      </c>
    </row>
    <row r="89" customFormat="false" ht="46.25" hidden="false" customHeight="false" outlineLevel="0" collapsed="false">
      <c r="A89" s="0" t="s">
        <v>182</v>
      </c>
      <c r="B89" s="0" t="s">
        <v>229</v>
      </c>
      <c r="C89" s="0" t="s">
        <v>232</v>
      </c>
      <c r="D89" s="0" t="s">
        <v>528</v>
      </c>
      <c r="E89" s="0" t="n">
        <v>2</v>
      </c>
      <c r="F89" s="0" t="s">
        <v>533</v>
      </c>
      <c r="G89" s="506" t="s">
        <v>534</v>
      </c>
      <c r="H89" s="0" t="n">
        <v>0</v>
      </c>
    </row>
    <row r="90" customFormat="false" ht="23.85" hidden="false" customHeight="false" outlineLevel="0" collapsed="false">
      <c r="A90" s="0" t="s">
        <v>180</v>
      </c>
      <c r="B90" s="0" t="s">
        <v>229</v>
      </c>
      <c r="C90" s="0" t="s">
        <v>232</v>
      </c>
      <c r="D90" s="0" t="s">
        <v>525</v>
      </c>
      <c r="E90" s="0" t="n">
        <v>3</v>
      </c>
      <c r="F90" s="0" t="s">
        <v>535</v>
      </c>
      <c r="G90" s="506" t="s">
        <v>536</v>
      </c>
      <c r="H90" s="0" t="n">
        <v>22</v>
      </c>
    </row>
    <row r="91" customFormat="false" ht="35.05" hidden="false" customHeight="false" outlineLevel="0" collapsed="false">
      <c r="A91" s="0" t="s">
        <v>183</v>
      </c>
      <c r="B91" s="0" t="s">
        <v>229</v>
      </c>
      <c r="C91" s="0" t="s">
        <v>232</v>
      </c>
      <c r="D91" s="0" t="s">
        <v>528</v>
      </c>
      <c r="E91" s="0" t="n">
        <v>3</v>
      </c>
      <c r="F91" s="0" t="s">
        <v>537</v>
      </c>
      <c r="G91" s="506" t="s">
        <v>538</v>
      </c>
      <c r="H91" s="0" t="n">
        <v>23</v>
      </c>
    </row>
  </sheetData>
  <autoFilter ref="A1:H9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4"/>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C17" activeCellId="0" sqref="C17"/>
    </sheetView>
  </sheetViews>
  <sheetFormatPr defaultColWidth="8.6796875" defaultRowHeight="12" customHeight="true" zeroHeight="false" outlineLevelRow="0" outlineLevelCol="0"/>
  <cols>
    <col collapsed="false" customWidth="true" hidden="false" outlineLevel="0" max="1" min="1" style="0" width="32.53"/>
    <col collapsed="false" customWidth="true" hidden="false" outlineLevel="0" max="2" min="2" style="0" width="28"/>
    <col collapsed="false" customWidth="true" hidden="false" outlineLevel="0" max="3" min="3" style="0" width="28.85"/>
    <col collapsed="false" customWidth="true" hidden="false" outlineLevel="0" max="4" min="4" style="0" width="26.53"/>
    <col collapsed="false" customWidth="true" hidden="false" outlineLevel="0" max="5" min="5" style="0" width="28.85"/>
    <col collapsed="false" customWidth="true" hidden="false" outlineLevel="0" max="6" min="6" style="0" width="32.85"/>
    <col collapsed="false" customWidth="true" hidden="false" outlineLevel="0" max="7" min="7" style="0" width="32.53"/>
    <col collapsed="false" customWidth="true" hidden="false" outlineLevel="0" max="12" min="8" style="0" width="10.38"/>
    <col collapsed="false" customWidth="true" hidden="false" outlineLevel="0" max="18" min="13" style="0" width="10.7"/>
  </cols>
  <sheetData>
    <row r="1" customFormat="false" ht="12" hidden="false" customHeight="false" outlineLevel="0" collapsed="false">
      <c r="A1" s="0" t="s">
        <v>124</v>
      </c>
      <c r="B1" s="0" t="s">
        <v>127</v>
      </c>
      <c r="C1" s="0" t="s">
        <v>125</v>
      </c>
      <c r="D1" s="0" t="s">
        <v>128</v>
      </c>
      <c r="E1" s="0" t="s">
        <v>126</v>
      </c>
      <c r="F1" s="0" t="s">
        <v>129</v>
      </c>
      <c r="G1" s="0" t="s">
        <v>118</v>
      </c>
      <c r="H1" s="0" t="s">
        <v>121</v>
      </c>
      <c r="I1" s="0" t="s">
        <v>119</v>
      </c>
      <c r="J1" s="0" t="s">
        <v>122</v>
      </c>
      <c r="K1" s="0" t="s">
        <v>120</v>
      </c>
      <c r="L1" s="0" t="s">
        <v>123</v>
      </c>
      <c r="M1" s="0" t="s">
        <v>111</v>
      </c>
      <c r="N1" s="0" t="s">
        <v>115</v>
      </c>
      <c r="O1" s="0" t="s">
        <v>113</v>
      </c>
      <c r="P1" s="0" t="s">
        <v>116</v>
      </c>
      <c r="Q1" s="0" t="s">
        <v>114</v>
      </c>
      <c r="R1" s="0" t="s">
        <v>117</v>
      </c>
    </row>
    <row r="3" customFormat="false" ht="12" hidden="false" customHeight="false" outlineLevel="0" collapsed="false">
      <c r="A3" s="0" t="str">
        <f aca="true" t="array" ref="A3:A6">INDIRECT("Ans"&amp;CHAR(65+VLOOKUP(A1,'imp-questions'!$A:$H,8,FALSE())))</f>
        <v>No</v>
      </c>
      <c r="B3" s="0" t="str">
        <f aca="true" t="array" ref="B3:B6">INDIRECT("Ans"&amp;CHAR(65+VLOOKUP(B1,'imp-questions'!$A:$H,8,FALSE())))</f>
        <v>No</v>
      </c>
      <c r="C3" s="0" t="str">
        <f aca="true" t="array" ref="C3:C6">INDIRECT("Ans"&amp;CHAR(65+VLOOKUP(C1,'imp-questions'!$A:$H,8,FALSE())))</f>
        <v>No</v>
      </c>
      <c r="D3" s="0" t="str">
        <f aca="true" t="array" ref="D3:D6">INDIRECT("Ans"&amp;CHAR(65+VLOOKUP(D1,'imp-questions'!$A:$H,8,FALSE())))</f>
        <v>No</v>
      </c>
      <c r="E3" s="0" t="str">
        <f aca="true" t="array" ref="E3:E6">INDIRECT("Ans"&amp;CHAR(65+VLOOKUP(E1,'imp-questions'!$A:$H,8,FALSE())))</f>
        <v>No</v>
      </c>
      <c r="F3" s="0" t="str">
        <f aca="true" t="array" ref="F3:F6">INDIRECT("Ans"&amp;CHAR(65+VLOOKUP(F1,'imp-questions'!$A:$H,8,FALSE())))</f>
        <v>No</v>
      </c>
      <c r="G3" s="0" t="str">
        <f aca="true" t="array" ref="G3:G6">INDIRECT("Ans"&amp;CHAR(65+VLOOKUP(G1,'imp-questions'!$A:$H,8,FALSE())))</f>
        <v>No</v>
      </c>
      <c r="H3" s="0" t="str">
        <f aca="true" t="array" ref="H3:H6">INDIRECT("Ans"&amp;CHAR(65+VLOOKUP(H1,'imp-questions'!$A:$H,8,FALSE())))</f>
        <v>No</v>
      </c>
      <c r="I3" s="0" t="str">
        <f aca="true" t="array" ref="I3:I6">INDIRECT("Ans"&amp;CHAR(65+VLOOKUP(I1,'imp-questions'!$A:$H,8,FALSE())))</f>
        <v>No</v>
      </c>
      <c r="J3" s="0" t="str">
        <f aca="true" t="array" ref="J3:J6">INDIRECT("Ans"&amp;CHAR(65+VLOOKUP(J1,'imp-questions'!$A:$H,8,FALSE())))</f>
        <v>No</v>
      </c>
      <c r="K3" s="0" t="str">
        <f aca="true" t="array" ref="K3:K6">INDIRECT("Ans"&amp;CHAR(65+VLOOKUP(K1,'imp-questions'!$A:$H,8,FALSE())))</f>
        <v>No</v>
      </c>
      <c r="L3" s="0" t="str">
        <f aca="true" t="array" ref="L3:L6">INDIRECT("Ans"&amp;CHAR(65+VLOOKUP(L1,'imp-questions'!$A:$H,8,FALSE())))</f>
        <v>No</v>
      </c>
      <c r="M3" s="0" t="str">
        <f aca="true" t="array" ref="M3:M6">INDIRECT("Ans"&amp;CHAR(65+VLOOKUP(M1,'imp-questions'!$A:$H,8,FALSE())))</f>
        <v>No</v>
      </c>
      <c r="N3" s="0" t="str">
        <f aca="true" t="array" ref="N3:N6">INDIRECT("Ans"&amp;CHAR(65+VLOOKUP(N1,'imp-questions'!$A:$H,8,FALSE())))</f>
        <v>No</v>
      </c>
      <c r="O3" s="0" t="str">
        <f aca="true" t="array" ref="O3:O6">INDIRECT("Ans"&amp;CHAR(65+VLOOKUP(O1,'imp-questions'!$A:$H,8,FALSE())))</f>
        <v>No</v>
      </c>
      <c r="P3" s="0" t="str">
        <f aca="true" t="array" ref="P3:P6">INDIRECT("Ans"&amp;CHAR(65+VLOOKUP(P1,'imp-questions'!$A:$H,8,FALSE())))</f>
        <v>No</v>
      </c>
      <c r="Q3" s="0" t="str">
        <f aca="true" t="array" ref="Q3:Q6">INDIRECT("Ans"&amp;CHAR(65+VLOOKUP(Q1,'imp-questions'!$A:$H,8,FALSE())))</f>
        <v>No</v>
      </c>
      <c r="R3" s="0" t="str">
        <f aca="true" t="array" ref="R3:R6">INDIRECT("Ans"&amp;CHAR(65+VLOOKUP(R1,'imp-questions'!$A:$H,8,FALSE())))</f>
        <v>No</v>
      </c>
    </row>
    <row r="4" customFormat="false" ht="12" hidden="false" customHeight="false" outlineLevel="0" collapsed="false">
      <c r="A4" s="0" t="str">
        <v>Yes, some of them</v>
      </c>
      <c r="B4" s="0" t="str">
        <v>Yes, for some teams</v>
      </c>
      <c r="C4" s="0" t="str">
        <v>Yes, for some of the training</v>
      </c>
      <c r="D4" s="0" t="str">
        <v>Yes, we started implementing it</v>
      </c>
      <c r="E4" s="0" t="str">
        <v>Yes, for some of the training</v>
      </c>
      <c r="F4" s="0" t="str">
        <v>Yes, we started implementing it</v>
      </c>
      <c r="G4" s="0" t="str">
        <v>Yes, for some applications</v>
      </c>
      <c r="H4" s="0" t="str">
        <v>Yes, for some applications</v>
      </c>
      <c r="I4" s="0" t="str">
        <v>Yes, some content</v>
      </c>
      <c r="J4" s="0" t="str">
        <v>Yes, for some obligations</v>
      </c>
      <c r="K4" s="0" t="str">
        <v>Yes, but reporting is ad-hoc</v>
      </c>
      <c r="L4" s="0" t="str">
        <v>Yes, but reporting is ad-hoc</v>
      </c>
      <c r="M4" s="0" t="str">
        <v>Yes, it covers general risks</v>
      </c>
      <c r="N4" s="0" t="str">
        <v>Yes, for one metrics category</v>
      </c>
      <c r="O4" s="0" t="str">
        <v>Yes, we review it annually</v>
      </c>
      <c r="P4" s="0" t="str">
        <v>Yes, for some of the metrics</v>
      </c>
      <c r="Q4" s="0" t="str">
        <v>Yes, but review is ad-hoc</v>
      </c>
      <c r="R4" s="0" t="str">
        <v>Yes, but review is ad-hoc</v>
      </c>
    </row>
    <row r="5" customFormat="false" ht="12" hidden="false" customHeight="false" outlineLevel="0" collapsed="false">
      <c r="A5" s="0" t="str">
        <v>Yes, at least half of them</v>
      </c>
      <c r="B5" s="0" t="str">
        <v>Yes, for at least half of the teams</v>
      </c>
      <c r="C5" s="0" t="str">
        <v>Yes, for at least half of the training</v>
      </c>
      <c r="D5" s="0" t="str">
        <v>Yes, for part of the organization</v>
      </c>
      <c r="E5" s="0" t="str">
        <v>Yes, for at least half of the training</v>
      </c>
      <c r="F5" s="0" t="str">
        <v>Yes, for part of the organization</v>
      </c>
      <c r="G5" s="0" t="str">
        <v>Yes, for at least half of the applications</v>
      </c>
      <c r="H5" s="0" t="str">
        <v>Yes, for at least half of the applications</v>
      </c>
      <c r="I5" s="0" t="str">
        <v>Yes, at least half of the content</v>
      </c>
      <c r="J5" s="0" t="str">
        <v>Yes, for at least half of the obligations</v>
      </c>
      <c r="K5" s="0" t="str">
        <v>Yes, we report at regular times</v>
      </c>
      <c r="L5" s="0" t="str">
        <v>Yes, we report at regular times</v>
      </c>
      <c r="M5" s="0" t="str">
        <v>Yes, it covers organization-specific risks</v>
      </c>
      <c r="N5" s="0" t="str">
        <v>Yes, for two metrics categories</v>
      </c>
      <c r="O5" s="0" t="str">
        <v>Yes, we consult the plan before making significant decisions</v>
      </c>
      <c r="P5" s="0" t="str">
        <v>Yes, for at least half of the metrics</v>
      </c>
      <c r="Q5" s="0" t="str">
        <v>Yes, we review it at regular times</v>
      </c>
      <c r="R5" s="0" t="str">
        <v>Yes, we review it at regular times</v>
      </c>
    </row>
    <row r="6" customFormat="false" ht="12" hidden="false" customHeight="false" outlineLevel="0" collapsed="false">
      <c r="A6" s="0" t="str">
        <v>Yes, most or all of them</v>
      </c>
      <c r="B6" s="0" t="str">
        <v>Yes, for most or all of the teams</v>
      </c>
      <c r="C6" s="0" t="str">
        <v>Yes, for most or all of the training</v>
      </c>
      <c r="D6" s="0" t="str">
        <v>Yes, for the entire organization</v>
      </c>
      <c r="E6" s="0" t="str">
        <v>Yes, for most or all of the training</v>
      </c>
      <c r="F6" s="0" t="str">
        <v>Yes, for the entire organization</v>
      </c>
      <c r="G6" s="0" t="str">
        <v>Yes, for most or all of the applications</v>
      </c>
      <c r="H6" s="0" t="str">
        <v>Yes, for most or all of the applications</v>
      </c>
      <c r="I6" s="0" t="str">
        <v>Yes, most or all of the content</v>
      </c>
      <c r="J6" s="0" t="str">
        <v>Yes, for most or all of the obligations</v>
      </c>
      <c r="K6" s="0" t="str">
        <v>Yes, we report at least annually</v>
      </c>
      <c r="L6" s="0" t="str">
        <v>Yes, we report at least annually</v>
      </c>
      <c r="M6" s="0" t="str">
        <v>Yes, it covers risks and opportunities</v>
      </c>
      <c r="N6" s="0" t="str">
        <v>Yes, for all three metrics categories</v>
      </c>
      <c r="O6" s="0" t="str">
        <v>Yes, we consult the plan often, and it is aligned with our application security strategy</v>
      </c>
      <c r="P6" s="0" t="str">
        <v>Yes, for most or all of the metrics</v>
      </c>
      <c r="Q6" s="0" t="str">
        <v>Yes, we review it at least annually</v>
      </c>
      <c r="R6" s="0" t="str">
        <v>Yes, we review it at least annually</v>
      </c>
    </row>
    <row r="8" customFormat="false" ht="12" hidden="false" customHeight="false" outlineLevel="0" collapsed="false">
      <c r="A8" s="0" t="s">
        <v>142</v>
      </c>
      <c r="B8" s="0" t="s">
        <v>145</v>
      </c>
      <c r="C8" s="0" t="s">
        <v>143</v>
      </c>
      <c r="D8" s="0" t="s">
        <v>146</v>
      </c>
      <c r="E8" s="0" t="s">
        <v>144</v>
      </c>
      <c r="F8" s="0" t="s">
        <v>147</v>
      </c>
      <c r="G8" s="0" t="s">
        <v>136</v>
      </c>
      <c r="H8" s="0" t="s">
        <v>139</v>
      </c>
      <c r="I8" s="0" t="s">
        <v>137</v>
      </c>
      <c r="J8" s="0" t="s">
        <v>140</v>
      </c>
      <c r="K8" s="0" t="s">
        <v>138</v>
      </c>
      <c r="L8" s="0" t="s">
        <v>141</v>
      </c>
      <c r="M8" s="0" t="s">
        <v>130</v>
      </c>
      <c r="N8" s="0" t="s">
        <v>133</v>
      </c>
      <c r="O8" s="0" t="s">
        <v>131</v>
      </c>
      <c r="P8" s="0" t="s">
        <v>134</v>
      </c>
      <c r="Q8" s="0" t="s">
        <v>132</v>
      </c>
      <c r="R8" s="0" t="s">
        <v>135</v>
      </c>
    </row>
    <row r="10" customFormat="false" ht="12" hidden="false" customHeight="false" outlineLevel="0" collapsed="false">
      <c r="A10" s="0" t="str">
        <f aca="true" t="array" ref="A10:A13">INDIRECT("Ans"&amp;CHAR(65+VLOOKUP(A8,'imp-questions'!$A:$H,8,FALSE())))</f>
        <v>No</v>
      </c>
      <c r="B10" s="0" t="str">
        <f aca="true" t="array" ref="B10:B13">INDIRECT("Ans"&amp;CHAR(65+VLOOKUP(B8,'imp-questions'!$A:$H,8,FALSE())))</f>
        <v>No</v>
      </c>
      <c r="C10" s="0" t="str">
        <f aca="true" t="array" ref="C10:C13">INDIRECT("Ans"&amp;CHAR(65+VLOOKUP(C8,'imp-questions'!$A:$H,8,FALSE())))</f>
        <v>No</v>
      </c>
      <c r="D10" s="0" t="str">
        <f aca="true" t="array" ref="D10:D13">INDIRECT("Ans"&amp;CHAR(65+VLOOKUP(D8,'imp-questions'!$A:$H,8,FALSE())))</f>
        <v>No</v>
      </c>
      <c r="E10" s="0" t="str">
        <f aca="true" t="array" ref="E10:E13">INDIRECT("Ans"&amp;CHAR(65+VLOOKUP(E8,'imp-questions'!$A:$H,8,FALSE())))</f>
        <v>No</v>
      </c>
      <c r="F10" s="0" t="str">
        <f aca="true" t="array" ref="F10:F13">INDIRECT("Ans"&amp;CHAR(65+VLOOKUP(F8,'imp-questions'!$A:$H,8,FALSE())))</f>
        <v>No</v>
      </c>
      <c r="G10" s="0" t="str">
        <f aca="true" t="array" ref="G10:G13">INDIRECT("Ans"&amp;CHAR(65+VLOOKUP(G8,'imp-questions'!$A:$H,8,FALSE())))</f>
        <v>No</v>
      </c>
      <c r="H10" s="0" t="str">
        <f aca="true" t="array" ref="H10:H13">INDIRECT("Ans"&amp;CHAR(65+VLOOKUP(H8,'imp-questions'!$A:$H,8,FALSE())))</f>
        <v>No</v>
      </c>
      <c r="I10" s="0" t="str">
        <f aca="true" t="array" ref="I10:I13">INDIRECT("Ans"&amp;CHAR(65+VLOOKUP(I8,'imp-questions'!$A:$H,8,FALSE())))</f>
        <v>No</v>
      </c>
      <c r="J10" s="0" t="str">
        <f aca="true" t="array" ref="J10:J13">INDIRECT("Ans"&amp;CHAR(65+VLOOKUP(J8,'imp-questions'!$A:$H,8,FALSE())))</f>
        <v>No</v>
      </c>
      <c r="K10" s="0" t="str">
        <f aca="true" t="array" ref="K10:K13">INDIRECT("Ans"&amp;CHAR(65+VLOOKUP(K8,'imp-questions'!$A:$H,8,FALSE())))</f>
        <v>No</v>
      </c>
      <c r="L10" s="0" t="str">
        <f aca="true" t="array" ref="L10:L13">INDIRECT("Ans"&amp;CHAR(65+VLOOKUP(L8,'imp-questions'!$A:$H,8,FALSE())))</f>
        <v>No</v>
      </c>
      <c r="M10" s="0" t="str">
        <f aca="true" t="array" ref="M10:M13">INDIRECT("Ans"&amp;CHAR(65+VLOOKUP(M8,'imp-questions'!$A:$H,8,FALSE())))</f>
        <v>No</v>
      </c>
      <c r="N10" s="0" t="str">
        <f aca="true" t="array" ref="N10:N13">INDIRECT("Ans"&amp;CHAR(65+VLOOKUP(N8,'imp-questions'!$A:$H,8,FALSE())))</f>
        <v>No</v>
      </c>
      <c r="O10" s="0" t="str">
        <f aca="true" t="array" ref="O10:O13">INDIRECT("Ans"&amp;CHAR(65+VLOOKUP(O8,'imp-questions'!$A:$H,8,FALSE())))</f>
        <v>No</v>
      </c>
      <c r="P10" s="0" t="str">
        <f aca="true" t="array" ref="P10:P13">INDIRECT("Ans"&amp;CHAR(65+VLOOKUP(P8,'imp-questions'!$A:$H,8,FALSE())))</f>
        <v>No</v>
      </c>
      <c r="Q10" s="0" t="str">
        <f aca="true" t="array" ref="Q10:Q13">INDIRECT("Ans"&amp;CHAR(65+VLOOKUP(Q8,'imp-questions'!$A:$H,8,FALSE())))</f>
        <v>No</v>
      </c>
      <c r="R10" s="0" t="str">
        <f aca="true" t="array" ref="R10:R13">INDIRECT("Ans"&amp;CHAR(65+VLOOKUP(R8,'imp-questions'!$A:$H,8,FALSE())))</f>
        <v>No</v>
      </c>
    </row>
    <row r="11" customFormat="false" ht="12" hidden="false" customHeight="false" outlineLevel="0" collapsed="false">
      <c r="A11" s="0" t="str">
        <v>Yes, for some applications</v>
      </c>
      <c r="B11" s="0" t="str">
        <v>Yes, for some applications</v>
      </c>
      <c r="C11" s="0" t="str">
        <v>Yes, for some applications</v>
      </c>
      <c r="D11" s="0" t="str">
        <v>Yes, for some of the technology domains</v>
      </c>
      <c r="E11" s="0" t="str">
        <v>Yes, for some applications</v>
      </c>
      <c r="F11" s="0" t="str">
        <v>Yes, for some applications</v>
      </c>
      <c r="G11" s="0" t="str">
        <v>Yes, for some applications</v>
      </c>
      <c r="H11" s="0" t="str">
        <v>Yes, some of the time</v>
      </c>
      <c r="I11" s="0" t="str">
        <v>Yes, some of the time</v>
      </c>
      <c r="J11" s="0" t="str">
        <v>Yes, some of the time</v>
      </c>
      <c r="K11" s="0" t="str">
        <v>Yes, for some applications</v>
      </c>
      <c r="L11" s="0" t="str">
        <v>Yes, some of the time</v>
      </c>
      <c r="M11" s="0" t="str">
        <v>Yes, some of them</v>
      </c>
      <c r="N11" s="0" t="str">
        <v>Yes, some of them</v>
      </c>
      <c r="O11" s="0" t="str">
        <v>Yes, for some applications</v>
      </c>
      <c r="P11" s="0" t="str">
        <v>Yes, for some applications</v>
      </c>
      <c r="Q11" s="0" t="str">
        <v>Yes, sporadically</v>
      </c>
      <c r="R11" s="0" t="str">
        <v>Yes, but review is ad-hoc</v>
      </c>
    </row>
    <row r="12" customFormat="false" ht="12" hidden="false" customHeight="false" outlineLevel="0" collapsed="false">
      <c r="A12" s="0" t="str">
        <v>Yes, for at least half of the applications</v>
      </c>
      <c r="B12" s="0" t="str">
        <v>Yes, for at least half of the applications</v>
      </c>
      <c r="C12" s="0" t="str">
        <v>Yes, for at least half of the applications</v>
      </c>
      <c r="D12" s="0" t="str">
        <v>Yes, for at least half of the technology domains</v>
      </c>
      <c r="E12" s="0" t="str">
        <v>Yes, for at least half of the applications</v>
      </c>
      <c r="F12" s="0" t="str">
        <v>Yes, for at least half of the applications</v>
      </c>
      <c r="G12" s="0" t="str">
        <v>Yes, for at least half of the applications</v>
      </c>
      <c r="H12" s="0" t="str">
        <v>Yes, at least half of the time</v>
      </c>
      <c r="I12" s="0" t="str">
        <v>Yes, at least half of the time</v>
      </c>
      <c r="J12" s="0" t="str">
        <v>Yes, at least half of the time</v>
      </c>
      <c r="K12" s="0" t="str">
        <v>Yes, for at least half of the applications</v>
      </c>
      <c r="L12" s="0" t="str">
        <v>Yes, at least half of the time</v>
      </c>
      <c r="M12" s="0" t="str">
        <v>Yes, at least half of them</v>
      </c>
      <c r="N12" s="0" t="str">
        <v>Yes, at least half of them</v>
      </c>
      <c r="O12" s="0" t="str">
        <v>Yes, for at least half of the applications</v>
      </c>
      <c r="P12" s="0" t="str">
        <v>Yes, for at least half of the applications</v>
      </c>
      <c r="Q12" s="0" t="str">
        <v>Yes, upon change of the application</v>
      </c>
      <c r="R12" s="0" t="str">
        <v>Yes, we review it at regular times</v>
      </c>
    </row>
    <row r="13" customFormat="false" ht="12" hidden="false" customHeight="false" outlineLevel="0" collapsed="false">
      <c r="A13" s="0" t="str">
        <v>Yes, for most or all of the applications</v>
      </c>
      <c r="B13" s="0" t="str">
        <v>Yes, for most or all of the applications</v>
      </c>
      <c r="C13" s="0" t="str">
        <v>Yes, for most or all of the applications</v>
      </c>
      <c r="D13" s="0" t="str">
        <v>Yes, for most or all of the technology domains</v>
      </c>
      <c r="E13" s="0" t="str">
        <v>Yes, for most or all of the applications</v>
      </c>
      <c r="F13" s="0" t="str">
        <v>Yes, for most or all of the applications</v>
      </c>
      <c r="G13" s="0" t="str">
        <v>Yes, for most or all of the applications</v>
      </c>
      <c r="H13" s="0" t="str">
        <v>Yes, most or all of the time</v>
      </c>
      <c r="I13" s="0" t="str">
        <v>Yes, most or all of the time</v>
      </c>
      <c r="J13" s="0" t="str">
        <v>Yes, most or all of the time</v>
      </c>
      <c r="K13" s="0" t="str">
        <v>Yes, for most or all of the applications</v>
      </c>
      <c r="L13" s="0" t="str">
        <v>Yes, most or all of the time</v>
      </c>
      <c r="M13" s="0" t="str">
        <v>Yes, most or all of them</v>
      </c>
      <c r="N13" s="0" t="str">
        <v>Yes, most or all of them</v>
      </c>
      <c r="O13" s="0" t="str">
        <v>Yes, for most or all of the applications</v>
      </c>
      <c r="P13" s="0" t="str">
        <v>Yes, for most or all of the applications</v>
      </c>
      <c r="Q13" s="0" t="str">
        <v>Yes, at least annually</v>
      </c>
      <c r="R13" s="0" t="str">
        <v>Yes, we review it at least annually</v>
      </c>
    </row>
    <row r="15" customFormat="false" ht="12" hidden="false" customHeight="false" outlineLevel="0" collapsed="false">
      <c r="A15" s="0" t="s">
        <v>160</v>
      </c>
      <c r="B15" s="0" t="s">
        <v>163</v>
      </c>
      <c r="C15" s="0" t="s">
        <v>161</v>
      </c>
      <c r="D15" s="0" t="s">
        <v>164</v>
      </c>
      <c r="E15" s="0" t="s">
        <v>162</v>
      </c>
      <c r="F15" s="0" t="s">
        <v>165</v>
      </c>
      <c r="G15" s="0" t="s">
        <v>148</v>
      </c>
      <c r="H15" s="0" t="s">
        <v>151</v>
      </c>
      <c r="I15" s="0" t="s">
        <v>149</v>
      </c>
      <c r="J15" s="0" t="s">
        <v>152</v>
      </c>
      <c r="K15" s="0" t="s">
        <v>150</v>
      </c>
      <c r="L15" s="0" t="s">
        <v>153</v>
      </c>
      <c r="M15" s="0" t="s">
        <v>154</v>
      </c>
      <c r="N15" s="0" t="s">
        <v>157</v>
      </c>
      <c r="O15" s="0" t="s">
        <v>155</v>
      </c>
      <c r="P15" s="0" t="s">
        <v>158</v>
      </c>
      <c r="Q15" s="0" t="s">
        <v>156</v>
      </c>
      <c r="R15" s="0" t="s">
        <v>159</v>
      </c>
    </row>
    <row r="17" customFormat="false" ht="12" hidden="false" customHeight="false" outlineLevel="0" collapsed="false">
      <c r="A17" s="0" t="str">
        <f aca="true" t="array" ref="A17:A20">INDIRECT("Ans"&amp;CHAR(65+VLOOKUP(A15,'imp-questions'!$A:$H,8,FALSE())))</f>
        <v>No</v>
      </c>
      <c r="B17" s="0" t="str">
        <f aca="true" t="array" ref="B17:B20">INDIRECT("Ans"&amp;CHAR(65+VLOOKUP(B15,'imp-questions'!$A:$H,8,FALSE())))</f>
        <v>No</v>
      </c>
      <c r="C17" s="0" t="str">
        <f aca="true" t="array" ref="C17:C20">INDIRECT("Ans"&amp;CHAR(65+VLOOKUP(C15,'imp-questions'!$A:$H,8,FALSE())))</f>
        <v>No</v>
      </c>
      <c r="D17" s="0" t="str">
        <f aca="true" t="array" ref="D17:D20">INDIRECT("Ans"&amp;CHAR(65+VLOOKUP(D15,'imp-questions'!$A:$H,8,FALSE())))</f>
        <v>No</v>
      </c>
      <c r="E17" s="0" t="str">
        <f aca="true" t="array" ref="E17:E20">INDIRECT("Ans"&amp;CHAR(65+VLOOKUP(E15,'imp-questions'!$A:$H,8,FALSE())))</f>
        <v>No</v>
      </c>
      <c r="F17" s="0" t="str">
        <f aca="true" t="array" ref="F17:F20">INDIRECT("Ans"&amp;CHAR(65+VLOOKUP(F15,'imp-questions'!$A:$H,8,FALSE())))</f>
        <v>No</v>
      </c>
      <c r="G17" s="0" t="str">
        <f aca="true" t="array" ref="G17:G20">INDIRECT("Ans"&amp;CHAR(65+VLOOKUP(G15,'imp-questions'!$A:$H,8,FALSE())))</f>
        <v>No</v>
      </c>
      <c r="H17" s="0" t="str">
        <f aca="true" t="array" ref="H17:H20">INDIRECT("Ans"&amp;CHAR(65+VLOOKUP(H15,'imp-questions'!$A:$H,8,FALSE())))</f>
        <v>No</v>
      </c>
      <c r="I17" s="0" t="str">
        <f aca="true" t="array" ref="I17:I20">INDIRECT("Ans"&amp;CHAR(65+VLOOKUP(I15,'imp-questions'!$A:$H,8,FALSE())))</f>
        <v>No</v>
      </c>
      <c r="J17" s="0" t="str">
        <f aca="true" t="array" ref="J17:J20">INDIRECT("Ans"&amp;CHAR(65+VLOOKUP(J15,'imp-questions'!$A:$H,8,FALSE())))</f>
        <v>No</v>
      </c>
      <c r="K17" s="0" t="str">
        <f aca="true" t="array" ref="K17:K20">INDIRECT("Ans"&amp;CHAR(65+VLOOKUP(K15,'imp-questions'!$A:$H,8,FALSE())))</f>
        <v>No</v>
      </c>
      <c r="L17" s="0" t="str">
        <f aca="true" t="array" ref="L17:L20">INDIRECT("Ans"&amp;CHAR(65+VLOOKUP(L15,'imp-questions'!$A:$H,8,FALSE())))</f>
        <v>No</v>
      </c>
      <c r="M17" s="0" t="str">
        <f aca="true" t="array" ref="M17:M20">INDIRECT("Ans"&amp;CHAR(65+VLOOKUP(M15,'imp-questions'!$A:$H,8,FALSE())))</f>
        <v>No</v>
      </c>
      <c r="N17" s="0" t="str">
        <f aca="true" t="array" ref="N17:N20">INDIRECT("Ans"&amp;CHAR(65+VLOOKUP(N15,'imp-questions'!$A:$H,8,FALSE())))</f>
        <v>No</v>
      </c>
      <c r="O17" s="0" t="str">
        <f aca="true" t="array" ref="O17:O20">INDIRECT("Ans"&amp;CHAR(65+VLOOKUP(O15,'imp-questions'!$A:$H,8,FALSE())))</f>
        <v>No</v>
      </c>
      <c r="P17" s="0" t="str">
        <f aca="true" t="array" ref="P17:P20">INDIRECT("Ans"&amp;CHAR(65+VLOOKUP(P15,'imp-questions'!$A:$H,8,FALSE())))</f>
        <v>No</v>
      </c>
      <c r="Q17" s="0" t="str">
        <f aca="true" t="array" ref="Q17:Q20">INDIRECT("Ans"&amp;CHAR(65+VLOOKUP(Q15,'imp-questions'!$A:$H,8,FALSE())))</f>
        <v>No</v>
      </c>
      <c r="R17" s="0" t="str">
        <f aca="true" t="array" ref="R17:R20">INDIRECT("Ans"&amp;CHAR(65+VLOOKUP(R15,'imp-questions'!$A:$H,8,FALSE())))</f>
        <v>No</v>
      </c>
    </row>
    <row r="18" customFormat="false" ht="12" hidden="false" customHeight="false" outlineLevel="0" collapsed="false">
      <c r="A18" s="0" t="str">
        <v>Yes, for some applications</v>
      </c>
      <c r="B18" s="0" t="str">
        <v>Yes, for some applications</v>
      </c>
      <c r="C18" s="0" t="str">
        <v>Yes, for some applications</v>
      </c>
      <c r="D18" s="0" t="str">
        <v>Yes, for some applications</v>
      </c>
      <c r="E18" s="0" t="str">
        <v>Yes, for some applications</v>
      </c>
      <c r="F18" s="0" t="str">
        <v>Yes, for some applications</v>
      </c>
      <c r="G18" s="0" t="str">
        <v>Yes, for some applications</v>
      </c>
      <c r="H18" s="0" t="str">
        <v>Yes, for some applications</v>
      </c>
      <c r="I18" s="0" t="str">
        <v>Yes, for some applications</v>
      </c>
      <c r="J18" s="0" t="str">
        <v>Yes, for some applications</v>
      </c>
      <c r="K18" s="0" t="str">
        <v>Yes, for some applications</v>
      </c>
      <c r="L18" s="0" t="str">
        <v>Yes, for some applications</v>
      </c>
      <c r="M18" s="0" t="str">
        <v>Yes, for some applications</v>
      </c>
      <c r="N18" s="0" t="str">
        <v>Yes, for some applications</v>
      </c>
      <c r="O18" s="0" t="str">
        <v>Yes, for some applications</v>
      </c>
      <c r="P18" s="0" t="str">
        <v>Yes, for some applications</v>
      </c>
      <c r="Q18" s="0" t="str">
        <v>Yes, for some applications</v>
      </c>
      <c r="R18" s="0" t="str">
        <v>Yes, for some applications</v>
      </c>
    </row>
    <row r="19" customFormat="false" ht="12" hidden="false" customHeight="false" outlineLevel="0" collapsed="false">
      <c r="A19" s="0" t="str">
        <v>Yes, for at least half of the applications</v>
      </c>
      <c r="B19" s="0" t="str">
        <v>Yes, for at least half of the applications</v>
      </c>
      <c r="C19" s="0" t="str">
        <v>Yes, for at least half of the applications</v>
      </c>
      <c r="D19" s="0" t="str">
        <v>Yes, for at least half of the applications</v>
      </c>
      <c r="E19" s="0" t="str">
        <v>Yes, for at least half of the applications</v>
      </c>
      <c r="F19" s="0" t="str">
        <v>Yes, for at least half of the applications</v>
      </c>
      <c r="G19" s="0" t="str">
        <v>Yes, for at least half of the applications</v>
      </c>
      <c r="H19" s="0" t="str">
        <v>Yes, for at least half of the applications</v>
      </c>
      <c r="I19" s="0" t="str">
        <v>Yes, for at least half of the applications</v>
      </c>
      <c r="J19" s="0" t="str">
        <v>Yes, for at least half of the applications</v>
      </c>
      <c r="K19" s="0" t="str">
        <v>Yes, for at least half of the applications</v>
      </c>
      <c r="L19" s="0" t="str">
        <v>Yes, for at least half of the applications</v>
      </c>
      <c r="M19" s="0" t="str">
        <v>Yes, for at least half of the applications</v>
      </c>
      <c r="N19" s="0" t="str">
        <v>Yes, for at least half of the applications</v>
      </c>
      <c r="O19" s="0" t="str">
        <v>Yes, for at least half of the applications</v>
      </c>
      <c r="P19" s="0" t="str">
        <v>Yes, for at least half of the applications</v>
      </c>
      <c r="Q19" s="0" t="str">
        <v>Yes, for at least half of the applications</v>
      </c>
      <c r="R19" s="0" t="str">
        <v>Yes, for at least half of the applications</v>
      </c>
    </row>
    <row r="20" customFormat="false" ht="12" hidden="false" customHeight="false" outlineLevel="0" collapsed="false">
      <c r="A20" s="0" t="str">
        <v>Yes, for most or all of the applications</v>
      </c>
      <c r="B20" s="0" t="str">
        <v>Yes, for most or all of the applications</v>
      </c>
      <c r="C20" s="0" t="str">
        <v>Yes, for most or all of the applications</v>
      </c>
      <c r="D20" s="0" t="str">
        <v>Yes, for most or all of the applications</v>
      </c>
      <c r="E20" s="0" t="str">
        <v>Yes, for most or all of the applications</v>
      </c>
      <c r="F20" s="0" t="str">
        <v>Yes, for most or all of the applications</v>
      </c>
      <c r="G20" s="0" t="str">
        <v>Yes, for most or all of the applications</v>
      </c>
      <c r="H20" s="0" t="str">
        <v>Yes, for most or all of the applications</v>
      </c>
      <c r="I20" s="0" t="str">
        <v>Yes, for most or all of the applications</v>
      </c>
      <c r="J20" s="0" t="str">
        <v>Yes, for most or all of the applications</v>
      </c>
      <c r="K20" s="0" t="str">
        <v>Yes, for most or all of the applications</v>
      </c>
      <c r="L20" s="0" t="str">
        <v>Yes, for most or all of the applications</v>
      </c>
      <c r="M20" s="0" t="str">
        <v>Yes, for most or all of the applications</v>
      </c>
      <c r="N20" s="0" t="str">
        <v>Yes, for most or all of the applications</v>
      </c>
      <c r="O20" s="0" t="str">
        <v>Yes, for most or all of the applications</v>
      </c>
      <c r="P20" s="0" t="str">
        <v>Yes, for most or all of the applications</v>
      </c>
      <c r="Q20" s="0" t="str">
        <v>Yes, for most or all of the applications</v>
      </c>
      <c r="R20" s="0" t="str">
        <v>Yes, for most or all of the applications</v>
      </c>
    </row>
    <row r="22" customFormat="false" ht="12" hidden="false" customHeight="false" outlineLevel="0" collapsed="false">
      <c r="A22" s="0" t="s">
        <v>166</v>
      </c>
      <c r="B22" s="0" t="s">
        <v>169</v>
      </c>
      <c r="C22" s="0" t="s">
        <v>167</v>
      </c>
      <c r="D22" s="0" t="s">
        <v>170</v>
      </c>
      <c r="E22" s="0" t="s">
        <v>168</v>
      </c>
      <c r="F22" s="0" t="s">
        <v>171</v>
      </c>
      <c r="G22" s="0" t="s">
        <v>172</v>
      </c>
      <c r="H22" s="0" t="s">
        <v>175</v>
      </c>
      <c r="I22" s="0" t="s">
        <v>173</v>
      </c>
      <c r="J22" s="0" t="s">
        <v>176</v>
      </c>
      <c r="K22" s="0" t="s">
        <v>174</v>
      </c>
      <c r="L22" s="0" t="s">
        <v>177</v>
      </c>
      <c r="M22" s="0" t="s">
        <v>178</v>
      </c>
      <c r="N22" s="0" t="s">
        <v>181</v>
      </c>
      <c r="O22" s="0" t="s">
        <v>179</v>
      </c>
      <c r="P22" s="0" t="s">
        <v>182</v>
      </c>
      <c r="Q22" s="0" t="s">
        <v>180</v>
      </c>
      <c r="R22" s="0" t="s">
        <v>183</v>
      </c>
    </row>
    <row r="24" customFormat="false" ht="12" hidden="false" customHeight="false" outlineLevel="0" collapsed="false">
      <c r="A24" s="0" t="str">
        <f aca="true" t="array" ref="A24:A27">INDIRECT("Ans"&amp;CHAR(65+VLOOKUP(A22,'imp-questions'!$A:$H,8,FALSE())))</f>
        <v>No</v>
      </c>
      <c r="B24" s="0" t="str">
        <f aca="true" t="array" ref="B24:B27">INDIRECT("Ans"&amp;CHAR(65+VLOOKUP(B22,'imp-questions'!$A:$H,8,FALSE())))</f>
        <v>No</v>
      </c>
      <c r="C24" s="0" t="str">
        <f aca="true" t="array" ref="C24:C27">INDIRECT("Ans"&amp;CHAR(65+VLOOKUP(C22,'imp-questions'!$A:$H,8,FALSE())))</f>
        <v>No</v>
      </c>
      <c r="D24" s="0" t="str">
        <f aca="true" t="array" ref="D24:D27">INDIRECT("Ans"&amp;CHAR(65+VLOOKUP(D22,'imp-questions'!$A:$H,8,FALSE())))</f>
        <v>No</v>
      </c>
      <c r="E24" s="0" t="str">
        <f aca="true" t="array" ref="E24:E27">INDIRECT("Ans"&amp;CHAR(65+VLOOKUP(E22,'imp-questions'!$A:$H,8,FALSE())))</f>
        <v>No</v>
      </c>
      <c r="F24" s="0" t="str">
        <f aca="true" t="array" ref="F24:F27">INDIRECT("Ans"&amp;CHAR(65+VLOOKUP(F22,'imp-questions'!$A:$H,8,FALSE())))</f>
        <v>No</v>
      </c>
      <c r="G24" s="0" t="str">
        <f aca="true" t="array" ref="G24:G27">INDIRECT("Ans"&amp;CHAR(65+VLOOKUP(G22,'imp-questions'!$A:$H,8,FALSE())))</f>
        <v>No</v>
      </c>
      <c r="H24" s="0" t="str">
        <f aca="true" t="array" ref="H24:H27">INDIRECT("Ans"&amp;CHAR(65+VLOOKUP(H22,'imp-questions'!$A:$H,8,FALSE())))</f>
        <v>No</v>
      </c>
      <c r="I24" s="0" t="str">
        <f aca="true" t="array" ref="I24:I27">INDIRECT("Ans"&amp;CHAR(65+VLOOKUP(I22,'imp-questions'!$A:$H,8,FALSE())))</f>
        <v>No</v>
      </c>
      <c r="J24" s="0" t="str">
        <f aca="true" t="array" ref="J24:J27">INDIRECT("Ans"&amp;CHAR(65+VLOOKUP(J22,'imp-questions'!$A:$H,8,FALSE())))</f>
        <v>No</v>
      </c>
      <c r="K24" s="0" t="str">
        <f aca="true" t="array" ref="K24:K27">INDIRECT("Ans"&amp;CHAR(65+VLOOKUP(K22,'imp-questions'!$A:$H,8,FALSE())))</f>
        <v>No</v>
      </c>
      <c r="L24" s="0" t="str">
        <f aca="true" t="array" ref="L24:L27">INDIRECT("Ans"&amp;CHAR(65+VLOOKUP(L22,'imp-questions'!$A:$H,8,FALSE())))</f>
        <v>No</v>
      </c>
      <c r="M24" s="0" t="str">
        <f aca="true" t="array" ref="M24:M27">INDIRECT("Ans"&amp;CHAR(65+VLOOKUP(M22,'imp-questions'!$A:$H,8,FALSE())))</f>
        <v>No</v>
      </c>
      <c r="N24" s="0" t="str">
        <f aca="true" t="array" ref="N24:N27">INDIRECT("Ans"&amp;CHAR(65+VLOOKUP(N22,'imp-questions'!$A:$H,8,FALSE())))</f>
        <v>No</v>
      </c>
      <c r="O24" s="0" t="str">
        <f aca="true" t="array" ref="O24:O27">INDIRECT("Ans"&amp;CHAR(65+VLOOKUP(O22,'imp-questions'!$A:$H,8,FALSE())))</f>
        <v>No</v>
      </c>
      <c r="P24" s="0" t="str">
        <f aca="true" t="array" ref="P24:P27">INDIRECT("Ans"&amp;CHAR(65+VLOOKUP(P22,'imp-questions'!$A:$H,8,FALSE())))</f>
        <v>No</v>
      </c>
      <c r="Q24" s="0" t="str">
        <f aca="true" t="array" ref="Q24:Q27">INDIRECT("Ans"&amp;CHAR(65+VLOOKUP(Q22,'imp-questions'!$A:$H,8,FALSE())))</f>
        <v>No</v>
      </c>
      <c r="R24" s="0" t="str">
        <f aca="true" t="array" ref="R24:R27">INDIRECT("Ans"&amp;CHAR(65+VLOOKUP(R22,'imp-questions'!$A:$H,8,FALSE())))</f>
        <v>No</v>
      </c>
    </row>
    <row r="25" customFormat="false" ht="12" hidden="false" customHeight="false" outlineLevel="0" collapsed="false">
      <c r="A25" s="0" t="str">
        <v>Yes, for some applications</v>
      </c>
      <c r="B25" s="0" t="str">
        <v>Yes, for some applications</v>
      </c>
      <c r="C25" s="0" t="str">
        <v>Yes, for some applications</v>
      </c>
      <c r="D25" s="0" t="str">
        <v>Yes, for some applications</v>
      </c>
      <c r="E25" s="0" t="str">
        <v>Yes, for some applications</v>
      </c>
      <c r="F25" s="0" t="str">
        <v>Yes, for some applications</v>
      </c>
      <c r="G25" s="0" t="str">
        <v>Yes, some of them</v>
      </c>
      <c r="H25" s="0" t="str">
        <v>Yes, for some applications</v>
      </c>
      <c r="I25" s="0" t="str">
        <v>Yes, some of them</v>
      </c>
      <c r="J25" s="0" t="str">
        <v>Yes, some of the time</v>
      </c>
      <c r="K25" s="0" t="str">
        <v>Yes, for some applications</v>
      </c>
      <c r="L25" s="0" t="str">
        <v>Yes, some of the time</v>
      </c>
      <c r="M25" s="0" t="str">
        <v>Yes, some of them</v>
      </c>
      <c r="N25" s="0" t="str">
        <v>Yes, for some components</v>
      </c>
      <c r="O25" s="0" t="str">
        <v>Yes, some of them</v>
      </c>
      <c r="P25" s="0" t="str">
        <v>Yes, for some applications</v>
      </c>
      <c r="Q25" s="0" t="str">
        <v>Yes, some of it</v>
      </c>
      <c r="R25" s="0" t="str">
        <v>Yes, but we improve it ad-hoc</v>
      </c>
    </row>
    <row r="26" customFormat="false" ht="12" hidden="false" customHeight="false" outlineLevel="0" collapsed="false">
      <c r="A26" s="0" t="str">
        <v>Yes, for at least half of the applications</v>
      </c>
      <c r="B26" s="0" t="str">
        <v>Yes, for at least half of the applications</v>
      </c>
      <c r="C26" s="0" t="str">
        <v>Yes, for at least half of the applications</v>
      </c>
      <c r="D26" s="0" t="str">
        <v>Yes, for at least half of the applications</v>
      </c>
      <c r="E26" s="0" t="str">
        <v>Yes, for at least half of the applications</v>
      </c>
      <c r="F26" s="0" t="str">
        <v>Yes, for at least half of the applications</v>
      </c>
      <c r="G26" s="0" t="str">
        <v>Yes, at least half of them</v>
      </c>
      <c r="H26" s="0" t="str">
        <v>Yes, for at least half of the applications</v>
      </c>
      <c r="I26" s="0" t="str">
        <v>Yes, at least half of them</v>
      </c>
      <c r="J26" s="0" t="str">
        <v>Yes, at least half of the time</v>
      </c>
      <c r="K26" s="0" t="str">
        <v>Yes, for at least half of the applications</v>
      </c>
      <c r="L26" s="0" t="str">
        <v>Yes, at least half of the time</v>
      </c>
      <c r="M26" s="0" t="str">
        <v>Yes, at least half of them</v>
      </c>
      <c r="N26" s="0" t="str">
        <v>Yes, for at least half of the components</v>
      </c>
      <c r="O26" s="0" t="str">
        <v>Yes, at least half of them</v>
      </c>
      <c r="P26" s="0" t="str">
        <v>Yes, for at least half of the applications</v>
      </c>
      <c r="Q26" s="0" t="str">
        <v>Yes, at least half of it</v>
      </c>
      <c r="R26" s="0" t="str">
        <v>Yes, we improve it at regular times</v>
      </c>
    </row>
    <row r="27" customFormat="false" ht="12" hidden="false" customHeight="false" outlineLevel="0" collapsed="false">
      <c r="A27" s="0" t="str">
        <v>Yes, for most or all of the applications</v>
      </c>
      <c r="B27" s="0" t="str">
        <v>Yes, for most or all of the applications</v>
      </c>
      <c r="C27" s="0" t="str">
        <v>Yes, for most or all of the applications</v>
      </c>
      <c r="D27" s="0" t="str">
        <v>Yes, for most or all of the applications</v>
      </c>
      <c r="E27" s="0" t="str">
        <v>Yes, for most or all of the applications</v>
      </c>
      <c r="F27" s="0" t="str">
        <v>Yes, for most or all of the applications</v>
      </c>
      <c r="G27" s="0" t="str">
        <v>Yes, most or all of them</v>
      </c>
      <c r="H27" s="0" t="str">
        <v>Yes, for most or all of the applications</v>
      </c>
      <c r="I27" s="0" t="str">
        <v>Yes, most or all of them</v>
      </c>
      <c r="J27" s="0" t="str">
        <v>Yes, most or all of the time</v>
      </c>
      <c r="K27" s="0" t="str">
        <v>Yes, for most or all of the applications</v>
      </c>
      <c r="L27" s="0" t="str">
        <v>Yes, most or all of the time</v>
      </c>
      <c r="M27" s="0" t="str">
        <v>Yes, most or all of them</v>
      </c>
      <c r="N27" s="0" t="str">
        <v>Yes, for most or all of the components</v>
      </c>
      <c r="O27" s="0" t="str">
        <v>Yes, most or all of them</v>
      </c>
      <c r="P27" s="0" t="str">
        <v>Yes, for most or all of the applications</v>
      </c>
      <c r="Q27" s="0" t="str">
        <v>Yes, most or all of it</v>
      </c>
      <c r="R27" s="0" t="str">
        <v>Yes, we improve it at least annually</v>
      </c>
    </row>
    <row r="29" customFormat="false" ht="12" hidden="false" customHeight="false" outlineLevel="0" collapsed="false">
      <c r="A29" s="0" t="s">
        <v>190</v>
      </c>
      <c r="B29" s="0" t="s">
        <v>193</v>
      </c>
      <c r="C29" s="0" t="s">
        <v>191</v>
      </c>
      <c r="D29" s="0" t="s">
        <v>194</v>
      </c>
      <c r="E29" s="0" t="s">
        <v>192</v>
      </c>
      <c r="F29" s="0" t="s">
        <v>195</v>
      </c>
      <c r="G29" s="0" t="s">
        <v>184</v>
      </c>
      <c r="H29" s="0" t="s">
        <v>187</v>
      </c>
      <c r="I29" s="0" t="s">
        <v>185</v>
      </c>
      <c r="J29" s="0" t="s">
        <v>188</v>
      </c>
      <c r="K29" s="0" t="s">
        <v>186</v>
      </c>
      <c r="L29" s="0" t="s">
        <v>189</v>
      </c>
      <c r="M29" s="0" t="s">
        <v>196</v>
      </c>
      <c r="N29" s="0" t="s">
        <v>199</v>
      </c>
      <c r="O29" s="0" t="s">
        <v>197</v>
      </c>
      <c r="P29" s="0" t="s">
        <v>200</v>
      </c>
      <c r="Q29" s="0" t="s">
        <v>198</v>
      </c>
      <c r="R29" s="0" t="s">
        <v>201</v>
      </c>
    </row>
    <row r="31" customFormat="false" ht="12" hidden="false" customHeight="false" outlineLevel="0" collapsed="false">
      <c r="A31" s="0" t="str">
        <f aca="true" t="array" ref="A31:A34">INDIRECT("Ans"&amp;CHAR(65+VLOOKUP(A29,'imp-questions'!$A:$H,8,FALSE())))</f>
        <v>No</v>
      </c>
      <c r="B31" s="0" t="str">
        <f aca="true" t="array" ref="B31:B34">INDIRECT("Ans"&amp;CHAR(65+VLOOKUP(B29,'imp-questions'!$A:$H,8,FALSE())))</f>
        <v>No</v>
      </c>
      <c r="C31" s="0" t="str">
        <f aca="true" t="array" ref="C31:C34">INDIRECT("Ans"&amp;CHAR(65+VLOOKUP(C29,'imp-questions'!$A:$H,8,FALSE())))</f>
        <v>No</v>
      </c>
      <c r="D31" s="0" t="str">
        <f aca="true" t="array" ref="D31:D34">INDIRECT("Ans"&amp;CHAR(65+VLOOKUP(D29,'imp-questions'!$A:$H,8,FALSE())))</f>
        <v>No</v>
      </c>
      <c r="E31" s="0" t="str">
        <f aca="true" t="array" ref="E31:E34">INDIRECT("Ans"&amp;CHAR(65+VLOOKUP(E29,'imp-questions'!$A:$H,8,FALSE())))</f>
        <v>No</v>
      </c>
      <c r="F31" s="0" t="str">
        <f aca="true" t="array" ref="F31:F34">INDIRECT("Ans"&amp;CHAR(65+VLOOKUP(F29,'imp-questions'!$A:$H,8,FALSE())))</f>
        <v>No</v>
      </c>
      <c r="G31" s="0" t="str">
        <f aca="true" t="array" ref="G31:G34">INDIRECT("Ans"&amp;CHAR(65+VLOOKUP(G29,'imp-questions'!$A:$H,8,FALSE())))</f>
        <v>No</v>
      </c>
      <c r="H31" s="0" t="str">
        <f aca="true" t="array" ref="H31:H34">INDIRECT("Ans"&amp;CHAR(65+VLOOKUP(H29,'imp-questions'!$A:$H,8,FALSE())))</f>
        <v>No</v>
      </c>
      <c r="I31" s="0" t="str">
        <f aca="true" t="array" ref="I31:I34">INDIRECT("Ans"&amp;CHAR(65+VLOOKUP(I29,'imp-questions'!$A:$H,8,FALSE())))</f>
        <v>No</v>
      </c>
      <c r="J31" s="0" t="str">
        <f aca="true" t="array" ref="J31:J34">INDIRECT("Ans"&amp;CHAR(65+VLOOKUP(J29,'imp-questions'!$A:$H,8,FALSE())))</f>
        <v>No</v>
      </c>
      <c r="K31" s="0" t="str">
        <f aca="true" t="array" ref="K31:K34">INDIRECT("Ans"&amp;CHAR(65+VLOOKUP(K29,'imp-questions'!$A:$H,8,FALSE())))</f>
        <v>No</v>
      </c>
      <c r="L31" s="0" t="str">
        <f aca="true" t="array" ref="L31:L34">INDIRECT("Ans"&amp;CHAR(65+VLOOKUP(L29,'imp-questions'!$A:$H,8,FALSE())))</f>
        <v>No</v>
      </c>
      <c r="M31" s="0" t="str">
        <f aca="true" t="array" ref="M31:M34">INDIRECT("Ans"&amp;CHAR(65+VLOOKUP(M29,'imp-questions'!$A:$H,8,FALSE())))</f>
        <v>No</v>
      </c>
      <c r="N31" s="0" t="str">
        <f aca="true" t="array" ref="N31:N34">INDIRECT("Ans"&amp;CHAR(65+VLOOKUP(N29,'imp-questions'!$A:$H,8,FALSE())))</f>
        <v>No</v>
      </c>
      <c r="O31" s="0" t="str">
        <f aca="true" t="array" ref="O31:O34">INDIRECT("Ans"&amp;CHAR(65+VLOOKUP(O29,'imp-questions'!$A:$H,8,FALSE())))</f>
        <v>No</v>
      </c>
      <c r="P31" s="0" t="str">
        <f aca="true" t="array" ref="P31:P34">INDIRECT("Ans"&amp;CHAR(65+VLOOKUP(P29,'imp-questions'!$A:$H,8,FALSE())))</f>
        <v>No</v>
      </c>
      <c r="Q31" s="0" t="str">
        <f aca="true" t="array" ref="Q31:Q34">INDIRECT("Ans"&amp;CHAR(65+VLOOKUP(Q29,'imp-questions'!$A:$H,8,FALSE())))</f>
        <v>No</v>
      </c>
      <c r="R31" s="0" t="str">
        <f aca="true" t="array" ref="R31:R34">INDIRECT("Ans"&amp;CHAR(65+VLOOKUP(R29,'imp-questions'!$A:$H,8,FALSE())))</f>
        <v>No</v>
      </c>
    </row>
    <row r="32" customFormat="false" ht="12" hidden="false" customHeight="false" outlineLevel="0" collapsed="false">
      <c r="A32" s="0" t="str">
        <v>Yes, for some components</v>
      </c>
      <c r="B32" s="0" t="str">
        <v>Yes, for some components</v>
      </c>
      <c r="C32" s="0" t="str">
        <v>Yes, for some components</v>
      </c>
      <c r="D32" s="0" t="str">
        <v>Yes, for some components</v>
      </c>
      <c r="E32" s="0" t="str">
        <v>Yes, for some components</v>
      </c>
      <c r="F32" s="0" t="str">
        <v>Yes, for some components</v>
      </c>
      <c r="G32" s="0" t="str">
        <v>Yes, for some applications</v>
      </c>
      <c r="H32" s="0" t="str">
        <v>Yes, for some incidents</v>
      </c>
      <c r="I32" s="0" t="str">
        <v>Yes, for some applications</v>
      </c>
      <c r="J32" s="0" t="str">
        <v>Yes, for some incident types</v>
      </c>
      <c r="K32" s="0" t="str">
        <v>Yes, for some applications</v>
      </c>
      <c r="L32" s="0" t="str">
        <v>Yes, some of the time</v>
      </c>
      <c r="M32" s="0" t="str">
        <v>Yes, for some applications</v>
      </c>
      <c r="N32" s="0" t="str">
        <v>Yes, for some applications</v>
      </c>
      <c r="O32" s="0" t="str">
        <v>Yes, for some of our data</v>
      </c>
      <c r="P32" s="0" t="str">
        <v>Yes, some of the time</v>
      </c>
      <c r="Q32" s="0" t="str">
        <v>Yes, we do it when requested</v>
      </c>
      <c r="R32" s="0" t="str">
        <v>Yes, for some of the assets</v>
      </c>
    </row>
    <row r="33" customFormat="false" ht="12" hidden="false" customHeight="false" outlineLevel="0" collapsed="false">
      <c r="A33" s="0" t="str">
        <v>Yes, for at least half of the components</v>
      </c>
      <c r="B33" s="0" t="str">
        <v>Yes, for at least half of the components</v>
      </c>
      <c r="C33" s="0" t="str">
        <v>Yes, for at least half of the components</v>
      </c>
      <c r="D33" s="0" t="str">
        <v>Yes, for at least half of the components</v>
      </c>
      <c r="E33" s="0" t="str">
        <v>Yes, for at least half of the components</v>
      </c>
      <c r="F33" s="0" t="str">
        <v>Yes, for at least half of the components</v>
      </c>
      <c r="G33" s="0" t="str">
        <v>Yes, for at least half of the applications</v>
      </c>
      <c r="H33" s="0" t="str">
        <v>Yes, for at least half of the incidents</v>
      </c>
      <c r="I33" s="0" t="str">
        <v>Yes, for at least half of the applications</v>
      </c>
      <c r="J33" s="0" t="str">
        <v>Yes, for at least half of the incident types</v>
      </c>
      <c r="K33" s="0" t="str">
        <v>Yes, for at least half of the applications</v>
      </c>
      <c r="L33" s="0" t="str">
        <v>Yes, at least half of the time</v>
      </c>
      <c r="M33" s="0" t="str">
        <v>Yes, for at least half of the applications</v>
      </c>
      <c r="N33" s="0" t="str">
        <v>Yes, for at least half of the applications</v>
      </c>
      <c r="O33" s="0" t="str">
        <v>Yes, for at least half of our data</v>
      </c>
      <c r="P33" s="0" t="str">
        <v>Yes, at least half of the time</v>
      </c>
      <c r="Q33" s="0" t="str">
        <v>Yes, we do it every few years</v>
      </c>
      <c r="R33" s="0" t="str">
        <v>Yes, for at least half of the assets</v>
      </c>
    </row>
    <row r="34" customFormat="false" ht="12" hidden="false" customHeight="false" outlineLevel="0" collapsed="false">
      <c r="A34" s="0" t="str">
        <v>Yes, for most or all of the components</v>
      </c>
      <c r="B34" s="0" t="str">
        <v>Yes, for most or all of the components</v>
      </c>
      <c r="C34" s="0" t="str">
        <v>Yes, for most or all of the components</v>
      </c>
      <c r="D34" s="0" t="str">
        <v>Yes, for most or all of the components</v>
      </c>
      <c r="E34" s="0" t="str">
        <v>Yes, for most or all of the components</v>
      </c>
      <c r="F34" s="0" t="str">
        <v>Yes, for most or all of the components</v>
      </c>
      <c r="G34" s="0" t="str">
        <v>Yes, for most or all of the applications</v>
      </c>
      <c r="H34" s="0" t="str">
        <v>Yes, for most or all of the incidents</v>
      </c>
      <c r="I34" s="0" t="str">
        <v>Yes, for most or all of the applications</v>
      </c>
      <c r="J34" s="0" t="str">
        <v>Yes, for most or all of the incident types</v>
      </c>
      <c r="K34" s="0" t="str">
        <v>Yes, for most or all of the applications</v>
      </c>
      <c r="L34" s="0" t="str">
        <v>Yes, most or all of the time</v>
      </c>
      <c r="M34" s="0" t="str">
        <v>Yes, for most or all of the applications</v>
      </c>
      <c r="N34" s="0" t="str">
        <v>Yes, for most or all of the applications</v>
      </c>
      <c r="O34" s="0" t="str">
        <v>Yes, for most or all of our data</v>
      </c>
      <c r="P34" s="0" t="str">
        <v>Yes, most or all of the time</v>
      </c>
      <c r="Q34" s="0" t="str">
        <v>Yes, we do it at least annually</v>
      </c>
      <c r="R34" s="0" t="str">
        <v>Yes, for most or all of the assets</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3828125" defaultRowHeight="12" customHeight="true" zeroHeight="false" outlineLevelRow="0" outlineLevelCol="0"/>
  <cols>
    <col collapsed="false" customWidth="true" hidden="false" outlineLevel="0" max="1" min="1" style="0" width="15.85"/>
    <col collapsed="false" customWidth="true" hidden="false" outlineLevel="0" max="3" min="3" style="0" width="33.38"/>
    <col collapsed="false" customWidth="true" hidden="false" outlineLevel="0" max="4" min="4" style="0" width="27.38"/>
    <col collapsed="false" customWidth="true" hidden="false" outlineLevel="0" max="5" min="5" style="0" width="29.53"/>
  </cols>
  <sheetData>
    <row r="1" customFormat="false" ht="12" hidden="false" customHeight="false" outlineLevel="0" collapsed="false">
      <c r="A1" s="0" t="s">
        <v>539</v>
      </c>
      <c r="B1" s="0" t="s">
        <v>274</v>
      </c>
      <c r="C1" s="0" t="s">
        <v>282</v>
      </c>
      <c r="D1" s="0" t="s">
        <v>289</v>
      </c>
      <c r="E1" s="0" t="s">
        <v>297</v>
      </c>
      <c r="F1" s="0" t="s">
        <v>540</v>
      </c>
      <c r="G1" s="0" t="s">
        <v>541</v>
      </c>
      <c r="H1" s="0" t="s">
        <v>542</v>
      </c>
      <c r="I1" s="0" t="s">
        <v>543</v>
      </c>
    </row>
    <row r="2" customFormat="false" ht="12" hidden="false" customHeight="false" outlineLevel="0" collapsed="false">
      <c r="A2" s="0" t="n">
        <v>0</v>
      </c>
      <c r="B2" s="0" t="s">
        <v>275</v>
      </c>
      <c r="C2" s="0" t="s">
        <v>544</v>
      </c>
      <c r="D2" s="0" t="s">
        <v>545</v>
      </c>
      <c r="E2" s="0" t="s">
        <v>546</v>
      </c>
      <c r="F2" s="0" t="n">
        <v>0</v>
      </c>
      <c r="G2" s="0" t="n">
        <v>0.25</v>
      </c>
      <c r="H2" s="0" t="n">
        <v>0.5</v>
      </c>
      <c r="I2" s="0" t="n">
        <v>1</v>
      </c>
    </row>
    <row r="3" customFormat="false" ht="12" hidden="false" customHeight="false" outlineLevel="0" collapsed="false">
      <c r="A3" s="0" t="n">
        <v>1</v>
      </c>
      <c r="B3" s="0" t="s">
        <v>275</v>
      </c>
      <c r="C3" s="0" t="s">
        <v>547</v>
      </c>
      <c r="D3" s="0" t="s">
        <v>548</v>
      </c>
      <c r="E3" s="0" t="s">
        <v>549</v>
      </c>
      <c r="F3" s="0" t="n">
        <v>0</v>
      </c>
      <c r="G3" s="0" t="n">
        <v>0.25</v>
      </c>
      <c r="H3" s="0" t="n">
        <v>0.5</v>
      </c>
      <c r="I3" s="0" t="n">
        <v>1</v>
      </c>
    </row>
    <row r="4" customFormat="false" ht="12" hidden="false" customHeight="false" outlineLevel="0" collapsed="false">
      <c r="A4" s="0" t="n">
        <v>2</v>
      </c>
      <c r="B4" s="0" t="s">
        <v>275</v>
      </c>
      <c r="C4" s="0" t="s">
        <v>550</v>
      </c>
      <c r="D4" s="0" t="s">
        <v>551</v>
      </c>
      <c r="E4" s="0" t="s">
        <v>552</v>
      </c>
      <c r="F4" s="0" t="n">
        <v>0</v>
      </c>
      <c r="G4" s="0" t="n">
        <v>0.25</v>
      </c>
      <c r="H4" s="0" t="n">
        <v>0.5</v>
      </c>
      <c r="I4" s="0" t="n">
        <v>1</v>
      </c>
    </row>
    <row r="5" customFormat="false" ht="12" hidden="false" customHeight="false" outlineLevel="0" collapsed="false">
      <c r="A5" s="0" t="n">
        <v>3</v>
      </c>
      <c r="B5" s="0" t="s">
        <v>275</v>
      </c>
      <c r="C5" s="0" t="s">
        <v>553</v>
      </c>
      <c r="D5" s="0" t="s">
        <v>554</v>
      </c>
      <c r="E5" s="0" t="s">
        <v>555</v>
      </c>
      <c r="F5" s="0" t="n">
        <v>0</v>
      </c>
      <c r="G5" s="0" t="n">
        <v>0.25</v>
      </c>
      <c r="H5" s="0" t="n">
        <v>0.5</v>
      </c>
      <c r="I5" s="0" t="n">
        <v>1</v>
      </c>
    </row>
    <row r="6" customFormat="false" ht="12" hidden="false" customHeight="false" outlineLevel="0" collapsed="false">
      <c r="A6" s="0" t="n">
        <v>4</v>
      </c>
      <c r="B6" s="0" t="s">
        <v>275</v>
      </c>
      <c r="C6" s="0" t="s">
        <v>556</v>
      </c>
      <c r="D6" s="0" t="s">
        <v>557</v>
      </c>
      <c r="E6" s="0" t="s">
        <v>558</v>
      </c>
      <c r="F6" s="0" t="n">
        <v>0</v>
      </c>
      <c r="G6" s="0" t="n">
        <v>0.25</v>
      </c>
      <c r="H6" s="0" t="n">
        <v>0.5</v>
      </c>
      <c r="I6" s="0" t="n">
        <v>1</v>
      </c>
    </row>
    <row r="7" customFormat="false" ht="12" hidden="false" customHeight="false" outlineLevel="0" collapsed="false">
      <c r="A7" s="0" t="n">
        <v>5</v>
      </c>
      <c r="B7" s="0" t="s">
        <v>275</v>
      </c>
      <c r="C7" s="0" t="s">
        <v>559</v>
      </c>
      <c r="D7" s="0" t="s">
        <v>560</v>
      </c>
      <c r="E7" s="0" t="s">
        <v>561</v>
      </c>
      <c r="F7" s="0" t="n">
        <v>0</v>
      </c>
      <c r="G7" s="0" t="n">
        <v>0.25</v>
      </c>
      <c r="H7" s="0" t="n">
        <v>0.5</v>
      </c>
      <c r="I7" s="0" t="n">
        <v>1</v>
      </c>
    </row>
    <row r="8" customFormat="false" ht="12" hidden="false" customHeight="false" outlineLevel="0" collapsed="false">
      <c r="A8" s="0" t="n">
        <v>6</v>
      </c>
      <c r="B8" s="0" t="s">
        <v>275</v>
      </c>
      <c r="C8" s="0" t="s">
        <v>562</v>
      </c>
      <c r="D8" s="0" t="s">
        <v>563</v>
      </c>
      <c r="E8" s="0" t="s">
        <v>564</v>
      </c>
      <c r="F8" s="0" t="n">
        <v>0</v>
      </c>
      <c r="G8" s="0" t="n">
        <v>0.25</v>
      </c>
      <c r="H8" s="0" t="n">
        <v>0.5</v>
      </c>
      <c r="I8" s="0" t="n">
        <v>1</v>
      </c>
    </row>
    <row r="9" customFormat="false" ht="12" hidden="false" customHeight="false" outlineLevel="0" collapsed="false">
      <c r="A9" s="0" t="n">
        <v>7</v>
      </c>
      <c r="B9" s="0" t="s">
        <v>275</v>
      </c>
      <c r="C9" s="0" t="s">
        <v>565</v>
      </c>
      <c r="D9" s="0" t="s">
        <v>566</v>
      </c>
      <c r="E9" s="0" t="s">
        <v>567</v>
      </c>
      <c r="F9" s="0" t="n">
        <v>0</v>
      </c>
      <c r="G9" s="0" t="n">
        <v>0.25</v>
      </c>
      <c r="H9" s="0" t="n">
        <v>0.5</v>
      </c>
      <c r="I9" s="0" t="n">
        <v>1</v>
      </c>
    </row>
    <row r="10" customFormat="false" ht="12" hidden="false" customHeight="false" outlineLevel="0" collapsed="false">
      <c r="A10" s="0" t="n">
        <v>8</v>
      </c>
      <c r="B10" s="0" t="s">
        <v>275</v>
      </c>
      <c r="C10" s="0" t="s">
        <v>568</v>
      </c>
      <c r="D10" s="0" t="s">
        <v>569</v>
      </c>
      <c r="E10" s="0" t="s">
        <v>570</v>
      </c>
      <c r="F10" s="0" t="n">
        <v>0</v>
      </c>
      <c r="G10" s="0" t="n">
        <v>0.25</v>
      </c>
      <c r="H10" s="0" t="n">
        <v>0.5</v>
      </c>
      <c r="I10" s="0" t="n">
        <v>1</v>
      </c>
    </row>
    <row r="11" customFormat="false" ht="12" hidden="false" customHeight="false" outlineLevel="0" collapsed="false">
      <c r="A11" s="0" t="n">
        <v>9</v>
      </c>
      <c r="B11" s="0" t="s">
        <v>275</v>
      </c>
      <c r="C11" s="0" t="s">
        <v>571</v>
      </c>
      <c r="D11" s="0" t="s">
        <v>572</v>
      </c>
      <c r="E11" s="0" t="s">
        <v>573</v>
      </c>
      <c r="F11" s="0" t="n">
        <v>0</v>
      </c>
      <c r="G11" s="0" t="n">
        <v>0.25</v>
      </c>
      <c r="H11" s="0" t="n">
        <v>0.5</v>
      </c>
      <c r="I11" s="0" t="n">
        <v>1</v>
      </c>
    </row>
    <row r="12" customFormat="false" ht="12" hidden="false" customHeight="false" outlineLevel="0" collapsed="false">
      <c r="A12" s="0" t="n">
        <v>10</v>
      </c>
      <c r="B12" s="0" t="s">
        <v>275</v>
      </c>
      <c r="C12" s="0" t="s">
        <v>574</v>
      </c>
      <c r="D12" s="0" t="s">
        <v>300</v>
      </c>
      <c r="E12" s="0" t="s">
        <v>301</v>
      </c>
      <c r="F12" s="0" t="n">
        <v>0</v>
      </c>
      <c r="G12" s="0" t="n">
        <v>0.25</v>
      </c>
      <c r="H12" s="0" t="n">
        <v>0.5</v>
      </c>
      <c r="I12" s="0" t="n">
        <v>1</v>
      </c>
    </row>
    <row r="13" customFormat="false" ht="12" hidden="false" customHeight="false" outlineLevel="0" collapsed="false">
      <c r="A13" s="0" t="n">
        <v>11</v>
      </c>
      <c r="B13" s="0" t="s">
        <v>275</v>
      </c>
      <c r="C13" s="0" t="s">
        <v>575</v>
      </c>
      <c r="D13" s="0" t="s">
        <v>576</v>
      </c>
      <c r="E13" s="0" t="s">
        <v>577</v>
      </c>
      <c r="F13" s="0" t="n">
        <v>0</v>
      </c>
      <c r="G13" s="0" t="n">
        <v>0.25</v>
      </c>
      <c r="H13" s="0" t="n">
        <v>0.5</v>
      </c>
      <c r="I13" s="0" t="n">
        <v>1</v>
      </c>
    </row>
    <row r="14" customFormat="false" ht="12" hidden="false" customHeight="false" outlineLevel="0" collapsed="false">
      <c r="A14" s="0" t="n">
        <v>12</v>
      </c>
      <c r="B14" s="0" t="s">
        <v>275</v>
      </c>
      <c r="C14" s="0" t="s">
        <v>578</v>
      </c>
      <c r="D14" s="0" t="s">
        <v>579</v>
      </c>
      <c r="E14" s="0" t="s">
        <v>580</v>
      </c>
      <c r="F14" s="0" t="n">
        <v>0</v>
      </c>
      <c r="G14" s="0" t="n">
        <v>0.25</v>
      </c>
      <c r="H14" s="0" t="n">
        <v>0.5</v>
      </c>
      <c r="I14" s="0" t="n">
        <v>1</v>
      </c>
    </row>
    <row r="15" customFormat="false" ht="12" hidden="false" customHeight="false" outlineLevel="0" collapsed="false">
      <c r="A15" s="0" t="n">
        <v>13</v>
      </c>
      <c r="B15" s="0" t="s">
        <v>275</v>
      </c>
      <c r="C15" s="0" t="s">
        <v>581</v>
      </c>
      <c r="D15" s="0" t="s">
        <v>582</v>
      </c>
      <c r="E15" s="0" t="s">
        <v>583</v>
      </c>
      <c r="F15" s="0" t="n">
        <v>0</v>
      </c>
      <c r="G15" s="0" t="n">
        <v>0.25</v>
      </c>
      <c r="H15" s="0" t="n">
        <v>0.5</v>
      </c>
      <c r="I15" s="0" t="n">
        <v>1</v>
      </c>
    </row>
    <row r="16" customFormat="false" ht="12" hidden="false" customHeight="false" outlineLevel="0" collapsed="false">
      <c r="A16" s="0" t="n">
        <v>14</v>
      </c>
      <c r="B16" s="0" t="s">
        <v>275</v>
      </c>
      <c r="C16" s="0" t="s">
        <v>584</v>
      </c>
      <c r="D16" s="0" t="s">
        <v>585</v>
      </c>
      <c r="E16" s="0" t="s">
        <v>586</v>
      </c>
      <c r="F16" s="0" t="n">
        <v>0</v>
      </c>
      <c r="G16" s="0" t="n">
        <v>0.25</v>
      </c>
      <c r="H16" s="0" t="n">
        <v>0.5</v>
      </c>
      <c r="I16" s="0" t="n">
        <v>1</v>
      </c>
    </row>
    <row r="17" customFormat="false" ht="12" hidden="false" customHeight="false" outlineLevel="0" collapsed="false">
      <c r="A17" s="0" t="n">
        <v>15</v>
      </c>
      <c r="B17" s="0" t="s">
        <v>275</v>
      </c>
      <c r="C17" s="0" t="s">
        <v>587</v>
      </c>
      <c r="D17" s="0" t="s">
        <v>588</v>
      </c>
      <c r="E17" s="0" t="s">
        <v>589</v>
      </c>
      <c r="F17" s="0" t="n">
        <v>0</v>
      </c>
      <c r="G17" s="0" t="n">
        <v>0.25</v>
      </c>
      <c r="H17" s="0" t="n">
        <v>0.5</v>
      </c>
      <c r="I17" s="0" t="n">
        <v>1</v>
      </c>
    </row>
    <row r="18" customFormat="false" ht="12" hidden="false" customHeight="false" outlineLevel="0" collapsed="false">
      <c r="A18" s="0" t="n">
        <v>16</v>
      </c>
      <c r="B18" s="0" t="s">
        <v>275</v>
      </c>
      <c r="C18" s="0" t="s">
        <v>590</v>
      </c>
      <c r="D18" s="0" t="s">
        <v>591</v>
      </c>
      <c r="E18" s="0" t="s">
        <v>592</v>
      </c>
      <c r="F18" s="0" t="n">
        <v>0</v>
      </c>
      <c r="G18" s="0" t="n">
        <v>0.25</v>
      </c>
      <c r="H18" s="0" t="n">
        <v>0.5</v>
      </c>
      <c r="I18" s="0" t="n">
        <v>1</v>
      </c>
    </row>
    <row r="19" customFormat="false" ht="12" hidden="false" customHeight="false" outlineLevel="0" collapsed="false">
      <c r="A19" s="0" t="n">
        <v>17</v>
      </c>
      <c r="B19" s="0" t="s">
        <v>275</v>
      </c>
      <c r="C19" s="0" t="s">
        <v>593</v>
      </c>
      <c r="D19" s="0" t="s">
        <v>594</v>
      </c>
      <c r="E19" s="0" t="s">
        <v>595</v>
      </c>
      <c r="F19" s="0" t="n">
        <v>0</v>
      </c>
      <c r="G19" s="0" t="n">
        <v>0.25</v>
      </c>
      <c r="H19" s="0" t="n">
        <v>0.5</v>
      </c>
      <c r="I19" s="0" t="n">
        <v>1</v>
      </c>
    </row>
    <row r="20" customFormat="false" ht="12" hidden="false" customHeight="false" outlineLevel="0" collapsed="false">
      <c r="A20" s="0" t="n">
        <v>18</v>
      </c>
      <c r="B20" s="0" t="s">
        <v>275</v>
      </c>
      <c r="C20" s="0" t="s">
        <v>596</v>
      </c>
      <c r="D20" s="0" t="s">
        <v>597</v>
      </c>
      <c r="E20" s="0" t="s">
        <v>598</v>
      </c>
      <c r="F20" s="0" t="n">
        <v>0</v>
      </c>
      <c r="G20" s="0" t="n">
        <v>0.25</v>
      </c>
      <c r="H20" s="0" t="n">
        <v>0.5</v>
      </c>
      <c r="I20" s="0" t="n">
        <v>1</v>
      </c>
    </row>
    <row r="21" customFormat="false" ht="12" hidden="false" customHeight="false" outlineLevel="0" collapsed="false">
      <c r="A21" s="0" t="n">
        <v>19</v>
      </c>
      <c r="B21" s="0" t="s">
        <v>275</v>
      </c>
      <c r="C21" s="0" t="s">
        <v>599</v>
      </c>
      <c r="D21" s="0" t="s">
        <v>600</v>
      </c>
      <c r="E21" s="0" t="s">
        <v>601</v>
      </c>
      <c r="F21" s="0" t="n">
        <v>0</v>
      </c>
      <c r="G21" s="0" t="n">
        <v>0.25</v>
      </c>
      <c r="H21" s="0" t="n">
        <v>0.5</v>
      </c>
      <c r="I21" s="0" t="n">
        <v>1</v>
      </c>
    </row>
    <row r="22" customFormat="false" ht="12" hidden="false" customHeight="false" outlineLevel="0" collapsed="false">
      <c r="A22" s="0" t="n">
        <v>20</v>
      </c>
      <c r="B22" s="0" t="s">
        <v>275</v>
      </c>
      <c r="C22" s="0" t="s">
        <v>602</v>
      </c>
      <c r="D22" s="0" t="s">
        <v>603</v>
      </c>
      <c r="E22" s="0" t="s">
        <v>604</v>
      </c>
      <c r="F22" s="0" t="n">
        <v>0</v>
      </c>
      <c r="G22" s="0" t="n">
        <v>0.25</v>
      </c>
      <c r="H22" s="0" t="n">
        <v>0.5</v>
      </c>
      <c r="I22" s="0" t="n">
        <v>1</v>
      </c>
    </row>
    <row r="23" customFormat="false" ht="12" hidden="false" customHeight="false" outlineLevel="0" collapsed="false">
      <c r="A23" s="0" t="n">
        <v>21</v>
      </c>
      <c r="B23" s="0" t="s">
        <v>275</v>
      </c>
      <c r="C23" s="0" t="s">
        <v>605</v>
      </c>
      <c r="D23" s="0" t="s">
        <v>606</v>
      </c>
      <c r="E23" s="0" t="s">
        <v>607</v>
      </c>
      <c r="F23" s="0" t="n">
        <v>0</v>
      </c>
      <c r="G23" s="0" t="n">
        <v>0.25</v>
      </c>
      <c r="H23" s="0" t="n">
        <v>0.5</v>
      </c>
      <c r="I23" s="0" t="n">
        <v>1</v>
      </c>
    </row>
    <row r="24" customFormat="false" ht="12" hidden="false" customHeight="false" outlineLevel="0" collapsed="false">
      <c r="A24" s="0" t="n">
        <v>22</v>
      </c>
      <c r="B24" s="0" t="s">
        <v>275</v>
      </c>
      <c r="C24" s="0" t="s">
        <v>608</v>
      </c>
      <c r="D24" s="0" t="s">
        <v>609</v>
      </c>
      <c r="E24" s="0" t="s">
        <v>610</v>
      </c>
      <c r="F24" s="0" t="n">
        <v>0</v>
      </c>
      <c r="G24" s="0" t="n">
        <v>0.25</v>
      </c>
      <c r="H24" s="0" t="n">
        <v>0.5</v>
      </c>
      <c r="I24" s="0" t="n">
        <v>1</v>
      </c>
    </row>
    <row r="25" customFormat="false" ht="12" hidden="false" customHeight="false" outlineLevel="0" collapsed="false">
      <c r="A25" s="0" t="n">
        <v>23</v>
      </c>
      <c r="B25" s="0" t="s">
        <v>275</v>
      </c>
      <c r="C25" s="0" t="s">
        <v>611</v>
      </c>
      <c r="D25" s="0" t="s">
        <v>612</v>
      </c>
      <c r="E25" s="0" t="s">
        <v>613</v>
      </c>
      <c r="F25" s="0" t="n">
        <v>0</v>
      </c>
      <c r="G25" s="0" t="n">
        <v>0.25</v>
      </c>
      <c r="H25" s="0" t="n">
        <v>0.5</v>
      </c>
      <c r="I25" s="0"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4765625" defaultRowHeight="12" customHeight="true" zeroHeight="false" outlineLevelRow="0" outlineLevelCol="0"/>
  <cols>
    <col collapsed="false" customWidth="true" hidden="false" outlineLevel="0" max="1" min="1" style="507" width="170.38"/>
    <col collapsed="false" customWidth="false" hidden="false" outlineLevel="0" max="16384" min="2" style="507" width="8.85"/>
  </cols>
  <sheetData>
    <row r="1" customFormat="false" ht="24.75" hidden="false" customHeight="true" outlineLevel="0" collapsed="false">
      <c r="A1" s="508" t="s">
        <v>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2024-06-24T20:20:10Z</dcterms:created>
  <dc:creator/>
  <dc:description/>
  <dc:language>en-US</dc:language>
  <cp:lastModifiedBy/>
  <dcterms:modified xsi:type="dcterms:W3CDTF">2025-12-03T12:14:00Z</dcterms:modified>
  <cp:revision>1</cp:revision>
  <dc:subject/>
  <dc:title/>
</cp:coreProperties>
</file>