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MaximBaele\Documents\GitHub\toolbox-spreadsheet\resources\"/>
    </mc:Choice>
  </mc:AlternateContent>
  <xr:revisionPtr revIDLastSave="0" documentId="13_ncr:1_{01B1A1D5-6AF8-4E91-86C6-5A86E8FD4CE6}" xr6:coauthVersionLast="47" xr6:coauthVersionMax="47" xr10:uidLastSave="{00000000-0000-0000-0000-000000000000}"/>
  <bookViews>
    <workbookView xWindow="-98" yWindow="-98" windowWidth="22996" windowHeight="11131" xr2:uid="{00000000-000D-0000-FFFF-FFFF00000000}"/>
  </bookViews>
  <sheets>
    <sheet name="Attribution and License" sheetId="1" r:id="rId1"/>
    <sheet name="Getting Started" sheetId="13" r:id="rId2"/>
    <sheet name="Benchmark" sheetId="2" r:id="rId3"/>
    <sheet name="Interview" sheetId="3" r:id="rId4"/>
    <sheet name="Scorecard" sheetId="4" r:id="rId5"/>
    <sheet name="Roadmap" sheetId="5" r:id="rId6"/>
    <sheet name="Roadmap Chart" sheetId="6" state="hidden" r:id="rId7"/>
    <sheet name="Lookups" sheetId="7" state="hidden" r:id="rId8"/>
    <sheet name="imp-questions" sheetId="8" state="hidden" r:id="rId9"/>
    <sheet name="DV-Lists" sheetId="9" state="hidden" r:id="rId10"/>
    <sheet name="imp-answers" sheetId="10" state="hidden" r:id="rId11"/>
    <sheet name="Background Images" sheetId="11" state="hidden" r:id="rId12"/>
  </sheets>
  <externalReferences>
    <externalReference r:id="rId13"/>
  </externalReferences>
  <definedNames>
    <definedName name="_xlnm._FilterDatabase" localSheetId="8" hidden="1">'imp-questions'!$A$1:$H$91</definedName>
    <definedName name="AnsA">Lookups!$P$4:$P$7</definedName>
    <definedName name="AnsATBL">Lookups!$P$4:$Q$7</definedName>
    <definedName name="AnsB">Lookups!$P$10:$P$13</definedName>
    <definedName name="AnsBTBL">Lookups!$P$10:$Q$13</definedName>
    <definedName name="AnsC">Lookups!$P$16:$P$19</definedName>
    <definedName name="AnsCTBL">Lookups!$P$16:$Q$19</definedName>
    <definedName name="AnsD">Lookups!$P$22:$P$25</definedName>
    <definedName name="AnsDTBL">Lookups!$P$22:$Q$25</definedName>
    <definedName name="AnsE">Lookups!$P$28:$P$31</definedName>
    <definedName name="AnsETBL">Lookups!$P$28:$Q$31</definedName>
    <definedName name="AnsF">Lookups!$P$34:$P$37</definedName>
    <definedName name="AnsFTBL">Lookups!$P$34:$Q$37</definedName>
    <definedName name="AnsG">Lookups!$P$40:$P$43</definedName>
    <definedName name="AnsGTBL">Lookups!$P$40:$Q$43</definedName>
    <definedName name="AnsH">Lookups!$P$46:$P$49</definedName>
    <definedName name="AnsHTBL">Lookups!$P$46:$Q$49</definedName>
    <definedName name="AnsI">Lookups!$P$52:$P$55</definedName>
    <definedName name="AnsITBL">Lookups!$P$52:$Q$55</definedName>
    <definedName name="AnsJ">Lookups!$P$58:$P$61</definedName>
    <definedName name="AnsJTBL">Lookups!$P$58:$Q$61</definedName>
    <definedName name="AnsK">Lookups!$P$64:$P$67</definedName>
    <definedName name="AnsKTBL">Lookups!$P$64:$Q$67</definedName>
    <definedName name="AnsL">Lookups!$P$70:$P$73</definedName>
    <definedName name="AnsLTBL">Lookups!$P$70:$Q$73</definedName>
    <definedName name="AnsM">Lookups!$P$76:$P$79</definedName>
    <definedName name="AnsMTBL">Lookups!$P$76:$Q$79</definedName>
    <definedName name="AnsN">Lookups!$P$82:$P$85</definedName>
    <definedName name="AnsNTBL">Lookups!$P$82:$Q$85</definedName>
    <definedName name="AnsO">Lookups!$P$88:$P$91</definedName>
    <definedName name="AnsOTBL">Lookups!$P$88:$Q$91</definedName>
    <definedName name="AnsP">Lookups!$P$94:$P$97</definedName>
    <definedName name="AnsPTBL">Lookups!$P$94:$Q$97</definedName>
    <definedName name="AnsQ">Lookups!$P$100:$P$103</definedName>
    <definedName name="AnsQTBL">Lookups!$P$100:$Q$103</definedName>
    <definedName name="AnsR">Lookups!$P$106:$P$109</definedName>
    <definedName name="AnsRTBL">Lookups!$P$106:$Q$109</definedName>
    <definedName name="AnsS">Lookups!$P$112:$P$115</definedName>
    <definedName name="AnsSTBL">Lookups!$P$112:$Q$115</definedName>
    <definedName name="AnsT">Lookups!$P$118:$P$121</definedName>
    <definedName name="AnsTTBL">Lookups!$P$118:$Q$121</definedName>
    <definedName name="AnsU">Lookups!$P$124:$P$127</definedName>
    <definedName name="AnsUTBL">Lookups!$P$124:$Q$127</definedName>
    <definedName name="AnsV">Lookups!$P$130:$P$133</definedName>
    <definedName name="AnsVTBL">Lookups!$P$130:$Q$133</definedName>
    <definedName name="AnsW">Lookups!$P$136:$P$139</definedName>
    <definedName name="AnsWTBL">Lookups!$P$136:$Q$139</definedName>
    <definedName name="AnsX">Lookups!$P$142:$P$145</definedName>
    <definedName name="AnsXTBL">Lookups!$P$142:$Q$145</definedName>
    <definedName name="AnsY">Lookups!$P$148:$P$151</definedName>
    <definedName name="AnsYTBL">Lookups!$P$148:$Q$151</definedName>
    <definedName name="D_SA_A_1_1" localSheetId="2">#REF!</definedName>
    <definedName name="D_SA_A_1_1" localSheetId="1">'[1]DV-Lists'!$A$9:$A$13</definedName>
    <definedName name="D_SA_A_1_1">'DV-Lists'!$A$9:$A$13</definedName>
    <definedName name="D_SA_A_2_1" localSheetId="2">#REF!</definedName>
    <definedName name="D_SA_A_2_1" localSheetId="1">'[1]DV-Lists'!$C$9:$C$13</definedName>
    <definedName name="D_SA_A_2_1">'DV-Lists'!$C$9:$C$13</definedName>
    <definedName name="D_SA_A_3_1" localSheetId="2">#REF!</definedName>
    <definedName name="D_SA_A_3_1" localSheetId="1">'[1]DV-Lists'!$E$9:$E$13</definedName>
    <definedName name="D_SA_A_3_1">'DV-Lists'!$E$9:$E$13</definedName>
    <definedName name="D_SA_B_1_1" localSheetId="2">#REF!</definedName>
    <definedName name="D_SA_B_1_1" localSheetId="1">'[1]DV-Lists'!$B$9:$B$13</definedName>
    <definedName name="D_SA_B_1_1">'DV-Lists'!$B$9:$B$13</definedName>
    <definedName name="D_SA_B_2_1" localSheetId="2">#REF!</definedName>
    <definedName name="D_SA_B_2_1" localSheetId="1">'[1]DV-Lists'!$D$9:$D$13</definedName>
    <definedName name="D_SA_B_2_1">'DV-Lists'!$D$9:$D$13</definedName>
    <definedName name="D_SA_B_3_1" localSheetId="2">#REF!</definedName>
    <definedName name="D_SA_B_3_1" localSheetId="1">'[1]DV-Lists'!$F$9:$F$13</definedName>
    <definedName name="D_SA_B_3_1">'DV-Lists'!$F$9:$F$13</definedName>
    <definedName name="D_SR_A_1_1" localSheetId="2">#REF!</definedName>
    <definedName name="D_SR_A_1_1" localSheetId="1">'[1]DV-Lists'!$G$9:$G$13</definedName>
    <definedName name="D_SR_A_1_1">'DV-Lists'!$G$9:$G$13</definedName>
    <definedName name="D_SR_A_2_1" localSheetId="2">#REF!</definedName>
    <definedName name="D_SR_A_2_1" localSheetId="1">'[1]DV-Lists'!$I$9:$I$13</definedName>
    <definedName name="D_SR_A_2_1">'DV-Lists'!$I$9:$I$13</definedName>
    <definedName name="D_SR_A_3_1" localSheetId="2">#REF!</definedName>
    <definedName name="D_SR_A_3_1" localSheetId="1">'[1]DV-Lists'!$K$9:$K$13</definedName>
    <definedName name="D_SR_A_3_1">'DV-Lists'!$K$9:$K$13</definedName>
    <definedName name="D_SR_B_1_1" localSheetId="2">#REF!</definedName>
    <definedName name="D_SR_B_1_1" localSheetId="1">'[1]DV-Lists'!$H$9:$H$13</definedName>
    <definedName name="D_SR_B_1_1">'DV-Lists'!$H$9:$H$13</definedName>
    <definedName name="D_SR_B_2_1" localSheetId="2">#REF!</definedName>
    <definedName name="D_SR_B_2_1" localSheetId="1">'[1]DV-Lists'!$J$9:$J$13</definedName>
    <definedName name="D_SR_B_2_1">'DV-Lists'!$J$9:$J$13</definedName>
    <definedName name="D_SR_B_3_1" localSheetId="2">#REF!</definedName>
    <definedName name="D_SR_B_3_1" localSheetId="1">'[1]DV-Lists'!$L$9:$L$13</definedName>
    <definedName name="D_SR_B_3_1">'DV-Lists'!$L$9:$L$13</definedName>
    <definedName name="D_TA_A_1_1" localSheetId="2">#REF!</definedName>
    <definedName name="D_TA_A_1_1" localSheetId="1">'[1]DV-Lists'!$M$9:$M$13</definedName>
    <definedName name="D_TA_A_1_1">'DV-Lists'!$M$9:$M$13</definedName>
    <definedName name="D_TA_A_2_1" localSheetId="2">#REF!</definedName>
    <definedName name="D_TA_A_2_1" localSheetId="1">'[1]DV-Lists'!$O$9:$O$13</definedName>
    <definedName name="D_TA_A_2_1">'DV-Lists'!$O$9:$O$13</definedName>
    <definedName name="D_TA_A_3_1" localSheetId="2">#REF!</definedName>
    <definedName name="D_TA_A_3_1" localSheetId="1">'[1]DV-Lists'!$Q$9:$Q$13</definedName>
    <definedName name="D_TA_A_3_1">'DV-Lists'!$Q$9:$Q$13</definedName>
    <definedName name="D_TA_B_1_1" localSheetId="2">#REF!</definedName>
    <definedName name="D_TA_B_1_1" localSheetId="1">'[1]DV-Lists'!$N$9:$N$13</definedName>
    <definedName name="D_TA_B_1_1">'DV-Lists'!$N$9:$N$13</definedName>
    <definedName name="D_TA_B_2_1" localSheetId="2">#REF!</definedName>
    <definedName name="D_TA_B_2_1" localSheetId="1">'[1]DV-Lists'!$P$9:$P$13</definedName>
    <definedName name="D_TA_B_2_1">'DV-Lists'!$P$9:$P$13</definedName>
    <definedName name="D_TA_B_3_1" localSheetId="2">#REF!</definedName>
    <definedName name="D_TA_B_3_1" localSheetId="1">'[1]DV-Lists'!$R$9:$R$13</definedName>
    <definedName name="D_TA_B_3_1">'DV-Lists'!$R$9:$R$13</definedName>
    <definedName name="G_EG_A_1_1" localSheetId="2">#REF!</definedName>
    <definedName name="G_EG_A_1_1" localSheetId="1">'[1]DV-Lists'!$A$2:$A$6</definedName>
    <definedName name="G_EG_A_1_1">'DV-Lists'!$A$2:$A$6</definedName>
    <definedName name="G_EG_A_2_1" localSheetId="2">#REF!</definedName>
    <definedName name="G_EG_A_2_1" localSheetId="1">'[1]DV-Lists'!$C$2:$C$6</definedName>
    <definedName name="G_EG_A_2_1">'DV-Lists'!$C$2:$C$6</definedName>
    <definedName name="G_EG_A_3_1" localSheetId="2">#REF!</definedName>
    <definedName name="G_EG_A_3_1" localSheetId="1">'[1]DV-Lists'!$E$2:$E$6</definedName>
    <definedName name="G_EG_A_3_1">'DV-Lists'!$E$2:$E$6</definedName>
    <definedName name="G_EG_B_1_1" localSheetId="2">#REF!</definedName>
    <definedName name="G_EG_B_1_1" localSheetId="1">'[1]DV-Lists'!$B$2:$B$6</definedName>
    <definedName name="G_EG_B_1_1">'DV-Lists'!$B$2:$B$6</definedName>
    <definedName name="G_EG_B_2_1" localSheetId="2">#REF!</definedName>
    <definedName name="G_EG_B_2_1" localSheetId="1">'[1]DV-Lists'!$D$2:$D$6</definedName>
    <definedName name="G_EG_B_2_1">'DV-Lists'!$D$2:$D$6</definedName>
    <definedName name="G_EG_B_3_1" localSheetId="2">#REF!</definedName>
    <definedName name="G_EG_B_3_1" localSheetId="1">'[1]DV-Lists'!$F$2:$F$6</definedName>
    <definedName name="G_EG_B_3_1">'DV-Lists'!$F$2:$F$6</definedName>
    <definedName name="G_PC_A_1_1" localSheetId="2">#REF!</definedName>
    <definedName name="G_PC_A_1_1" localSheetId="1">'[1]DV-Lists'!$G$2:$G$6</definedName>
    <definedName name="G_PC_A_1_1">'DV-Lists'!$G$2:$G$6</definedName>
    <definedName name="G_PC_A_2_1" localSheetId="2">#REF!</definedName>
    <definedName name="G_PC_A_2_1" localSheetId="1">'[1]DV-Lists'!$I$2:$I$6</definedName>
    <definedName name="G_PC_A_2_1">'DV-Lists'!$I$2:$I$6</definedName>
    <definedName name="G_PC_A_3_1" localSheetId="2">#REF!</definedName>
    <definedName name="G_PC_A_3_1" localSheetId="1">'[1]DV-Lists'!$K$2:$K$6</definedName>
    <definedName name="G_PC_A_3_1">'DV-Lists'!$K$2:$K$6</definedName>
    <definedName name="G_PC_B_1_1" localSheetId="2">#REF!</definedName>
    <definedName name="G_PC_B_1_1" localSheetId="1">'[1]DV-Lists'!$H$2:$H$6</definedName>
    <definedName name="G_PC_B_1_1">'DV-Lists'!$H$2:$H$6</definedName>
    <definedName name="G_PC_B_2_1" localSheetId="2">#REF!</definedName>
    <definedName name="G_PC_B_2_1" localSheetId="1">'[1]DV-Lists'!$J$2:$J$6</definedName>
    <definedName name="G_PC_B_2_1">'DV-Lists'!$J$2:$J$6</definedName>
    <definedName name="G_PC_B_3_1" localSheetId="2">#REF!</definedName>
    <definedName name="G_PC_B_3_1" localSheetId="1">'[1]DV-Lists'!$L$2:$L$6</definedName>
    <definedName name="G_PC_B_3_1">'DV-Lists'!$L$2:$L$6</definedName>
    <definedName name="G_SM_A_1_1" localSheetId="2">#REF!</definedName>
    <definedName name="G_SM_A_1_1" localSheetId="1">'[1]DV-Lists'!$M$2:$M$6</definedName>
    <definedName name="G_SM_A_1_1">'DV-Lists'!$M$2:$M$6</definedName>
    <definedName name="G_SM_A_2_1" localSheetId="2">#REF!</definedName>
    <definedName name="G_SM_A_2_1" localSheetId="1">'[1]DV-Lists'!$O$2:$O$6</definedName>
    <definedName name="G_SM_A_2_1">'DV-Lists'!$O$2:$O$6</definedName>
    <definedName name="G_SM_A_3_1" localSheetId="2">#REF!</definedName>
    <definedName name="G_SM_A_3_1" localSheetId="1">'[1]DV-Lists'!$Q$2:$Q$6</definedName>
    <definedName name="G_SM_A_3_1">'DV-Lists'!$Q$2:$Q$6</definedName>
    <definedName name="G_SM_B_1_1" localSheetId="2">#REF!</definedName>
    <definedName name="G_SM_B_1_1" localSheetId="1">'[1]DV-Lists'!$N$2:$N$6</definedName>
    <definedName name="G_SM_B_1_1">'DV-Lists'!$N$2:$N$6</definedName>
    <definedName name="G_SM_B_2_1" localSheetId="2">#REF!</definedName>
    <definedName name="G_SM_B_2_1" localSheetId="1">'[1]DV-Lists'!$P$2:$P$6</definedName>
    <definedName name="G_SM_B_2_1">'DV-Lists'!$P$2:$P$6</definedName>
    <definedName name="G_SM_B_3_1" localSheetId="2">#REF!</definedName>
    <definedName name="G_SM_B_3_1" localSheetId="1">'[1]DV-Lists'!$R$2:$R$6</definedName>
    <definedName name="G_SM_B_3_1">'DV-Lists'!$R$2:$R$6</definedName>
    <definedName name="I_DM_A_1_1" localSheetId="2">#REF!</definedName>
    <definedName name="I_DM_A_1_1" localSheetId="1">'[1]DV-Lists'!$A$16:$A$20</definedName>
    <definedName name="I_DM_A_1_1">'DV-Lists'!$A$16:$A$20</definedName>
    <definedName name="I_DM_A_2_1" localSheetId="2">#REF!</definedName>
    <definedName name="I_DM_A_2_1" localSheetId="1">'[1]DV-Lists'!$C$16:$C$20</definedName>
    <definedName name="I_DM_A_2_1">'DV-Lists'!$C$16:$C$20</definedName>
    <definedName name="I_DM_A_3_1" localSheetId="2">#REF!</definedName>
    <definedName name="I_DM_A_3_1" localSheetId="1">'[1]DV-Lists'!$E$16:$E$20</definedName>
    <definedName name="I_DM_A_3_1">'DV-Lists'!$E$16:$E$20</definedName>
    <definedName name="I_DM_B_1_1" localSheetId="2">#REF!</definedName>
    <definedName name="I_DM_B_1_1" localSheetId="1">'[1]DV-Lists'!$B$16:$B$20</definedName>
    <definedName name="I_DM_B_1_1">'DV-Lists'!$B$16:$B$20</definedName>
    <definedName name="I_DM_B_2_1" localSheetId="2">#REF!</definedName>
    <definedName name="I_DM_B_2_1" localSheetId="1">'[1]DV-Lists'!$D$16:$D$20</definedName>
    <definedName name="I_DM_B_2_1">'DV-Lists'!$D$16:$D$20</definedName>
    <definedName name="I_DM_B_3_1" localSheetId="2">#REF!</definedName>
    <definedName name="I_DM_B_3_1" localSheetId="1">'[1]DV-Lists'!$F$16:$F$20</definedName>
    <definedName name="I_DM_B_3_1">'DV-Lists'!$F$16:$F$20</definedName>
    <definedName name="I_SB_A_1_1" localSheetId="2">#REF!</definedName>
    <definedName name="I_SB_A_1_1" localSheetId="1">'[1]DV-Lists'!$G$16:$G$20</definedName>
    <definedName name="I_SB_A_1_1">'DV-Lists'!$G$16:$G$20</definedName>
    <definedName name="I_SB_A_2_1" localSheetId="2">#REF!</definedName>
    <definedName name="I_SB_A_2_1" localSheetId="1">'[1]DV-Lists'!$I$16:$I$20</definedName>
    <definedName name="I_SB_A_2_1">'DV-Lists'!$I$16:$I$20</definedName>
    <definedName name="I_SB_A_3_1" localSheetId="2">#REF!</definedName>
    <definedName name="I_SB_A_3_1" localSheetId="1">'[1]DV-Lists'!$K$16:$K$20</definedName>
    <definedName name="I_SB_A_3_1">'DV-Lists'!$K$16:$K$20</definedName>
    <definedName name="I_SB_B_1_1" localSheetId="2">#REF!</definedName>
    <definedName name="I_SB_B_1_1" localSheetId="1">'[1]DV-Lists'!$H$16:$H$20</definedName>
    <definedName name="I_SB_B_1_1">'DV-Lists'!$H$16:$H$20</definedName>
    <definedName name="I_SB_B_2_1" localSheetId="2">#REF!</definedName>
    <definedName name="I_SB_B_2_1" localSheetId="1">'[1]DV-Lists'!$J$16:$J$20</definedName>
    <definedName name="I_SB_B_2_1">'DV-Lists'!$J$16:$J$20</definedName>
    <definedName name="I_SB_B_3_1" localSheetId="2">#REF!</definedName>
    <definedName name="I_SB_B_3_1" localSheetId="1">'[1]DV-Lists'!$L$16:$L$20</definedName>
    <definedName name="I_SB_B_3_1">'DV-Lists'!$L$16:$L$20</definedName>
    <definedName name="I_SD_A_1_1" localSheetId="2">#REF!</definedName>
    <definedName name="I_SD_A_1_1" localSheetId="1">'[1]DV-Lists'!$M$16:$M$20</definedName>
    <definedName name="I_SD_A_1_1">'DV-Lists'!$M$16:$M$20</definedName>
    <definedName name="I_SD_A_2_1" localSheetId="2">#REF!</definedName>
    <definedName name="I_SD_A_2_1" localSheetId="1">'[1]DV-Lists'!$O$16:$O$20</definedName>
    <definedName name="I_SD_A_2_1">'DV-Lists'!$O$16:$O$20</definedName>
    <definedName name="I_SD_A_3_1" localSheetId="2">#REF!</definedName>
    <definedName name="I_SD_A_3_1" localSheetId="1">'[1]DV-Lists'!$Q$16:$Q$20</definedName>
    <definedName name="I_SD_A_3_1">'DV-Lists'!$Q$16:$Q$20</definedName>
    <definedName name="I_SD_B_1_1" localSheetId="2">#REF!</definedName>
    <definedName name="I_SD_B_1_1" localSheetId="1">'[1]DV-Lists'!$N$16:$N$20</definedName>
    <definedName name="I_SD_B_1_1">'DV-Lists'!$N$16:$N$20</definedName>
    <definedName name="I_SD_B_2_1" localSheetId="2">#REF!</definedName>
    <definedName name="I_SD_B_2_1" localSheetId="1">'[1]DV-Lists'!$P$16:$P$20</definedName>
    <definedName name="I_SD_B_2_1">'DV-Lists'!$P$16:$P$20</definedName>
    <definedName name="I_SD_B_3_1" localSheetId="2">#REF!</definedName>
    <definedName name="I_SD_B_3_1" localSheetId="1">'[1]DV-Lists'!$R$16:$R$20</definedName>
    <definedName name="I_SD_B_3_1">'DV-Lists'!$R$16:$R$20</definedName>
    <definedName name="O_EM_A_1_1" localSheetId="2">#REF!</definedName>
    <definedName name="O_EM_A_1_1" localSheetId="1">'[1]DV-Lists'!$A$30:$A$34</definedName>
    <definedName name="O_EM_A_1_1">'DV-Lists'!$A$30:$A$34</definedName>
    <definedName name="O_EM_A_2_1" localSheetId="2">#REF!</definedName>
    <definedName name="O_EM_A_2_1" localSheetId="1">'[1]DV-Lists'!$C$30:$C$34</definedName>
    <definedName name="O_EM_A_2_1">'DV-Lists'!$C$30:$C$34</definedName>
    <definedName name="O_EM_A_3_1" localSheetId="2">#REF!</definedName>
    <definedName name="O_EM_A_3_1" localSheetId="1">'[1]DV-Lists'!$E$30:$E$34</definedName>
    <definedName name="O_EM_A_3_1">'DV-Lists'!$E$30:$E$34</definedName>
    <definedName name="O_EM_B_1_1" localSheetId="2">#REF!</definedName>
    <definedName name="O_EM_B_1_1" localSheetId="1">'[1]DV-Lists'!$B$30:$B$34</definedName>
    <definedName name="O_EM_B_1_1">'DV-Lists'!$B$30:$B$34</definedName>
    <definedName name="O_EM_B_2_1" localSheetId="2">#REF!</definedName>
    <definedName name="O_EM_B_2_1" localSheetId="1">'[1]DV-Lists'!$D$30:$D$34</definedName>
    <definedName name="O_EM_B_2_1">'DV-Lists'!$D$30:$D$34</definedName>
    <definedName name="O_EM_B_3_1" localSheetId="2">#REF!</definedName>
    <definedName name="O_EM_B_3_1" localSheetId="1">'[1]DV-Lists'!$F$30:$F$34</definedName>
    <definedName name="O_EM_B_3_1">'DV-Lists'!$F$30:$F$34</definedName>
    <definedName name="O_IM_A_1_1" localSheetId="2">#REF!</definedName>
    <definedName name="O_IM_A_1_1" localSheetId="1">'[1]DV-Lists'!$G$30:$G$34</definedName>
    <definedName name="O_IM_A_1_1">'DV-Lists'!$G$30:$G$34</definedName>
    <definedName name="O_IM_A_2_1" localSheetId="2">#REF!</definedName>
    <definedName name="O_IM_A_2_1" localSheetId="1">'[1]DV-Lists'!$I$30:$I$34</definedName>
    <definedName name="O_IM_A_2_1">'DV-Lists'!$I$30:$I$34</definedName>
    <definedName name="O_IM_A_3_1" localSheetId="2">#REF!</definedName>
    <definedName name="O_IM_A_3_1" localSheetId="1">'[1]DV-Lists'!$K$30:$K$34</definedName>
    <definedName name="O_IM_A_3_1">'DV-Lists'!$K$30:$K$34</definedName>
    <definedName name="O_IM_B_1_1" localSheetId="2">#REF!</definedName>
    <definedName name="O_IM_B_1_1" localSheetId="1">'[1]DV-Lists'!$H$30:$H$34</definedName>
    <definedName name="O_IM_B_1_1">'DV-Lists'!$H$30:$H$34</definedName>
    <definedName name="O_IM_B_2_1" localSheetId="2">#REF!</definedName>
    <definedName name="O_IM_B_2_1" localSheetId="1">'[1]DV-Lists'!$J$30:$J$34</definedName>
    <definedName name="O_IM_B_2_1">'DV-Lists'!$J$30:$J$34</definedName>
    <definedName name="O_IM_B_3_1" localSheetId="2">#REF!</definedName>
    <definedName name="O_IM_B_3_1" localSheetId="1">'[1]DV-Lists'!$L$30:$L$34</definedName>
    <definedName name="O_IM_B_3_1">'DV-Lists'!$L$30:$L$34</definedName>
    <definedName name="O_OM_A_1_1" localSheetId="2">#REF!</definedName>
    <definedName name="O_OM_A_1_1" localSheetId="1">'[1]DV-Lists'!$M$30:$M$34</definedName>
    <definedName name="O_OM_A_1_1">'DV-Lists'!$M$30:$M$34</definedName>
    <definedName name="O_OM_A_2_1" localSheetId="2">#REF!</definedName>
    <definedName name="O_OM_A_2_1" localSheetId="1">'[1]DV-Lists'!$O$30:$O$34</definedName>
    <definedName name="O_OM_A_2_1">'DV-Lists'!$O$30:$O$34</definedName>
    <definedName name="O_OM_A_3_1" localSheetId="2">#REF!</definedName>
    <definedName name="O_OM_A_3_1" localSheetId="1">'[1]DV-Lists'!$Q$30:$Q$34</definedName>
    <definedName name="O_OM_A_3_1">'DV-Lists'!$Q$30:$Q$34</definedName>
    <definedName name="O_OM_B_1_1" localSheetId="2">#REF!</definedName>
    <definedName name="O_OM_B_1_1" localSheetId="1">'[1]DV-Lists'!$N$30:$N$34</definedName>
    <definedName name="O_OM_B_1_1">'DV-Lists'!$N$30:$N$34</definedName>
    <definedName name="O_OM_B_2_1" localSheetId="2">#REF!</definedName>
    <definedName name="O_OM_B_2_1" localSheetId="1">'[1]DV-Lists'!$P$30:$P$34</definedName>
    <definedName name="O_OM_B_2_1">'DV-Lists'!$P$30:$P$34</definedName>
    <definedName name="O_OM_B_3_1" localSheetId="2">#REF!</definedName>
    <definedName name="O_OM_B_3_1" localSheetId="1">'[1]DV-Lists'!$R$30:$R$34</definedName>
    <definedName name="O_OM_B_3_1">'DV-Lists'!$R$30:$R$34</definedName>
    <definedName name="_xlnm.Print_Area" localSheetId="6">'Roadmap Chart'!$L$3:$W$108</definedName>
    <definedName name="V_AA_A_1_1" localSheetId="2">#REF!</definedName>
    <definedName name="V_AA_A_1_1" localSheetId="1">'[1]DV-Lists'!$A$23:$A$27</definedName>
    <definedName name="V_AA_A_1_1">'DV-Lists'!$A$23:$A$27</definedName>
    <definedName name="V_AA_A_2_1" localSheetId="2">#REF!</definedName>
    <definedName name="V_AA_A_2_1" localSheetId="1">'[1]DV-Lists'!$C$23:$C$27</definedName>
    <definedName name="V_AA_A_2_1">'DV-Lists'!$C$23:$C$27</definedName>
    <definedName name="V_AA_A_3_1" localSheetId="2">#REF!</definedName>
    <definedName name="V_AA_A_3_1" localSheetId="1">'[1]DV-Lists'!$E$23:$E$27</definedName>
    <definedName name="V_AA_A_3_1">'DV-Lists'!$E$23:$E$27</definedName>
    <definedName name="V_AA_B_1_1" localSheetId="2">#REF!</definedName>
    <definedName name="V_AA_B_1_1" localSheetId="1">'[1]DV-Lists'!$B$23:$B$27</definedName>
    <definedName name="V_AA_B_1_1">'DV-Lists'!$B$23:$B$27</definedName>
    <definedName name="V_AA_B_2_1" localSheetId="2">#REF!</definedName>
    <definedName name="V_AA_B_2_1" localSheetId="1">'[1]DV-Lists'!$D$23:$D$27</definedName>
    <definedName name="V_AA_B_2_1">'DV-Lists'!$D$23:$D$27</definedName>
    <definedName name="V_AA_B_3_1" localSheetId="2">#REF!</definedName>
    <definedName name="V_AA_B_3_1" localSheetId="1">'[1]DV-Lists'!$F$23:$F$27</definedName>
    <definedName name="V_AA_B_3_1">'DV-Lists'!$F$23:$F$27</definedName>
    <definedName name="V_RT_A_1_1" localSheetId="2">#REF!</definedName>
    <definedName name="V_RT_A_1_1" localSheetId="1">'[1]DV-Lists'!$G$23:$G$27</definedName>
    <definedName name="V_RT_A_1_1">'DV-Lists'!$G$23:$G$27</definedName>
    <definedName name="V_RT_A_2_1" localSheetId="2">#REF!</definedName>
    <definedName name="V_RT_A_2_1" localSheetId="1">'[1]DV-Lists'!$I$23:$I$27</definedName>
    <definedName name="V_RT_A_2_1">'DV-Lists'!$I$23:$I$27</definedName>
    <definedName name="V_RT_A_3_1" localSheetId="2">#REF!</definedName>
    <definedName name="V_RT_A_3_1" localSheetId="1">'[1]DV-Lists'!$K$23:$K$27</definedName>
    <definedName name="V_RT_A_3_1">'DV-Lists'!$K$23:$K$27</definedName>
    <definedName name="V_RT_B_1_1" localSheetId="2">#REF!</definedName>
    <definedName name="V_RT_B_1_1" localSheetId="1">'[1]DV-Lists'!$H$23:$H$27</definedName>
    <definedName name="V_RT_B_1_1">'DV-Lists'!$H$23:$H$27</definedName>
    <definedName name="V_RT_B_2_1" localSheetId="2">#REF!</definedName>
    <definedName name="V_RT_B_2_1" localSheetId="1">'[1]DV-Lists'!$J$23:$J$27</definedName>
    <definedName name="V_RT_B_2_1">'DV-Lists'!$J$23:$J$27</definedName>
    <definedName name="V_RT_B_3_1" localSheetId="2">#REF!</definedName>
    <definedName name="V_RT_B_3_1" localSheetId="1">'[1]DV-Lists'!$L$23:$L$27</definedName>
    <definedName name="V_RT_B_3_1">'DV-Lists'!$L$23:$L$27</definedName>
    <definedName name="V_ST_A_1_1" localSheetId="2">#REF!</definedName>
    <definedName name="V_ST_A_1_1" localSheetId="1">'[1]DV-Lists'!$M$23:$M$27</definedName>
    <definedName name="V_ST_A_1_1">'DV-Lists'!$M$23:$M$27</definedName>
    <definedName name="V_ST_A_2_1" localSheetId="2">#REF!</definedName>
    <definedName name="V_ST_A_2_1" localSheetId="1">'[1]DV-Lists'!$O$23:$O$27</definedName>
    <definedName name="V_ST_A_2_1">'DV-Lists'!$O$23:$O$27</definedName>
    <definedName name="V_ST_A_3_1" localSheetId="2">#REF!</definedName>
    <definedName name="V_ST_A_3_1" localSheetId="1">'[1]DV-Lists'!$Q$23:$Q$27</definedName>
    <definedName name="V_ST_A_3_1">'DV-Lists'!$Q$23:$Q$27</definedName>
    <definedName name="V_ST_B_1_1" localSheetId="2">#REF!</definedName>
    <definedName name="V_ST_B_1_1" localSheetId="1">'[1]DV-Lists'!$N$23:$N$27</definedName>
    <definedName name="V_ST_B_1_1">'DV-Lists'!$N$23:$N$27</definedName>
    <definedName name="V_ST_B_2_1" localSheetId="2">#REF!</definedName>
    <definedName name="V_ST_B_2_1" localSheetId="1">'[1]DV-Lists'!$P$23:$P$27</definedName>
    <definedName name="V_ST_B_2_1">'DV-Lists'!$P$23:$P$27</definedName>
    <definedName name="V_ST_B_3_1" localSheetId="2">#REF!</definedName>
    <definedName name="V_ST_B_3_1" localSheetId="1">'[1]DV-Lists'!$R$23:$R$27</definedName>
    <definedName name="V_ST_B_3_1">'DV-Lists'!$R$23:$R$27</definedName>
    <definedName name="Z_9846C184_355C_EA4B_8C35_9561D1AEE31C_.wvu.Cols" localSheetId="4" hidden="1">Scorecard!$G:$G</definedName>
    <definedName name="Z_9846C184_355C_EA4B_8C35_9561D1AEE31C_.wvu.PrintArea" localSheetId="6" hidden="1">'Roadmap Chart'!$L$3:$W$108</definedName>
    <definedName name="Z_9846C184_355C_EA4B_8C35_9561D1AEE31C_.wvu.Rows" localSheetId="3" hidden="1">Interview!$1:$1</definedName>
    <definedName name="Z_9846C184_355C_EA4B_8C35_9561D1AEE31C_.wvu.Rows" localSheetId="5" hidden="1">Roadmap!$1:$1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51" i="7" l="1"/>
  <c r="P151" i="7"/>
  <c r="Q150" i="7"/>
  <c r="P150" i="7"/>
  <c r="Q149" i="7"/>
  <c r="P149" i="7"/>
  <c r="Q148" i="7"/>
  <c r="P148" i="7"/>
  <c r="M148" i="7"/>
  <c r="Q145" i="7"/>
  <c r="P145" i="7"/>
  <c r="Q144" i="7"/>
  <c r="P144" i="7"/>
  <c r="Q143" i="7"/>
  <c r="P143" i="7"/>
  <c r="Q142" i="7"/>
  <c r="P142" i="7"/>
  <c r="M142" i="7"/>
  <c r="Q139" i="7"/>
  <c r="P139" i="7"/>
  <c r="Q138" i="7"/>
  <c r="P138" i="7"/>
  <c r="Q137" i="7"/>
  <c r="P137" i="7"/>
  <c r="Q136" i="7"/>
  <c r="P136" i="7"/>
  <c r="M136" i="7"/>
  <c r="Q133" i="7"/>
  <c r="P133" i="7"/>
  <c r="Q132" i="7"/>
  <c r="P132" i="7"/>
  <c r="Q131" i="7"/>
  <c r="P131" i="7"/>
  <c r="Q130" i="7"/>
  <c r="P130" i="7"/>
  <c r="M130" i="7"/>
  <c r="Q127" i="7"/>
  <c r="P127" i="7"/>
  <c r="Q126" i="7"/>
  <c r="P126" i="7"/>
  <c r="Q125" i="7"/>
  <c r="P125" i="7"/>
  <c r="Q124" i="7"/>
  <c r="P124" i="7"/>
  <c r="M124" i="7"/>
  <c r="Q121" i="7"/>
  <c r="P121" i="7"/>
  <c r="Q120" i="7"/>
  <c r="P120" i="7"/>
  <c r="Q119" i="7"/>
  <c r="P119" i="7"/>
  <c r="Q118" i="7"/>
  <c r="P118" i="7"/>
  <c r="M118" i="7"/>
  <c r="Q115" i="7"/>
  <c r="P115" i="7"/>
  <c r="Q114" i="7"/>
  <c r="P114" i="7"/>
  <c r="Q113" i="7"/>
  <c r="P113" i="7"/>
  <c r="Q112" i="7"/>
  <c r="P112" i="7"/>
  <c r="M112" i="7"/>
  <c r="Q109" i="7"/>
  <c r="P109" i="7"/>
  <c r="Q108" i="7"/>
  <c r="P108" i="7"/>
  <c r="Q107" i="7"/>
  <c r="P107" i="7"/>
  <c r="Q106" i="7"/>
  <c r="P106" i="7"/>
  <c r="M106" i="7"/>
  <c r="Q103" i="7"/>
  <c r="P103" i="7"/>
  <c r="Q102" i="7"/>
  <c r="P102" i="7"/>
  <c r="Q101" i="7"/>
  <c r="P101" i="7"/>
  <c r="Q100" i="7"/>
  <c r="P100" i="7"/>
  <c r="M100" i="7"/>
  <c r="Q97" i="7"/>
  <c r="P97" i="7"/>
  <c r="Q96" i="7"/>
  <c r="P96" i="7"/>
  <c r="Q95" i="7"/>
  <c r="P95" i="7"/>
  <c r="Q94" i="7"/>
  <c r="P94" i="7"/>
  <c r="M94" i="7"/>
  <c r="Q91" i="7"/>
  <c r="P91" i="7"/>
  <c r="Q90" i="7"/>
  <c r="P90" i="7"/>
  <c r="Q89" i="7"/>
  <c r="P89" i="7"/>
  <c r="Q88" i="7"/>
  <c r="P88" i="7"/>
  <c r="M88" i="7"/>
  <c r="Q85" i="7"/>
  <c r="P85" i="7"/>
  <c r="Q84" i="7"/>
  <c r="P84" i="7"/>
  <c r="Q83" i="7"/>
  <c r="P83" i="7"/>
  <c r="Q82" i="7"/>
  <c r="P82" i="7"/>
  <c r="M82" i="7"/>
  <c r="Q79" i="7"/>
  <c r="P79" i="7"/>
  <c r="Q78" i="7"/>
  <c r="P78" i="7"/>
  <c r="Q77" i="7"/>
  <c r="P77" i="7"/>
  <c r="Q76" i="7"/>
  <c r="P76" i="7"/>
  <c r="M76" i="7"/>
  <c r="Q73" i="7"/>
  <c r="P73" i="7"/>
  <c r="Q72" i="7"/>
  <c r="P72" i="7"/>
  <c r="Q71" i="7"/>
  <c r="P71" i="7"/>
  <c r="Q70" i="7"/>
  <c r="P70" i="7"/>
  <c r="M70" i="7"/>
  <c r="Q67" i="7"/>
  <c r="P67" i="7"/>
  <c r="Q66" i="7"/>
  <c r="P66" i="7"/>
  <c r="Q65" i="7"/>
  <c r="P65" i="7"/>
  <c r="Q64" i="7"/>
  <c r="P64" i="7"/>
  <c r="M64" i="7"/>
  <c r="Q61" i="7"/>
  <c r="P61" i="7"/>
  <c r="Q60" i="7"/>
  <c r="P60" i="7"/>
  <c r="Q59" i="7"/>
  <c r="P59" i="7"/>
  <c r="Q58" i="7"/>
  <c r="P58" i="7"/>
  <c r="M58" i="7"/>
  <c r="Q55" i="7"/>
  <c r="P55" i="7"/>
  <c r="Q54" i="7"/>
  <c r="P54" i="7"/>
  <c r="Q53" i="7"/>
  <c r="P53" i="7"/>
  <c r="Q52" i="7"/>
  <c r="P52" i="7"/>
  <c r="M52" i="7"/>
  <c r="Q49" i="7"/>
  <c r="P49" i="7"/>
  <c r="Q48" i="7"/>
  <c r="P48" i="7"/>
  <c r="Q47" i="7"/>
  <c r="P47" i="7"/>
  <c r="Q46" i="7"/>
  <c r="P46" i="7"/>
  <c r="M46" i="7"/>
  <c r="Q43" i="7"/>
  <c r="P43" i="7"/>
  <c r="Q42" i="7"/>
  <c r="P42" i="7"/>
  <c r="Q41" i="7"/>
  <c r="P41" i="7"/>
  <c r="Q40" i="7"/>
  <c r="P40" i="7"/>
  <c r="M40" i="7"/>
  <c r="Q37" i="7"/>
  <c r="P37" i="7"/>
  <c r="Q36" i="7"/>
  <c r="P36" i="7"/>
  <c r="Q35" i="7"/>
  <c r="P35" i="7"/>
  <c r="Q34" i="7"/>
  <c r="P34" i="7"/>
  <c r="M34" i="7"/>
  <c r="Q31" i="7"/>
  <c r="P31" i="7"/>
  <c r="Q30" i="7"/>
  <c r="P30" i="7"/>
  <c r="Q29" i="7"/>
  <c r="P29" i="7"/>
  <c r="Q28" i="7"/>
  <c r="P28" i="7"/>
  <c r="M28" i="7"/>
  <c r="Q25" i="7"/>
  <c r="P25" i="7"/>
  <c r="Q24" i="7"/>
  <c r="P24" i="7"/>
  <c r="Q23" i="7"/>
  <c r="P23" i="7"/>
  <c r="Q22" i="7"/>
  <c r="P22" i="7"/>
  <c r="M22" i="7"/>
  <c r="Q19" i="7"/>
  <c r="P19" i="7"/>
  <c r="Q18" i="7"/>
  <c r="P18" i="7"/>
  <c r="Q17" i="7"/>
  <c r="P17" i="7"/>
  <c r="Q16" i="7"/>
  <c r="P16" i="7"/>
  <c r="M16" i="7"/>
  <c r="Q13" i="7"/>
  <c r="P13" i="7"/>
  <c r="Q12" i="7"/>
  <c r="P12" i="7"/>
  <c r="Q11" i="7"/>
  <c r="P11" i="7"/>
  <c r="Q10" i="7"/>
  <c r="P10" i="7"/>
  <c r="M10" i="7"/>
  <c r="Q7" i="7"/>
  <c r="P7" i="7"/>
  <c r="Q6" i="7"/>
  <c r="P6" i="7"/>
  <c r="Q5" i="7"/>
  <c r="P5" i="7"/>
  <c r="Q4" i="7"/>
  <c r="P4" i="7"/>
  <c r="M4" i="7"/>
  <c r="M3" i="7"/>
  <c r="L126" i="6"/>
  <c r="L118" i="6"/>
  <c r="L110" i="6"/>
  <c r="L102" i="6"/>
  <c r="L94" i="6"/>
  <c r="L86" i="6"/>
  <c r="L78" i="6"/>
  <c r="L70" i="6"/>
  <c r="L62" i="6"/>
  <c r="L54" i="6"/>
  <c r="L46" i="6"/>
  <c r="L38" i="6"/>
  <c r="L30" i="6"/>
  <c r="Z26" i="6"/>
  <c r="Z25" i="6"/>
  <c r="Z24" i="6"/>
  <c r="Z23" i="6"/>
  <c r="Z22" i="6"/>
  <c r="L22" i="6"/>
  <c r="Z21" i="6"/>
  <c r="Z20" i="6"/>
  <c r="Z19" i="6"/>
  <c r="Z18" i="6"/>
  <c r="Z17" i="6"/>
  <c r="Z16" i="6"/>
  <c r="Z15" i="6"/>
  <c r="L15" i="6"/>
  <c r="Z14" i="6"/>
  <c r="Z13" i="6"/>
  <c r="Z12" i="6"/>
  <c r="AE11" i="6"/>
  <c r="AD11" i="6"/>
  <c r="AC11" i="6"/>
  <c r="AB11" i="6"/>
  <c r="AA11" i="6"/>
  <c r="U11" i="6"/>
  <c r="S11" i="6"/>
  <c r="Q11" i="6"/>
  <c r="O11" i="6"/>
  <c r="B8" i="6"/>
  <c r="B7" i="6"/>
  <c r="B6" i="6"/>
  <c r="L6" i="6" s="1"/>
  <c r="B5" i="6"/>
  <c r="L5" i="6" s="1"/>
  <c r="L4" i="6"/>
  <c r="B4" i="6"/>
  <c r="L3" i="6"/>
  <c r="F154" i="5"/>
  <c r="E154" i="5"/>
  <c r="D154" i="5"/>
  <c r="C154" i="5"/>
  <c r="A154" i="5"/>
  <c r="J153" i="5"/>
  <c r="N153" i="5" s="1"/>
  <c r="R153" i="5" s="1"/>
  <c r="V153" i="5" s="1"/>
  <c r="F153" i="5"/>
  <c r="D153" i="5"/>
  <c r="A153" i="5"/>
  <c r="C153" i="5" s="1"/>
  <c r="R152" i="5"/>
  <c r="V152" i="5" s="1"/>
  <c r="J152" i="5"/>
  <c r="N152" i="5" s="1"/>
  <c r="F152" i="5"/>
  <c r="C152" i="5"/>
  <c r="A152" i="5"/>
  <c r="B152" i="5" s="1"/>
  <c r="F150" i="5"/>
  <c r="J150" i="5" s="1"/>
  <c r="N150" i="5" s="1"/>
  <c r="R150" i="5" s="1"/>
  <c r="V150" i="5" s="1"/>
  <c r="C150" i="5"/>
  <c r="A150" i="5"/>
  <c r="R149" i="5"/>
  <c r="V149" i="5" s="1"/>
  <c r="F149" i="5"/>
  <c r="J149" i="5" s="1"/>
  <c r="N149" i="5" s="1"/>
  <c r="E149" i="5"/>
  <c r="C149" i="5"/>
  <c r="A149" i="5"/>
  <c r="D149" i="5" s="1"/>
  <c r="R148" i="5"/>
  <c r="V148" i="5" s="1"/>
  <c r="F148" i="5"/>
  <c r="J148" i="5" s="1"/>
  <c r="N148" i="5" s="1"/>
  <c r="B148" i="5"/>
  <c r="A148" i="5"/>
  <c r="R145" i="5"/>
  <c r="V145" i="5" s="1"/>
  <c r="N145" i="5"/>
  <c r="J145" i="5"/>
  <c r="F145" i="5"/>
  <c r="E145" i="5"/>
  <c r="D145" i="5"/>
  <c r="C145" i="5"/>
  <c r="A145" i="5"/>
  <c r="F144" i="5"/>
  <c r="J144" i="5" s="1"/>
  <c r="N144" i="5" s="1"/>
  <c r="R144" i="5" s="1"/>
  <c r="V144" i="5" s="1"/>
  <c r="A144" i="5"/>
  <c r="F143" i="5"/>
  <c r="J143" i="5" s="1"/>
  <c r="N143" i="5" s="1"/>
  <c r="R143" i="5" s="1"/>
  <c r="V143" i="5" s="1"/>
  <c r="D143" i="5"/>
  <c r="C143" i="5"/>
  <c r="A143" i="5"/>
  <c r="N141" i="5"/>
  <c r="R141" i="5" s="1"/>
  <c r="V141" i="5" s="1"/>
  <c r="F141" i="5"/>
  <c r="J141" i="5" s="1"/>
  <c r="C141" i="5"/>
  <c r="A141" i="5"/>
  <c r="F140" i="5"/>
  <c r="J140" i="5" s="1"/>
  <c r="N140" i="5" s="1"/>
  <c r="R140" i="5" s="1"/>
  <c r="V140" i="5" s="1"/>
  <c r="E140" i="5"/>
  <c r="C140" i="5"/>
  <c r="A140" i="5"/>
  <c r="D140" i="5" s="1"/>
  <c r="N139" i="5"/>
  <c r="R139" i="5" s="1"/>
  <c r="V139" i="5" s="1"/>
  <c r="F139" i="5"/>
  <c r="J139" i="5" s="1"/>
  <c r="E139" i="5"/>
  <c r="B139" i="5"/>
  <c r="A139" i="5"/>
  <c r="R136" i="5"/>
  <c r="V136" i="5" s="1"/>
  <c r="N136" i="5"/>
  <c r="F136" i="5"/>
  <c r="J136" i="5" s="1"/>
  <c r="E136" i="5"/>
  <c r="D136" i="5"/>
  <c r="A136" i="5"/>
  <c r="C136" i="5" s="1"/>
  <c r="V135" i="5"/>
  <c r="J135" i="5"/>
  <c r="N135" i="5" s="1"/>
  <c r="R135" i="5" s="1"/>
  <c r="F135" i="5"/>
  <c r="E135" i="5"/>
  <c r="D135" i="5"/>
  <c r="C135" i="5"/>
  <c r="A135" i="5"/>
  <c r="J134" i="5"/>
  <c r="N134" i="5" s="1"/>
  <c r="R134" i="5" s="1"/>
  <c r="V134" i="5" s="1"/>
  <c r="F134" i="5"/>
  <c r="A134" i="5"/>
  <c r="V132" i="5"/>
  <c r="R132" i="5"/>
  <c r="N132" i="5"/>
  <c r="J132" i="5"/>
  <c r="F132" i="5"/>
  <c r="D132" i="5"/>
  <c r="A132" i="5"/>
  <c r="N131" i="5"/>
  <c r="R131" i="5" s="1"/>
  <c r="V131" i="5" s="1"/>
  <c r="J131" i="5"/>
  <c r="F131" i="5"/>
  <c r="D131" i="5"/>
  <c r="C131" i="5"/>
  <c r="A131" i="5"/>
  <c r="E131" i="5" s="1"/>
  <c r="R130" i="5"/>
  <c r="V130" i="5" s="1"/>
  <c r="F130" i="5"/>
  <c r="J130" i="5" s="1"/>
  <c r="N130" i="5" s="1"/>
  <c r="A130" i="5"/>
  <c r="F126" i="5"/>
  <c r="J126" i="5" s="1"/>
  <c r="D126" i="5"/>
  <c r="C126" i="5"/>
  <c r="A126" i="5"/>
  <c r="E126" i="5" s="1"/>
  <c r="J125" i="5"/>
  <c r="N125" i="5" s="1"/>
  <c r="R125" i="5" s="1"/>
  <c r="V125" i="5" s="1"/>
  <c r="F125" i="5"/>
  <c r="A125" i="5"/>
  <c r="V124" i="5"/>
  <c r="F124" i="5"/>
  <c r="J124" i="5" s="1"/>
  <c r="N124" i="5" s="1"/>
  <c r="R124" i="5" s="1"/>
  <c r="E124" i="5"/>
  <c r="D124" i="5"/>
  <c r="B124" i="5"/>
  <c r="A124" i="5"/>
  <c r="C124" i="5" s="1"/>
  <c r="J122" i="5"/>
  <c r="N122" i="5" s="1"/>
  <c r="R122" i="5" s="1"/>
  <c r="V122" i="5" s="1"/>
  <c r="F122" i="5"/>
  <c r="A122" i="5"/>
  <c r="J121" i="5"/>
  <c r="N121" i="5" s="1"/>
  <c r="R121" i="5" s="1"/>
  <c r="V121" i="5" s="1"/>
  <c r="F121" i="5"/>
  <c r="E121" i="5"/>
  <c r="D121" i="5"/>
  <c r="C121" i="5"/>
  <c r="A121" i="5"/>
  <c r="N120" i="5"/>
  <c r="R120" i="5" s="1"/>
  <c r="V120" i="5" s="1"/>
  <c r="J120" i="5"/>
  <c r="F120" i="5"/>
  <c r="E120" i="5"/>
  <c r="D120" i="5"/>
  <c r="C120" i="5"/>
  <c r="B120" i="5"/>
  <c r="A120" i="5"/>
  <c r="V117" i="5"/>
  <c r="F117" i="5"/>
  <c r="J117" i="5" s="1"/>
  <c r="N117" i="5" s="1"/>
  <c r="R117" i="5" s="1"/>
  <c r="E117" i="5"/>
  <c r="D117" i="5"/>
  <c r="C117" i="5"/>
  <c r="A117" i="5"/>
  <c r="R116" i="5"/>
  <c r="V116" i="5" s="1"/>
  <c r="N116" i="5"/>
  <c r="J116" i="5"/>
  <c r="F116" i="5"/>
  <c r="A116" i="5"/>
  <c r="J115" i="5"/>
  <c r="N115" i="5" s="1"/>
  <c r="F115" i="5"/>
  <c r="E115" i="5"/>
  <c r="D115" i="5"/>
  <c r="C115" i="5"/>
  <c r="B115" i="5"/>
  <c r="A115" i="5"/>
  <c r="F113" i="5"/>
  <c r="J113" i="5" s="1"/>
  <c r="N113" i="5" s="1"/>
  <c r="R113" i="5" s="1"/>
  <c r="V113" i="5" s="1"/>
  <c r="D113" i="5"/>
  <c r="A113" i="5"/>
  <c r="E113" i="5" s="1"/>
  <c r="V112" i="5"/>
  <c r="R112" i="5"/>
  <c r="N112" i="5"/>
  <c r="F112" i="5"/>
  <c r="J112" i="5" s="1"/>
  <c r="E112" i="5"/>
  <c r="D112" i="5"/>
  <c r="C112" i="5"/>
  <c r="A112" i="5"/>
  <c r="F111" i="5"/>
  <c r="J111" i="5" s="1"/>
  <c r="N111" i="5" s="1"/>
  <c r="R111" i="5" s="1"/>
  <c r="V111" i="5" s="1"/>
  <c r="C111" i="5"/>
  <c r="A111" i="5"/>
  <c r="F108" i="5"/>
  <c r="J108" i="5" s="1"/>
  <c r="N108" i="5" s="1"/>
  <c r="R108" i="5" s="1"/>
  <c r="V108" i="5" s="1"/>
  <c r="E108" i="5"/>
  <c r="D108" i="5"/>
  <c r="C108" i="5"/>
  <c r="A108" i="5"/>
  <c r="N107" i="5"/>
  <c r="R107" i="5" s="1"/>
  <c r="V107" i="5" s="1"/>
  <c r="J107" i="5"/>
  <c r="F107" i="5"/>
  <c r="D107" i="5"/>
  <c r="A107" i="5"/>
  <c r="N106" i="5"/>
  <c r="R106" i="5" s="1"/>
  <c r="V106" i="5" s="1"/>
  <c r="F106" i="5"/>
  <c r="J106" i="5" s="1"/>
  <c r="D106" i="5"/>
  <c r="B106" i="5"/>
  <c r="A106" i="5"/>
  <c r="C106" i="5" s="1"/>
  <c r="F104" i="5"/>
  <c r="J104" i="5" s="1"/>
  <c r="N104" i="5" s="1"/>
  <c r="R104" i="5" s="1"/>
  <c r="V104" i="5" s="1"/>
  <c r="D104" i="5"/>
  <c r="C104" i="5"/>
  <c r="A104" i="5"/>
  <c r="E104" i="5" s="1"/>
  <c r="R103" i="5"/>
  <c r="V103" i="5" s="1"/>
  <c r="N103" i="5"/>
  <c r="J103" i="5"/>
  <c r="F103" i="5"/>
  <c r="A103" i="5"/>
  <c r="V102" i="5"/>
  <c r="R102" i="5"/>
  <c r="N102" i="5"/>
  <c r="J102" i="5"/>
  <c r="F102" i="5"/>
  <c r="E102" i="5"/>
  <c r="D102" i="5"/>
  <c r="C102" i="5"/>
  <c r="B102" i="5"/>
  <c r="A102" i="5"/>
  <c r="N98" i="5"/>
  <c r="R98" i="5" s="1"/>
  <c r="V98" i="5" s="1"/>
  <c r="J98" i="5"/>
  <c r="F98" i="5"/>
  <c r="E98" i="5"/>
  <c r="C98" i="5"/>
  <c r="A98" i="5"/>
  <c r="D98" i="5" s="1"/>
  <c r="F97" i="5"/>
  <c r="J97" i="5" s="1"/>
  <c r="N97" i="5" s="1"/>
  <c r="R97" i="5" s="1"/>
  <c r="V97" i="5" s="1"/>
  <c r="C97" i="5"/>
  <c r="A97" i="5"/>
  <c r="F96" i="5"/>
  <c r="J96" i="5" s="1"/>
  <c r="N96" i="5" s="1"/>
  <c r="R96" i="5" s="1"/>
  <c r="V96" i="5" s="1"/>
  <c r="C96" i="5"/>
  <c r="A96" i="5"/>
  <c r="F94" i="5"/>
  <c r="J94" i="5" s="1"/>
  <c r="N94" i="5" s="1"/>
  <c r="R94" i="5" s="1"/>
  <c r="V94" i="5" s="1"/>
  <c r="C94" i="5"/>
  <c r="A94" i="5"/>
  <c r="J93" i="5"/>
  <c r="N93" i="5" s="1"/>
  <c r="R93" i="5" s="1"/>
  <c r="V93" i="5" s="1"/>
  <c r="F93" i="5"/>
  <c r="E93" i="5"/>
  <c r="D93" i="5"/>
  <c r="A93" i="5"/>
  <c r="C93" i="5" s="1"/>
  <c r="N92" i="5"/>
  <c r="R92" i="5" s="1"/>
  <c r="V92" i="5" s="1"/>
  <c r="J92" i="5"/>
  <c r="F92" i="5"/>
  <c r="B92" i="5"/>
  <c r="A92" i="5"/>
  <c r="R89" i="5"/>
  <c r="V89" i="5" s="1"/>
  <c r="N89" i="5"/>
  <c r="F89" i="5"/>
  <c r="J89" i="5" s="1"/>
  <c r="A89" i="5"/>
  <c r="R88" i="5"/>
  <c r="J88" i="5"/>
  <c r="N88" i="5" s="1"/>
  <c r="F88" i="5"/>
  <c r="D88" i="5"/>
  <c r="C88" i="5"/>
  <c r="A88" i="5"/>
  <c r="E88" i="5" s="1"/>
  <c r="R87" i="5"/>
  <c r="V87" i="5" s="1"/>
  <c r="J87" i="5"/>
  <c r="N87" i="5" s="1"/>
  <c r="F87" i="5"/>
  <c r="E87" i="5"/>
  <c r="B87" i="5"/>
  <c r="A87" i="5"/>
  <c r="F85" i="5"/>
  <c r="J85" i="5" s="1"/>
  <c r="N85" i="5" s="1"/>
  <c r="E85" i="5"/>
  <c r="C85" i="5"/>
  <c r="A85" i="5"/>
  <c r="D85" i="5" s="1"/>
  <c r="V84" i="5"/>
  <c r="F84" i="5"/>
  <c r="J84" i="5" s="1"/>
  <c r="N84" i="5" s="1"/>
  <c r="R84" i="5" s="1"/>
  <c r="A84" i="5"/>
  <c r="F83" i="5"/>
  <c r="J83" i="5" s="1"/>
  <c r="N83" i="5" s="1"/>
  <c r="R83" i="5" s="1"/>
  <c r="V83" i="5" s="1"/>
  <c r="B83" i="5"/>
  <c r="A83" i="5"/>
  <c r="R80" i="5"/>
  <c r="V80" i="5" s="1"/>
  <c r="N80" i="5"/>
  <c r="F80" i="5"/>
  <c r="J80" i="5" s="1"/>
  <c r="A80" i="5"/>
  <c r="J79" i="5"/>
  <c r="N79" i="5" s="1"/>
  <c r="R79" i="5" s="1"/>
  <c r="V79" i="5" s="1"/>
  <c r="F79" i="5"/>
  <c r="A79" i="5"/>
  <c r="J78" i="5"/>
  <c r="N78" i="5" s="1"/>
  <c r="R78" i="5" s="1"/>
  <c r="F78" i="5"/>
  <c r="E78" i="5"/>
  <c r="D78" i="5"/>
  <c r="C78" i="5"/>
  <c r="B78" i="5"/>
  <c r="A78" i="5"/>
  <c r="J76" i="5"/>
  <c r="F76" i="5"/>
  <c r="D76" i="5"/>
  <c r="C76" i="5"/>
  <c r="A76" i="5"/>
  <c r="E76" i="5" s="1"/>
  <c r="V75" i="5"/>
  <c r="R75" i="5"/>
  <c r="F75" i="5"/>
  <c r="J75" i="5" s="1"/>
  <c r="N75" i="5" s="1"/>
  <c r="E75" i="5"/>
  <c r="D75" i="5"/>
  <c r="C75" i="5"/>
  <c r="A75" i="5"/>
  <c r="F74" i="5"/>
  <c r="C74" i="5"/>
  <c r="B74" i="5"/>
  <c r="A74" i="5"/>
  <c r="E74" i="5" s="1"/>
  <c r="F70" i="5"/>
  <c r="J70" i="5" s="1"/>
  <c r="N70" i="5" s="1"/>
  <c r="R70" i="5" s="1"/>
  <c r="V70" i="5" s="1"/>
  <c r="D70" i="5"/>
  <c r="A70" i="5"/>
  <c r="F69" i="5"/>
  <c r="J69" i="5" s="1"/>
  <c r="N69" i="5" s="1"/>
  <c r="R69" i="5" s="1"/>
  <c r="V69" i="5" s="1"/>
  <c r="E69" i="5"/>
  <c r="C69" i="5"/>
  <c r="A69" i="5"/>
  <c r="D69" i="5" s="1"/>
  <c r="N68" i="5"/>
  <c r="R68" i="5" s="1"/>
  <c r="V68" i="5" s="1"/>
  <c r="F68" i="5"/>
  <c r="J68" i="5" s="1"/>
  <c r="E68" i="5"/>
  <c r="B68" i="5"/>
  <c r="A68" i="5"/>
  <c r="C68" i="5" s="1"/>
  <c r="F66" i="5"/>
  <c r="J66" i="5" s="1"/>
  <c r="N66" i="5" s="1"/>
  <c r="R66" i="5" s="1"/>
  <c r="V66" i="5" s="1"/>
  <c r="E66" i="5"/>
  <c r="C66" i="5"/>
  <c r="A66" i="5"/>
  <c r="D66" i="5" s="1"/>
  <c r="N65" i="5"/>
  <c r="R65" i="5" s="1"/>
  <c r="V65" i="5" s="1"/>
  <c r="F65" i="5"/>
  <c r="J65" i="5" s="1"/>
  <c r="D65" i="5"/>
  <c r="C65" i="5"/>
  <c r="A65" i="5"/>
  <c r="E65" i="5" s="1"/>
  <c r="J64" i="5"/>
  <c r="N64" i="5" s="1"/>
  <c r="R64" i="5" s="1"/>
  <c r="V64" i="5" s="1"/>
  <c r="F64" i="5"/>
  <c r="E64" i="5"/>
  <c r="A64" i="5"/>
  <c r="J61" i="5"/>
  <c r="N61" i="5" s="1"/>
  <c r="R61" i="5" s="1"/>
  <c r="V61" i="5" s="1"/>
  <c r="F61" i="5"/>
  <c r="A61" i="5"/>
  <c r="J60" i="5"/>
  <c r="N60" i="5" s="1"/>
  <c r="R60" i="5" s="1"/>
  <c r="V60" i="5" s="1"/>
  <c r="F60" i="5"/>
  <c r="E60" i="5"/>
  <c r="A60" i="5"/>
  <c r="D60" i="5" s="1"/>
  <c r="F59" i="5"/>
  <c r="J59" i="5" s="1"/>
  <c r="N59" i="5" s="1"/>
  <c r="R59" i="5" s="1"/>
  <c r="V59" i="5" s="1"/>
  <c r="A59" i="5"/>
  <c r="V57" i="5"/>
  <c r="J57" i="5"/>
  <c r="N57" i="5" s="1"/>
  <c r="R57" i="5" s="1"/>
  <c r="F57" i="5"/>
  <c r="A57" i="5"/>
  <c r="R56" i="5"/>
  <c r="V56" i="5" s="1"/>
  <c r="J56" i="5"/>
  <c r="N56" i="5" s="1"/>
  <c r="F56" i="5"/>
  <c r="C56" i="5"/>
  <c r="A56" i="5"/>
  <c r="D56" i="5" s="1"/>
  <c r="V55" i="5"/>
  <c r="F55" i="5"/>
  <c r="J55" i="5" s="1"/>
  <c r="N55" i="5" s="1"/>
  <c r="R55" i="5" s="1"/>
  <c r="B55" i="5"/>
  <c r="A55" i="5"/>
  <c r="N52" i="5"/>
  <c r="R52" i="5" s="1"/>
  <c r="V52" i="5" s="1"/>
  <c r="F52" i="5"/>
  <c r="J52" i="5" s="1"/>
  <c r="E52" i="5"/>
  <c r="A52" i="5"/>
  <c r="N51" i="5"/>
  <c r="R51" i="5" s="1"/>
  <c r="V51" i="5" s="1"/>
  <c r="F51" i="5"/>
  <c r="J51" i="5" s="1"/>
  <c r="E51" i="5"/>
  <c r="D51" i="5"/>
  <c r="A51" i="5"/>
  <c r="C51" i="5" s="1"/>
  <c r="J50" i="5"/>
  <c r="N50" i="5" s="1"/>
  <c r="R50" i="5" s="1"/>
  <c r="V50" i="5" s="1"/>
  <c r="F50" i="5"/>
  <c r="A50" i="5"/>
  <c r="V48" i="5"/>
  <c r="J48" i="5"/>
  <c r="N48" i="5" s="1"/>
  <c r="R48" i="5" s="1"/>
  <c r="F48" i="5"/>
  <c r="E48" i="5"/>
  <c r="D48" i="5"/>
  <c r="C48" i="5"/>
  <c r="A48" i="5"/>
  <c r="N47" i="5"/>
  <c r="R47" i="5" s="1"/>
  <c r="F47" i="5"/>
  <c r="J47" i="5" s="1"/>
  <c r="E47" i="5"/>
  <c r="D47" i="5"/>
  <c r="C47" i="5"/>
  <c r="A47" i="5"/>
  <c r="N46" i="5"/>
  <c r="R46" i="5" s="1"/>
  <c r="V46" i="5" s="1"/>
  <c r="J46" i="5"/>
  <c r="F46" i="5"/>
  <c r="A46" i="5"/>
  <c r="N42" i="5"/>
  <c r="R42" i="5" s="1"/>
  <c r="V42" i="5" s="1"/>
  <c r="J42" i="5"/>
  <c r="F42" i="5"/>
  <c r="E42" i="5"/>
  <c r="C42" i="5"/>
  <c r="A42" i="5"/>
  <c r="D42" i="5" s="1"/>
  <c r="J41" i="5"/>
  <c r="N41" i="5" s="1"/>
  <c r="R41" i="5" s="1"/>
  <c r="V41" i="5" s="1"/>
  <c r="F41" i="5"/>
  <c r="A41" i="5"/>
  <c r="J40" i="5"/>
  <c r="N40" i="5" s="1"/>
  <c r="R40" i="5" s="1"/>
  <c r="V40" i="5" s="1"/>
  <c r="F40" i="5"/>
  <c r="E40" i="5"/>
  <c r="C40" i="5"/>
  <c r="B40" i="5"/>
  <c r="A40" i="5"/>
  <c r="D40" i="5" s="1"/>
  <c r="F38" i="5"/>
  <c r="J38" i="5" s="1"/>
  <c r="N38" i="5" s="1"/>
  <c r="R38" i="5" s="1"/>
  <c r="E38" i="5"/>
  <c r="D38" i="5"/>
  <c r="C38" i="5"/>
  <c r="A38" i="5"/>
  <c r="J37" i="5"/>
  <c r="N37" i="5" s="1"/>
  <c r="R37" i="5" s="1"/>
  <c r="V37" i="5" s="1"/>
  <c r="F37" i="5"/>
  <c r="A37" i="5"/>
  <c r="F36" i="5"/>
  <c r="J36" i="5" s="1"/>
  <c r="N36" i="5" s="1"/>
  <c r="R36" i="5" s="1"/>
  <c r="V36" i="5" s="1"/>
  <c r="E36" i="5"/>
  <c r="D36" i="5"/>
  <c r="B36" i="5"/>
  <c r="A36" i="5"/>
  <c r="C36" i="5" s="1"/>
  <c r="N33" i="5"/>
  <c r="R33" i="5" s="1"/>
  <c r="V33" i="5" s="1"/>
  <c r="F33" i="5"/>
  <c r="J33" i="5" s="1"/>
  <c r="E33" i="5"/>
  <c r="D33" i="5"/>
  <c r="C33" i="5"/>
  <c r="A33" i="5"/>
  <c r="N32" i="5"/>
  <c r="F32" i="5"/>
  <c r="J32" i="5" s="1"/>
  <c r="E32" i="5"/>
  <c r="D32" i="5"/>
  <c r="C32" i="5"/>
  <c r="A32" i="5"/>
  <c r="J31" i="5"/>
  <c r="N31" i="5" s="1"/>
  <c r="R31" i="5" s="1"/>
  <c r="V31" i="5" s="1"/>
  <c r="F31" i="5"/>
  <c r="E31" i="5"/>
  <c r="C31" i="5"/>
  <c r="A31" i="5"/>
  <c r="N29" i="5"/>
  <c r="R29" i="5" s="1"/>
  <c r="V29" i="5" s="1"/>
  <c r="J29" i="5"/>
  <c r="F29" i="5"/>
  <c r="A29" i="5"/>
  <c r="N28" i="5"/>
  <c r="R28" i="5" s="1"/>
  <c r="V28" i="5" s="1"/>
  <c r="F28" i="5"/>
  <c r="J28" i="5" s="1"/>
  <c r="D28" i="5"/>
  <c r="C28" i="5"/>
  <c r="A28" i="5"/>
  <c r="E28" i="5" s="1"/>
  <c r="R27" i="5"/>
  <c r="V27" i="5" s="1"/>
  <c r="F27" i="5"/>
  <c r="J27" i="5" s="1"/>
  <c r="N27" i="5" s="1"/>
  <c r="E27" i="5"/>
  <c r="D27" i="5"/>
  <c r="C27" i="5"/>
  <c r="B27" i="5"/>
  <c r="A27" i="5"/>
  <c r="N24" i="5"/>
  <c r="R24" i="5" s="1"/>
  <c r="V24" i="5" s="1"/>
  <c r="J24" i="5"/>
  <c r="F24" i="5"/>
  <c r="C24" i="5"/>
  <c r="A24" i="5"/>
  <c r="F23" i="5"/>
  <c r="J23" i="5" s="1"/>
  <c r="N23" i="5" s="1"/>
  <c r="R23" i="5" s="1"/>
  <c r="E23" i="5"/>
  <c r="C23" i="5"/>
  <c r="A23" i="5"/>
  <c r="D23" i="5" s="1"/>
  <c r="V22" i="5"/>
  <c r="J22" i="5"/>
  <c r="N22" i="5" s="1"/>
  <c r="R22" i="5" s="1"/>
  <c r="F22" i="5"/>
  <c r="E22" i="5"/>
  <c r="D22" i="5"/>
  <c r="A22" i="5"/>
  <c r="N20" i="5"/>
  <c r="R20" i="5" s="1"/>
  <c r="V20" i="5" s="1"/>
  <c r="F20" i="5"/>
  <c r="J20" i="5" s="1"/>
  <c r="A20" i="5"/>
  <c r="F19" i="5"/>
  <c r="E19" i="5"/>
  <c r="D19" i="5"/>
  <c r="C19" i="5"/>
  <c r="A19" i="5"/>
  <c r="J18" i="5"/>
  <c r="N18" i="5" s="1"/>
  <c r="R18" i="5" s="1"/>
  <c r="F18" i="5"/>
  <c r="D18" i="5"/>
  <c r="C18" i="5"/>
  <c r="B18" i="5"/>
  <c r="A18" i="5"/>
  <c r="E18" i="5" s="1"/>
  <c r="A15" i="5"/>
  <c r="D14" i="5"/>
  <c r="D13" i="5"/>
  <c r="D12" i="5"/>
  <c r="D11" i="5"/>
  <c r="D10" i="5"/>
  <c r="B1" i="5"/>
  <c r="U108" i="4"/>
  <c r="T108" i="4"/>
  <c r="B108" i="4"/>
  <c r="A108" i="4"/>
  <c r="U107" i="4"/>
  <c r="T107" i="4"/>
  <c r="B107" i="4"/>
  <c r="A107" i="4"/>
  <c r="U106" i="4"/>
  <c r="T106" i="4"/>
  <c r="Z93" i="4" s="1"/>
  <c r="B106" i="4"/>
  <c r="A106" i="4"/>
  <c r="I98" i="4" s="1"/>
  <c r="U105" i="4"/>
  <c r="T105" i="4"/>
  <c r="B105" i="4"/>
  <c r="A105" i="4"/>
  <c r="U104" i="4"/>
  <c r="T104" i="4"/>
  <c r="B104" i="4"/>
  <c r="A104" i="4"/>
  <c r="U103" i="4"/>
  <c r="T103" i="4"/>
  <c r="B103" i="4"/>
  <c r="A103" i="4"/>
  <c r="I97" i="4" s="1"/>
  <c r="U102" i="4"/>
  <c r="T102" i="4"/>
  <c r="B102" i="4"/>
  <c r="A102" i="4"/>
  <c r="U101" i="4"/>
  <c r="T101" i="4"/>
  <c r="B101" i="4"/>
  <c r="A101" i="4"/>
  <c r="U100" i="4"/>
  <c r="T100" i="4"/>
  <c r="X93" i="4" s="1"/>
  <c r="B100" i="4"/>
  <c r="A100" i="4"/>
  <c r="U99" i="4"/>
  <c r="T99" i="4"/>
  <c r="B99" i="4"/>
  <c r="A99" i="4"/>
  <c r="U98" i="4"/>
  <c r="T98" i="4"/>
  <c r="B98" i="4"/>
  <c r="A98" i="4"/>
  <c r="U97" i="4"/>
  <c r="T97" i="4"/>
  <c r="W93" i="4" s="1"/>
  <c r="B97" i="4"/>
  <c r="A97" i="4"/>
  <c r="I95" i="4" s="1"/>
  <c r="U96" i="4"/>
  <c r="T96" i="4"/>
  <c r="I96" i="4"/>
  <c r="B96" i="4"/>
  <c r="A96" i="4"/>
  <c r="U95" i="4"/>
  <c r="T95" i="4"/>
  <c r="B95" i="4"/>
  <c r="A95" i="4"/>
  <c r="U94" i="4"/>
  <c r="T94" i="4"/>
  <c r="I94" i="4"/>
  <c r="B94" i="4"/>
  <c r="A94" i="4"/>
  <c r="Y93" i="4"/>
  <c r="V93" i="4"/>
  <c r="U87" i="4"/>
  <c r="T87" i="4"/>
  <c r="B87" i="4"/>
  <c r="A87" i="4"/>
  <c r="U86" i="4"/>
  <c r="T86" i="4"/>
  <c r="B86" i="4"/>
  <c r="A86" i="4"/>
  <c r="U85" i="4"/>
  <c r="T85" i="4"/>
  <c r="Z72" i="4" s="1"/>
  <c r="B85" i="4"/>
  <c r="A85" i="4"/>
  <c r="U84" i="4"/>
  <c r="T84" i="4"/>
  <c r="B84" i="4"/>
  <c r="A84" i="4"/>
  <c r="U83" i="4"/>
  <c r="T83" i="4"/>
  <c r="B83" i="4"/>
  <c r="A83" i="4"/>
  <c r="U82" i="4"/>
  <c r="T82" i="4"/>
  <c r="B82" i="4"/>
  <c r="A82" i="4"/>
  <c r="I76" i="4" s="1"/>
  <c r="U81" i="4"/>
  <c r="T81" i="4"/>
  <c r="B81" i="4"/>
  <c r="A81" i="4"/>
  <c r="U80" i="4"/>
  <c r="T80" i="4"/>
  <c r="B80" i="4"/>
  <c r="A80" i="4"/>
  <c r="U79" i="4"/>
  <c r="T79" i="4"/>
  <c r="X72" i="4" s="1"/>
  <c r="B79" i="4"/>
  <c r="A79" i="4"/>
  <c r="I75" i="4" s="1"/>
  <c r="U78" i="4"/>
  <c r="T78" i="4"/>
  <c r="B78" i="4"/>
  <c r="A78" i="4"/>
  <c r="U77" i="4"/>
  <c r="T77" i="4"/>
  <c r="I77" i="4"/>
  <c r="B77" i="4"/>
  <c r="A77" i="4"/>
  <c r="U76" i="4"/>
  <c r="T76" i="4"/>
  <c r="W72" i="4" s="1"/>
  <c r="B76" i="4"/>
  <c r="A76" i="4"/>
  <c r="U75" i="4"/>
  <c r="T75" i="4"/>
  <c r="B75" i="4"/>
  <c r="A75" i="4"/>
  <c r="U74" i="4"/>
  <c r="T74" i="4"/>
  <c r="I74" i="4"/>
  <c r="B74" i="4"/>
  <c r="A74" i="4"/>
  <c r="U73" i="4"/>
  <c r="T73" i="4"/>
  <c r="B73" i="4"/>
  <c r="A73" i="4"/>
  <c r="I73" i="4" s="1"/>
  <c r="Y72" i="4"/>
  <c r="V72" i="4"/>
  <c r="U68" i="4"/>
  <c r="T68" i="4"/>
  <c r="B68" i="4"/>
  <c r="A68" i="4"/>
  <c r="U67" i="4"/>
  <c r="T67" i="4"/>
  <c r="B67" i="4"/>
  <c r="A67" i="4"/>
  <c r="U66" i="4"/>
  <c r="T66" i="4"/>
  <c r="Z53" i="4" s="1"/>
  <c r="B66" i="4"/>
  <c r="A66" i="4"/>
  <c r="I58" i="4" s="1"/>
  <c r="U65" i="4"/>
  <c r="T65" i="4"/>
  <c r="B65" i="4"/>
  <c r="A65" i="4"/>
  <c r="U64" i="4"/>
  <c r="T64" i="4"/>
  <c r="B64" i="4"/>
  <c r="A64" i="4"/>
  <c r="U63" i="4"/>
  <c r="T63" i="4"/>
  <c r="Y53" i="4" s="1"/>
  <c r="B63" i="4"/>
  <c r="A63" i="4"/>
  <c r="I57" i="4" s="1"/>
  <c r="U62" i="4"/>
  <c r="T62" i="4"/>
  <c r="B62" i="4"/>
  <c r="A62" i="4"/>
  <c r="U61" i="4"/>
  <c r="T61" i="4"/>
  <c r="B61" i="4"/>
  <c r="A61" i="4"/>
  <c r="U60" i="4"/>
  <c r="T60" i="4"/>
  <c r="B60" i="4"/>
  <c r="A60" i="4"/>
  <c r="U59" i="4"/>
  <c r="T59" i="4"/>
  <c r="B59" i="4"/>
  <c r="A59" i="4"/>
  <c r="U58" i="4"/>
  <c r="T58" i="4"/>
  <c r="B58" i="4"/>
  <c r="A58" i="4"/>
  <c r="U57" i="4"/>
  <c r="T57" i="4"/>
  <c r="W53" i="4" s="1"/>
  <c r="B57" i="4"/>
  <c r="A57" i="4"/>
  <c r="U56" i="4"/>
  <c r="T56" i="4"/>
  <c r="I56" i="4"/>
  <c r="B56" i="4"/>
  <c r="A56" i="4"/>
  <c r="U55" i="4"/>
  <c r="T55" i="4"/>
  <c r="I55" i="4"/>
  <c r="B55" i="4"/>
  <c r="A55" i="4"/>
  <c r="U54" i="4"/>
  <c r="T54" i="4"/>
  <c r="I54" i="4"/>
  <c r="B54" i="4"/>
  <c r="A54" i="4"/>
  <c r="X53" i="4"/>
  <c r="V53" i="4"/>
  <c r="U48" i="4"/>
  <c r="T48" i="4"/>
  <c r="B48" i="4"/>
  <c r="A48" i="4"/>
  <c r="U47" i="4"/>
  <c r="T47" i="4"/>
  <c r="B47" i="4"/>
  <c r="A47" i="4"/>
  <c r="U46" i="4"/>
  <c r="T46" i="4"/>
  <c r="Z33" i="4" s="1"/>
  <c r="B46" i="4"/>
  <c r="A46" i="4"/>
  <c r="I38" i="4" s="1"/>
  <c r="U45" i="4"/>
  <c r="T45" i="4"/>
  <c r="B45" i="4"/>
  <c r="A45" i="4"/>
  <c r="U44" i="4"/>
  <c r="T44" i="4"/>
  <c r="B44" i="4"/>
  <c r="A44" i="4"/>
  <c r="U43" i="4"/>
  <c r="T43" i="4"/>
  <c r="B43" i="4"/>
  <c r="A43" i="4"/>
  <c r="I37" i="4" s="1"/>
  <c r="U42" i="4"/>
  <c r="T42" i="4"/>
  <c r="B42" i="4"/>
  <c r="A42" i="4"/>
  <c r="U41" i="4"/>
  <c r="T41" i="4"/>
  <c r="B41" i="4"/>
  <c r="A41" i="4"/>
  <c r="U40" i="4"/>
  <c r="T40" i="4"/>
  <c r="X33" i="4" s="1"/>
  <c r="B40" i="4"/>
  <c r="A40" i="4"/>
  <c r="U39" i="4"/>
  <c r="T39" i="4"/>
  <c r="B39" i="4"/>
  <c r="A39" i="4"/>
  <c r="U38" i="4"/>
  <c r="T38" i="4"/>
  <c r="B38" i="4"/>
  <c r="A38" i="4"/>
  <c r="U37" i="4"/>
  <c r="T37" i="4"/>
  <c r="W33" i="4" s="1"/>
  <c r="B37" i="4"/>
  <c r="A37" i="4"/>
  <c r="I35" i="4" s="1"/>
  <c r="U36" i="4"/>
  <c r="T36" i="4"/>
  <c r="I36" i="4"/>
  <c r="B36" i="4"/>
  <c r="A36" i="4"/>
  <c r="U35" i="4"/>
  <c r="T35" i="4"/>
  <c r="B35" i="4"/>
  <c r="A35" i="4"/>
  <c r="U34" i="4"/>
  <c r="T34" i="4"/>
  <c r="I34" i="4"/>
  <c r="B34" i="4"/>
  <c r="A34" i="4"/>
  <c r="Y33" i="4"/>
  <c r="V33" i="4"/>
  <c r="B28" i="4"/>
  <c r="A28" i="4"/>
  <c r="T28" i="4" s="1"/>
  <c r="B27" i="4"/>
  <c r="U27" i="4" s="1"/>
  <c r="A27" i="4"/>
  <c r="T27" i="4" s="1"/>
  <c r="U26" i="4"/>
  <c r="B26" i="4"/>
  <c r="A26" i="4"/>
  <c r="B25" i="4"/>
  <c r="B35" i="2" s="1"/>
  <c r="A25" i="4"/>
  <c r="T25" i="4" s="1"/>
  <c r="U24" i="4"/>
  <c r="B24" i="4"/>
  <c r="A24" i="4"/>
  <c r="T24" i="4" s="1"/>
  <c r="B23" i="4"/>
  <c r="A23" i="4"/>
  <c r="T23" i="4" s="1"/>
  <c r="U22" i="4"/>
  <c r="B22" i="4"/>
  <c r="B32" i="2" s="1"/>
  <c r="A22" i="4"/>
  <c r="T22" i="4" s="1"/>
  <c r="U21" i="4"/>
  <c r="T21" i="4"/>
  <c r="B21" i="4"/>
  <c r="A21" i="4"/>
  <c r="U20" i="4"/>
  <c r="T20" i="4"/>
  <c r="X13" i="4" s="1"/>
  <c r="B20" i="4"/>
  <c r="A20" i="4"/>
  <c r="I16" i="4" s="1"/>
  <c r="T19" i="4"/>
  <c r="B19" i="4"/>
  <c r="U19" i="4" s="1"/>
  <c r="A19" i="4"/>
  <c r="U18" i="4"/>
  <c r="B18" i="4"/>
  <c r="B28" i="2" s="1"/>
  <c r="A18" i="4"/>
  <c r="T18" i="4" s="1"/>
  <c r="I17" i="4"/>
  <c r="B17" i="4"/>
  <c r="U17" i="4" s="1"/>
  <c r="A17" i="4"/>
  <c r="T17" i="4" s="1"/>
  <c r="U16" i="4"/>
  <c r="T16" i="4"/>
  <c r="B16" i="4"/>
  <c r="A16" i="4"/>
  <c r="T15" i="4"/>
  <c r="I15" i="4"/>
  <c r="B15" i="4"/>
  <c r="A15" i="4"/>
  <c r="I14" i="4"/>
  <c r="B14" i="4"/>
  <c r="U14" i="4" s="1"/>
  <c r="A14" i="4"/>
  <c r="T14" i="4" s="1"/>
  <c r="V13" i="4" s="1"/>
  <c r="Y13" i="4"/>
  <c r="W13" i="4"/>
  <c r="C9" i="4"/>
  <c r="A9" i="4"/>
  <c r="C8" i="4"/>
  <c r="A8" i="4"/>
  <c r="C7" i="4"/>
  <c r="A7" i="4"/>
  <c r="C6" i="4"/>
  <c r="A1" i="4" s="1"/>
  <c r="A6" i="4"/>
  <c r="C5" i="4"/>
  <c r="A5" i="4"/>
  <c r="B36" i="2"/>
  <c r="B34" i="2"/>
  <c r="B31" i="2"/>
  <c r="B30" i="2"/>
  <c r="B27" i="2"/>
  <c r="B26" i="2"/>
  <c r="C8" i="2"/>
  <c r="C7" i="2"/>
  <c r="D230" i="3"/>
  <c r="E229" i="3"/>
  <c r="D229" i="3"/>
  <c r="C229" i="3"/>
  <c r="D228" i="3"/>
  <c r="E227" i="3"/>
  <c r="D227" i="3"/>
  <c r="C227" i="3"/>
  <c r="D226" i="3"/>
  <c r="E225" i="3"/>
  <c r="D225" i="3"/>
  <c r="C225" i="3"/>
  <c r="B225" i="3"/>
  <c r="D223" i="3"/>
  <c r="E222" i="3"/>
  <c r="D222" i="3"/>
  <c r="C222" i="3"/>
  <c r="D221" i="3"/>
  <c r="E220" i="3"/>
  <c r="D220" i="3"/>
  <c r="C220" i="3"/>
  <c r="D219" i="3"/>
  <c r="E218" i="3"/>
  <c r="D218" i="3"/>
  <c r="C218" i="3"/>
  <c r="B218" i="3"/>
  <c r="D216" i="3"/>
  <c r="E215" i="3"/>
  <c r="D215" i="3"/>
  <c r="C215" i="3"/>
  <c r="D214" i="3"/>
  <c r="E213" i="3"/>
  <c r="D213" i="3"/>
  <c r="C213" i="3"/>
  <c r="D212" i="3"/>
  <c r="E211" i="3"/>
  <c r="D211" i="3"/>
  <c r="C211" i="3"/>
  <c r="B211" i="3"/>
  <c r="D209" i="3"/>
  <c r="E208" i="3"/>
  <c r="D208" i="3"/>
  <c r="C208" i="3"/>
  <c r="D207" i="3"/>
  <c r="E206" i="3"/>
  <c r="D206" i="3"/>
  <c r="C206" i="3"/>
  <c r="D205" i="3"/>
  <c r="E204" i="3"/>
  <c r="D204" i="3"/>
  <c r="C204" i="3"/>
  <c r="B204" i="3"/>
  <c r="D202" i="3"/>
  <c r="E201" i="3"/>
  <c r="D201" i="3"/>
  <c r="C201" i="3"/>
  <c r="D200" i="3"/>
  <c r="E199" i="3"/>
  <c r="D199" i="3"/>
  <c r="C199" i="3"/>
  <c r="D198" i="3"/>
  <c r="E197" i="3"/>
  <c r="D197" i="3"/>
  <c r="C197" i="3"/>
  <c r="B197" i="3"/>
  <c r="D195" i="3"/>
  <c r="E194" i="3"/>
  <c r="D194" i="3"/>
  <c r="C194" i="3"/>
  <c r="D193" i="3"/>
  <c r="E192" i="3"/>
  <c r="D192" i="3"/>
  <c r="C192" i="3"/>
  <c r="D191" i="3"/>
  <c r="E190" i="3"/>
  <c r="D190" i="3"/>
  <c r="C190" i="3"/>
  <c r="B190" i="3"/>
  <c r="D187" i="3"/>
  <c r="E186" i="3"/>
  <c r="D186" i="3"/>
  <c r="C186" i="3"/>
  <c r="D185" i="3"/>
  <c r="E184" i="3"/>
  <c r="D184" i="3"/>
  <c r="C184" i="3"/>
  <c r="D183" i="3"/>
  <c r="E182" i="3"/>
  <c r="D182" i="3"/>
  <c r="C182" i="3"/>
  <c r="B182" i="3"/>
  <c r="D180" i="3"/>
  <c r="E179" i="3"/>
  <c r="D179" i="3"/>
  <c r="C179" i="3"/>
  <c r="D178" i="3"/>
  <c r="E177" i="3"/>
  <c r="D177" i="3"/>
  <c r="C177" i="3"/>
  <c r="D176" i="3"/>
  <c r="E175" i="3"/>
  <c r="D175" i="3"/>
  <c r="C175" i="3"/>
  <c r="B175" i="3"/>
  <c r="D173" i="3"/>
  <c r="E172" i="3"/>
  <c r="D172" i="3"/>
  <c r="C172" i="3"/>
  <c r="D171" i="3"/>
  <c r="E170" i="3"/>
  <c r="D170" i="3"/>
  <c r="C170" i="3"/>
  <c r="D169" i="3"/>
  <c r="E168" i="3"/>
  <c r="D168" i="3"/>
  <c r="C168" i="3"/>
  <c r="B168" i="3"/>
  <c r="D166" i="3"/>
  <c r="E165" i="3"/>
  <c r="D165" i="3"/>
  <c r="C165" i="3"/>
  <c r="D164" i="3"/>
  <c r="E163" i="3"/>
  <c r="D163" i="3"/>
  <c r="C163" i="3"/>
  <c r="D162" i="3"/>
  <c r="E161" i="3"/>
  <c r="D161" i="3"/>
  <c r="C161" i="3"/>
  <c r="B161" i="3"/>
  <c r="D159" i="3"/>
  <c r="E158" i="3"/>
  <c r="D158" i="3"/>
  <c r="C158" i="3"/>
  <c r="D157" i="3"/>
  <c r="E156" i="3"/>
  <c r="D156" i="3"/>
  <c r="C156" i="3"/>
  <c r="D155" i="3"/>
  <c r="E154" i="3"/>
  <c r="D154" i="3"/>
  <c r="C154" i="3"/>
  <c r="B154" i="3"/>
  <c r="D152" i="3"/>
  <c r="E151" i="3"/>
  <c r="D151" i="3"/>
  <c r="C151" i="3"/>
  <c r="D150" i="3"/>
  <c r="E149" i="3"/>
  <c r="D149" i="3"/>
  <c r="C149" i="3"/>
  <c r="D148" i="3"/>
  <c r="E147" i="3"/>
  <c r="D147" i="3"/>
  <c r="C147" i="3"/>
  <c r="B147" i="3"/>
  <c r="D144" i="3"/>
  <c r="E143" i="3"/>
  <c r="D143" i="3"/>
  <c r="C143" i="3"/>
  <c r="D142" i="3"/>
  <c r="E141" i="3"/>
  <c r="D141" i="3"/>
  <c r="C141" i="3"/>
  <c r="D140" i="3"/>
  <c r="E139" i="3"/>
  <c r="D139" i="3"/>
  <c r="C139" i="3"/>
  <c r="B139" i="3"/>
  <c r="D137" i="3"/>
  <c r="E136" i="3"/>
  <c r="D136" i="3"/>
  <c r="C136" i="3"/>
  <c r="D135" i="3"/>
  <c r="E134" i="3"/>
  <c r="D134" i="3"/>
  <c r="C134" i="3"/>
  <c r="D133" i="3"/>
  <c r="E132" i="3"/>
  <c r="D132" i="3"/>
  <c r="C132" i="3"/>
  <c r="B132" i="3"/>
  <c r="D130" i="3"/>
  <c r="E129" i="3"/>
  <c r="D129" i="3"/>
  <c r="C129" i="3"/>
  <c r="D128" i="3"/>
  <c r="E127" i="3"/>
  <c r="D127" i="3"/>
  <c r="C127" i="3"/>
  <c r="D126" i="3"/>
  <c r="E125" i="3"/>
  <c r="D125" i="3"/>
  <c r="C125" i="3"/>
  <c r="B125" i="3"/>
  <c r="D123" i="3"/>
  <c r="E122" i="3"/>
  <c r="D122" i="3"/>
  <c r="C122" i="3"/>
  <c r="D121" i="3"/>
  <c r="E120" i="3"/>
  <c r="D120" i="3"/>
  <c r="C120" i="3"/>
  <c r="D119" i="3"/>
  <c r="E118" i="3"/>
  <c r="D118" i="3"/>
  <c r="C118" i="3"/>
  <c r="B118" i="3"/>
  <c r="D116" i="3"/>
  <c r="E115" i="3"/>
  <c r="D115" i="3"/>
  <c r="C115" i="3"/>
  <c r="D114" i="3"/>
  <c r="E113" i="3"/>
  <c r="D113" i="3"/>
  <c r="C113" i="3"/>
  <c r="D112" i="3"/>
  <c r="E111" i="3"/>
  <c r="D111" i="3"/>
  <c r="C111" i="3"/>
  <c r="B111" i="3"/>
  <c r="D109" i="3"/>
  <c r="E108" i="3"/>
  <c r="D108" i="3"/>
  <c r="C108" i="3"/>
  <c r="D107" i="3"/>
  <c r="E106" i="3"/>
  <c r="D106" i="3"/>
  <c r="C106" i="3"/>
  <c r="D105" i="3"/>
  <c r="E104" i="3"/>
  <c r="D104" i="3"/>
  <c r="C104" i="3"/>
  <c r="B104" i="3"/>
  <c r="D101" i="3"/>
  <c r="E100" i="3"/>
  <c r="D100" i="3"/>
  <c r="C100" i="3"/>
  <c r="D99" i="3"/>
  <c r="E98" i="3"/>
  <c r="D98" i="3"/>
  <c r="C98" i="3"/>
  <c r="D97" i="3"/>
  <c r="E96" i="3"/>
  <c r="D96" i="3"/>
  <c r="C96" i="3"/>
  <c r="B96" i="3"/>
  <c r="D94" i="3"/>
  <c r="E93" i="3"/>
  <c r="D93" i="3"/>
  <c r="C93" i="3"/>
  <c r="D92" i="3"/>
  <c r="E91" i="3"/>
  <c r="D91" i="3"/>
  <c r="C91" i="3"/>
  <c r="D90" i="3"/>
  <c r="E89" i="3"/>
  <c r="D89" i="3"/>
  <c r="C89" i="3"/>
  <c r="B89" i="3"/>
  <c r="D87" i="3"/>
  <c r="E86" i="3"/>
  <c r="D86" i="3"/>
  <c r="C86" i="3"/>
  <c r="D85" i="3"/>
  <c r="E84" i="3"/>
  <c r="D84" i="3"/>
  <c r="C84" i="3"/>
  <c r="D83" i="3"/>
  <c r="E82" i="3"/>
  <c r="D82" i="3"/>
  <c r="C82" i="3"/>
  <c r="B82" i="3"/>
  <c r="D80" i="3"/>
  <c r="E79" i="3"/>
  <c r="D79" i="3"/>
  <c r="C79" i="3"/>
  <c r="D78" i="3"/>
  <c r="E77" i="3"/>
  <c r="D77" i="3"/>
  <c r="C77" i="3"/>
  <c r="D76" i="3"/>
  <c r="E75" i="3"/>
  <c r="D75" i="3"/>
  <c r="C75" i="3"/>
  <c r="B75" i="3"/>
  <c r="D73" i="3"/>
  <c r="E72" i="3"/>
  <c r="D72" i="3"/>
  <c r="C72" i="3"/>
  <c r="D71" i="3"/>
  <c r="E70" i="3"/>
  <c r="D70" i="3"/>
  <c r="C70" i="3"/>
  <c r="D69" i="3"/>
  <c r="E68" i="3"/>
  <c r="D68" i="3"/>
  <c r="C68" i="3"/>
  <c r="B68" i="3"/>
  <c r="D66" i="3"/>
  <c r="E65" i="3"/>
  <c r="D65" i="3"/>
  <c r="C65" i="3"/>
  <c r="D64" i="3"/>
  <c r="E63" i="3"/>
  <c r="D63" i="3"/>
  <c r="C63" i="3"/>
  <c r="D62" i="3"/>
  <c r="E61" i="3"/>
  <c r="D61" i="3"/>
  <c r="C61" i="3"/>
  <c r="B61" i="3"/>
  <c r="D58" i="3"/>
  <c r="E57" i="3"/>
  <c r="D57" i="3"/>
  <c r="C57" i="3"/>
  <c r="D56" i="3"/>
  <c r="E55" i="3"/>
  <c r="D55" i="3"/>
  <c r="C55" i="3"/>
  <c r="D54" i="3"/>
  <c r="E53" i="3"/>
  <c r="D53" i="3"/>
  <c r="C53" i="3"/>
  <c r="B53" i="3"/>
  <c r="D51" i="3"/>
  <c r="E50" i="3"/>
  <c r="D50" i="3"/>
  <c r="C50" i="3"/>
  <c r="D49" i="3"/>
  <c r="E48" i="3"/>
  <c r="D48" i="3"/>
  <c r="C48" i="3"/>
  <c r="D47" i="3"/>
  <c r="E46" i="3"/>
  <c r="D46" i="3"/>
  <c r="C46" i="3"/>
  <c r="B46" i="3"/>
  <c r="D44" i="3"/>
  <c r="E43" i="3"/>
  <c r="D43" i="3"/>
  <c r="C43" i="3"/>
  <c r="D42" i="3"/>
  <c r="E41" i="3"/>
  <c r="D41" i="3"/>
  <c r="C41" i="3"/>
  <c r="D40" i="3"/>
  <c r="E39" i="3"/>
  <c r="D39" i="3"/>
  <c r="C39" i="3"/>
  <c r="B39" i="3"/>
  <c r="D37" i="3"/>
  <c r="E36" i="3"/>
  <c r="D36" i="3"/>
  <c r="C36" i="3"/>
  <c r="D35" i="3"/>
  <c r="E34" i="3"/>
  <c r="D34" i="3"/>
  <c r="C34" i="3"/>
  <c r="D33" i="3"/>
  <c r="E32" i="3"/>
  <c r="D32" i="3"/>
  <c r="C32" i="3"/>
  <c r="B32" i="3"/>
  <c r="D30" i="3"/>
  <c r="E29" i="3"/>
  <c r="D29" i="3"/>
  <c r="C29" i="3"/>
  <c r="D28" i="3"/>
  <c r="E27" i="3"/>
  <c r="D27" i="3"/>
  <c r="C27" i="3"/>
  <c r="D26" i="3"/>
  <c r="E25" i="3"/>
  <c r="D25" i="3"/>
  <c r="C25" i="3"/>
  <c r="B25" i="3"/>
  <c r="D23" i="3"/>
  <c r="E22" i="3"/>
  <c r="D22" i="3"/>
  <c r="C22" i="3"/>
  <c r="D21" i="3"/>
  <c r="E20" i="3"/>
  <c r="D20" i="3"/>
  <c r="C20" i="3"/>
  <c r="D19" i="3"/>
  <c r="E18" i="3"/>
  <c r="D18" i="3"/>
  <c r="C18" i="3"/>
  <c r="B18" i="3"/>
  <c r="B1" i="3"/>
  <c r="R31" i="9" a="1"/>
  <c r="P31" i="9" a="1"/>
  <c r="N31" i="9" a="1"/>
  <c r="L31" i="9" a="1"/>
  <c r="J31" i="9" a="1"/>
  <c r="H31" i="9" a="1"/>
  <c r="F31" i="9" a="1"/>
  <c r="D31" i="9" a="1"/>
  <c r="B31" i="9" a="1"/>
  <c r="R24" i="9" a="1"/>
  <c r="Q31" i="9" a="1"/>
  <c r="O31" i="9" a="1"/>
  <c r="M31" i="9" a="1"/>
  <c r="K31" i="9" a="1"/>
  <c r="I31" i="9" a="1"/>
  <c r="G31" i="9" a="1"/>
  <c r="E31" i="9" a="1"/>
  <c r="C31" i="9" a="1"/>
  <c r="A31" i="9" a="1"/>
  <c r="Q24" i="9" a="1"/>
  <c r="J24" i="9" a="1"/>
  <c r="R17" i="9" a="1"/>
  <c r="H17" i="9" a="1"/>
  <c r="P10" i="9" a="1"/>
  <c r="F10" i="9" a="1"/>
  <c r="N3" i="9" a="1"/>
  <c r="D3" i="9" a="1"/>
  <c r="P24" i="9" a="1"/>
  <c r="E24" i="9" a="1"/>
  <c r="L17" i="9" a="1"/>
  <c r="A17" i="9" a="1"/>
  <c r="H10" i="9" a="1"/>
  <c r="O3" i="9" a="1"/>
  <c r="C3" i="9" a="1"/>
  <c r="O24" i="9" a="1"/>
  <c r="N24" i="9" a="1"/>
  <c r="M24" i="9" a="1"/>
  <c r="B24" i="9" a="1"/>
  <c r="I17" i="9" a="1"/>
  <c r="O10" i="9" a="1"/>
  <c r="D10" i="9" a="1"/>
  <c r="K3" i="9" a="1"/>
  <c r="L24" i="9" a="1"/>
  <c r="A24" i="9" a="1"/>
  <c r="G17" i="9" a="1"/>
  <c r="N10" i="9" a="1"/>
  <c r="C10" i="9" a="1"/>
  <c r="J3" i="9" a="1"/>
  <c r="K24" i="9" a="1"/>
  <c r="Q17" i="9" a="1"/>
  <c r="F17" i="9" a="1"/>
  <c r="I24" i="9" a="1"/>
  <c r="P17" i="9" a="1"/>
  <c r="E17" i="9" a="1"/>
  <c r="L10" i="9" a="1"/>
  <c r="A10" i="9" a="1"/>
  <c r="H3" i="9" a="1"/>
  <c r="H24" i="9" a="1"/>
  <c r="O17" i="9" a="1"/>
  <c r="G24" i="9" a="1"/>
  <c r="F24" i="9" a="1"/>
  <c r="R10" i="9" a="1"/>
  <c r="Q3" i="9" a="1"/>
  <c r="D17" i="9" a="1"/>
  <c r="E10" i="9" a="1"/>
  <c r="E3" i="9" a="1"/>
  <c r="D24" i="9" a="1"/>
  <c r="K10" i="9" a="1"/>
  <c r="G3" i="9" a="1"/>
  <c r="C24" i="9" a="1"/>
  <c r="J10" i="9" a="1"/>
  <c r="F3" i="9" a="1"/>
  <c r="N17" i="9" a="1"/>
  <c r="I10" i="9" a="1"/>
  <c r="B3" i="9" a="1"/>
  <c r="M17" i="9" a="1"/>
  <c r="G10" i="9" a="1"/>
  <c r="A3" i="9" a="1"/>
  <c r="K17" i="9" a="1"/>
  <c r="B10" i="9" a="1"/>
  <c r="J17" i="9" a="1"/>
  <c r="R3" i="9" a="1"/>
  <c r="G112" i="5"/>
  <c r="C17" i="9" a="1"/>
  <c r="P3" i="9" a="1"/>
  <c r="B17" i="9" a="1"/>
  <c r="M3" i="9" a="1"/>
  <c r="Q10" i="9" a="1"/>
  <c r="L3" i="9" a="1"/>
  <c r="M10" i="9" a="1"/>
  <c r="I3" i="9" a="1"/>
  <c r="O149" i="5"/>
  <c r="K139" i="5"/>
  <c r="W131" i="5"/>
  <c r="G149" i="5"/>
  <c r="K112" i="5"/>
  <c r="K93" i="5"/>
  <c r="K88" i="5"/>
  <c r="K87" i="5"/>
  <c r="K149" i="5"/>
  <c r="G93" i="5"/>
  <c r="G76" i="5"/>
  <c r="K98" i="5"/>
  <c r="G87" i="5"/>
  <c r="K28" i="5"/>
  <c r="G197" i="3"/>
  <c r="G175" i="3"/>
  <c r="G158" i="3"/>
  <c r="G154" i="3"/>
  <c r="G201" i="3"/>
  <c r="G113" i="3"/>
  <c r="G77" i="3"/>
  <c r="W51" i="5"/>
  <c r="W31" i="5"/>
  <c r="G28" i="5"/>
  <c r="O48" i="5"/>
  <c r="G182" i="3"/>
  <c r="G165" i="3"/>
  <c r="G51" i="5"/>
  <c r="W33" i="5"/>
  <c r="G213" i="3"/>
  <c r="G186" i="3"/>
  <c r="G149" i="3"/>
  <c r="G136" i="3"/>
  <c r="O33" i="5"/>
  <c r="K27" i="5"/>
  <c r="G177" i="3"/>
  <c r="S120" i="5"/>
  <c r="G32" i="5"/>
  <c r="G27" i="5"/>
  <c r="G220" i="3"/>
  <c r="G204" i="3"/>
  <c r="G199" i="3"/>
  <c r="G172" i="3"/>
  <c r="G120" i="3"/>
  <c r="G108" i="3"/>
  <c r="G84" i="3"/>
  <c r="G33" i="5"/>
  <c r="K32" i="5"/>
  <c r="G194" i="3"/>
  <c r="G143" i="3"/>
  <c r="G139" i="3"/>
  <c r="G132" i="3"/>
  <c r="G72" i="3"/>
  <c r="G68" i="3"/>
  <c r="G61" i="3"/>
  <c r="K33" i="5"/>
  <c r="O121" i="5"/>
  <c r="K76" i="5"/>
  <c r="S66" i="5"/>
  <c r="K60" i="5"/>
  <c r="K48" i="5"/>
  <c r="S33" i="5"/>
  <c r="G215" i="3"/>
  <c r="G211" i="3"/>
  <c r="G190" i="3"/>
  <c r="O108" i="5"/>
  <c r="W98" i="5"/>
  <c r="O66" i="5"/>
  <c r="G40" i="5"/>
  <c r="W28" i="5"/>
  <c r="W22" i="5"/>
  <c r="G151" i="3"/>
  <c r="G55" i="3"/>
  <c r="G46" i="3"/>
  <c r="G32" i="3"/>
  <c r="G27" i="3"/>
  <c r="G156" i="3"/>
  <c r="G129" i="3"/>
  <c r="G86" i="3"/>
  <c r="G65" i="3"/>
  <c r="G225" i="3"/>
  <c r="G118" i="3"/>
  <c r="G96" i="3"/>
  <c r="G75" i="3"/>
  <c r="W65" i="5"/>
  <c r="G229" i="3"/>
  <c r="G208" i="3"/>
  <c r="G79" i="3"/>
  <c r="G39" i="3"/>
  <c r="G179" i="3"/>
  <c r="W87" i="5"/>
  <c r="G115" i="3"/>
  <c r="G147" i="3"/>
  <c r="G125" i="3"/>
  <c r="G104" i="3"/>
  <c r="O40" i="5"/>
  <c r="G134" i="3"/>
  <c r="G22" i="3"/>
  <c r="G91" i="3"/>
  <c r="G70" i="3"/>
  <c r="W60" i="5"/>
  <c r="G122" i="3"/>
  <c r="G53" i="3"/>
  <c r="G93" i="3"/>
  <c r="G161" i="3"/>
  <c r="G100" i="3"/>
  <c r="G168" i="3"/>
  <c r="G41" i="3"/>
  <c r="G141" i="3"/>
  <c r="G82" i="3"/>
  <c r="G50" i="3"/>
  <c r="O27" i="5"/>
  <c r="G192" i="3"/>
  <c r="G170" i="3"/>
  <c r="G127" i="3"/>
  <c r="G106" i="3"/>
  <c r="G63" i="3"/>
  <c r="G48" i="3"/>
  <c r="G43" i="3"/>
  <c r="G34" i="3"/>
  <c r="W48" i="5"/>
  <c r="G218" i="3"/>
  <c r="G111" i="3"/>
  <c r="G89" i="3"/>
  <c r="G57" i="3"/>
  <c r="G20" i="3"/>
  <c r="W66" i="5"/>
  <c r="G227" i="3"/>
  <c r="G222" i="3"/>
  <c r="G206" i="3"/>
  <c r="G184" i="3"/>
  <c r="G163" i="3"/>
  <c r="G98" i="3"/>
  <c r="G36" i="3"/>
  <c r="G25" i="3"/>
  <c r="G29" i="3"/>
  <c r="G18" i="3"/>
  <c r="C39" i="2" l="1"/>
  <c r="H18" i="3"/>
  <c r="C44" i="2"/>
  <c r="C42" i="2"/>
  <c r="C47" i="2"/>
  <c r="H36" i="3"/>
  <c r="F15" i="4" s="1"/>
  <c r="C73" i="2"/>
  <c r="C100" i="2"/>
  <c r="H163" i="3"/>
  <c r="E24" i="4" s="1"/>
  <c r="C109" i="2"/>
  <c r="H206" i="3"/>
  <c r="E27" i="4" s="1"/>
  <c r="C118" i="2"/>
  <c r="H222" i="3"/>
  <c r="F28" i="4" s="1"/>
  <c r="C125" i="2"/>
  <c r="C127" i="2"/>
  <c r="C40" i="2"/>
  <c r="H20" i="3"/>
  <c r="E14" i="4" s="1"/>
  <c r="C56" i="2"/>
  <c r="H89" i="3"/>
  <c r="C69" i="2"/>
  <c r="C78" i="2"/>
  <c r="C123" i="2"/>
  <c r="H218" i="3"/>
  <c r="H34" i="3"/>
  <c r="E15" i="4" s="1"/>
  <c r="C46" i="2"/>
  <c r="C50" i="2"/>
  <c r="C52" i="2"/>
  <c r="H48" i="3"/>
  <c r="E16" i="4" s="1"/>
  <c r="C58" i="2"/>
  <c r="H63" i="3"/>
  <c r="E17" i="4" s="1"/>
  <c r="H106" i="3"/>
  <c r="E20" i="4" s="1"/>
  <c r="C76" i="2"/>
  <c r="C85" i="2"/>
  <c r="C103" i="2"/>
  <c r="H192" i="3"/>
  <c r="E26" i="4" s="1"/>
  <c r="C112" i="2"/>
  <c r="C53" i="2"/>
  <c r="H50" i="3"/>
  <c r="F16" i="4" s="1"/>
  <c r="C66" i="2"/>
  <c r="C91" i="2"/>
  <c r="C49" i="2"/>
  <c r="C102" i="2"/>
  <c r="C74" i="2"/>
  <c r="C99" i="2"/>
  <c r="H161" i="3"/>
  <c r="H93" i="3"/>
  <c r="F19" i="4" s="1"/>
  <c r="C71" i="2"/>
  <c r="C54" i="2"/>
  <c r="C83" i="2"/>
  <c r="H122" i="3"/>
  <c r="F21" i="4" s="1"/>
  <c r="C61" i="2"/>
  <c r="C70" i="2"/>
  <c r="H91" i="3"/>
  <c r="E19" i="4" s="1"/>
  <c r="H22" i="3"/>
  <c r="F14" i="4" s="1"/>
  <c r="C41" i="2"/>
  <c r="C88" i="2"/>
  <c r="H134" i="3"/>
  <c r="E22" i="4" s="1"/>
  <c r="H104" i="3"/>
  <c r="C75" i="2"/>
  <c r="C84" i="2"/>
  <c r="C93" i="2"/>
  <c r="H147" i="3"/>
  <c r="C80" i="2"/>
  <c r="C107" i="2"/>
  <c r="H179" i="3"/>
  <c r="F25" i="4" s="1"/>
  <c r="C48" i="2"/>
  <c r="C65" i="2"/>
  <c r="H79" i="3"/>
  <c r="F18" i="4" s="1"/>
  <c r="H208" i="3"/>
  <c r="F27" i="4" s="1"/>
  <c r="C119" i="2"/>
  <c r="C128" i="2"/>
  <c r="C63" i="2"/>
  <c r="H75" i="3"/>
  <c r="C72" i="2"/>
  <c r="H118" i="3"/>
  <c r="C81" i="2"/>
  <c r="C126" i="2"/>
  <c r="C59" i="2"/>
  <c r="H65" i="3"/>
  <c r="F17" i="4" s="1"/>
  <c r="C68" i="2"/>
  <c r="C86" i="2"/>
  <c r="C97" i="2"/>
  <c r="C43" i="2"/>
  <c r="H32" i="3"/>
  <c r="C45" i="2"/>
  <c r="C51" i="2"/>
  <c r="H46" i="3"/>
  <c r="C55" i="2"/>
  <c r="C95" i="2"/>
  <c r="H151" i="3"/>
  <c r="F23" i="4" s="1"/>
  <c r="C111" i="2"/>
  <c r="H190" i="3"/>
  <c r="C120" i="2"/>
  <c r="C122" i="2"/>
  <c r="C57" i="2"/>
  <c r="H61" i="3"/>
  <c r="C60" i="2"/>
  <c r="C62" i="2"/>
  <c r="C87" i="2"/>
  <c r="H132" i="3"/>
  <c r="C90" i="2"/>
  <c r="C92" i="2"/>
  <c r="C113" i="2"/>
  <c r="H194" i="3"/>
  <c r="F26" i="4" s="1"/>
  <c r="C67" i="2"/>
  <c r="C77" i="2"/>
  <c r="H108" i="3"/>
  <c r="F20" i="4" s="1"/>
  <c r="C82" i="2"/>
  <c r="H120" i="3"/>
  <c r="E21" i="4" s="1"/>
  <c r="C104" i="2"/>
  <c r="C115" i="2"/>
  <c r="C117" i="2"/>
  <c r="H204" i="3"/>
  <c r="H220" i="3"/>
  <c r="E28" i="4" s="1"/>
  <c r="C124" i="2"/>
  <c r="C106" i="2"/>
  <c r="H177" i="3"/>
  <c r="E25" i="4" s="1"/>
  <c r="H136" i="3"/>
  <c r="F22" i="4" s="1"/>
  <c r="C89" i="2"/>
  <c r="C94" i="2"/>
  <c r="H149" i="3"/>
  <c r="E23" i="4" s="1"/>
  <c r="C110" i="2"/>
  <c r="C121" i="2"/>
  <c r="H165" i="3"/>
  <c r="F24" i="4" s="1"/>
  <c r="C101" i="2"/>
  <c r="C108" i="2"/>
  <c r="H28" i="5"/>
  <c r="H77" i="3"/>
  <c r="E18" i="4" s="1"/>
  <c r="C64" i="2"/>
  <c r="C79" i="2"/>
  <c r="C116" i="2"/>
  <c r="C96" i="2"/>
  <c r="C98" i="2"/>
  <c r="C105" i="2"/>
  <c r="H175" i="3"/>
  <c r="C114" i="2"/>
  <c r="L28" i="5"/>
  <c r="E35" i="4" s="1"/>
  <c r="I6" i="9"/>
  <c r="I5" i="9"/>
  <c r="I4" i="9"/>
  <c r="I3" i="9"/>
  <c r="M13" i="9"/>
  <c r="M12" i="9"/>
  <c r="M11" i="9"/>
  <c r="M10" i="9"/>
  <c r="L6" i="9"/>
  <c r="L5" i="9"/>
  <c r="L4" i="9"/>
  <c r="L3" i="9"/>
  <c r="Q13" i="9"/>
  <c r="Q12" i="9"/>
  <c r="Q11" i="9"/>
  <c r="Q10" i="9"/>
  <c r="M6" i="9"/>
  <c r="M5" i="9"/>
  <c r="M4" i="9"/>
  <c r="M3" i="9"/>
  <c r="B20" i="9"/>
  <c r="B19" i="9"/>
  <c r="B18" i="9"/>
  <c r="B17" i="9"/>
  <c r="P6" i="9"/>
  <c r="P5" i="9"/>
  <c r="P4" i="9"/>
  <c r="P3" i="9"/>
  <c r="C20" i="9"/>
  <c r="C19" i="9"/>
  <c r="C18" i="9"/>
  <c r="C17" i="9"/>
  <c r="R6" i="9"/>
  <c r="R5" i="9"/>
  <c r="R4" i="9"/>
  <c r="R3" i="9"/>
  <c r="J20" i="9"/>
  <c r="J19" i="9"/>
  <c r="J18" i="9"/>
  <c r="J17" i="9"/>
  <c r="B13" i="9"/>
  <c r="B12" i="9"/>
  <c r="B11" i="9"/>
  <c r="B10" i="9"/>
  <c r="K20" i="9"/>
  <c r="K19" i="9"/>
  <c r="K18" i="9"/>
  <c r="K17" i="9"/>
  <c r="A6" i="9"/>
  <c r="A5" i="9"/>
  <c r="A4" i="9"/>
  <c r="A3" i="9"/>
  <c r="G13" i="9"/>
  <c r="G12" i="9"/>
  <c r="G11" i="9"/>
  <c r="G10" i="9"/>
  <c r="M20" i="9"/>
  <c r="M19" i="9"/>
  <c r="M18" i="9"/>
  <c r="M17" i="9"/>
  <c r="B6" i="9"/>
  <c r="B5" i="9"/>
  <c r="B4" i="9"/>
  <c r="B3" i="9"/>
  <c r="I13" i="9"/>
  <c r="I12" i="9"/>
  <c r="I11" i="9"/>
  <c r="I10" i="9"/>
  <c r="N20" i="9"/>
  <c r="N19" i="9"/>
  <c r="N18" i="9"/>
  <c r="N17" i="9"/>
  <c r="F6" i="9"/>
  <c r="F5" i="9"/>
  <c r="F4" i="9"/>
  <c r="F3" i="9"/>
  <c r="J13" i="9"/>
  <c r="J12" i="9"/>
  <c r="J11" i="9"/>
  <c r="J10" i="9"/>
  <c r="C27" i="9"/>
  <c r="C26" i="9"/>
  <c r="C25" i="9"/>
  <c r="C24" i="9"/>
  <c r="G6" i="9"/>
  <c r="G5" i="9"/>
  <c r="G4" i="9"/>
  <c r="G3" i="9"/>
  <c r="K13" i="9"/>
  <c r="K12" i="9"/>
  <c r="K11" i="9"/>
  <c r="K10" i="9"/>
  <c r="D27" i="9"/>
  <c r="D26" i="9"/>
  <c r="D25" i="9"/>
  <c r="D24" i="9"/>
  <c r="E6" i="9"/>
  <c r="E5" i="9"/>
  <c r="E4" i="9"/>
  <c r="E3" i="9"/>
  <c r="E13" i="9"/>
  <c r="E12" i="9"/>
  <c r="E11" i="9"/>
  <c r="E10" i="9"/>
  <c r="D20" i="9"/>
  <c r="D19" i="9"/>
  <c r="D18" i="9"/>
  <c r="D17" i="9"/>
  <c r="Q6" i="9"/>
  <c r="Q5" i="9"/>
  <c r="Q4" i="9"/>
  <c r="Q3" i="9"/>
  <c r="R13" i="9"/>
  <c r="R12" i="9"/>
  <c r="R11" i="9"/>
  <c r="R10" i="9"/>
  <c r="F27" i="9"/>
  <c r="F26" i="9"/>
  <c r="F25" i="9"/>
  <c r="F24" i="9"/>
  <c r="G27" i="9"/>
  <c r="G26" i="9"/>
  <c r="G25" i="9"/>
  <c r="G24" i="9"/>
  <c r="O20" i="9"/>
  <c r="O19" i="9"/>
  <c r="O18" i="9"/>
  <c r="O17" i="9"/>
  <c r="H27" i="9"/>
  <c r="H26" i="9"/>
  <c r="H25" i="9"/>
  <c r="H24" i="9"/>
  <c r="H6" i="9"/>
  <c r="H5" i="9"/>
  <c r="H4" i="9"/>
  <c r="H3" i="9"/>
  <c r="A13" i="9"/>
  <c r="A12" i="9"/>
  <c r="A11" i="9"/>
  <c r="A10" i="9"/>
  <c r="L13" i="9"/>
  <c r="L12" i="9"/>
  <c r="L11" i="9"/>
  <c r="L10" i="9"/>
  <c r="E20" i="9"/>
  <c r="E19" i="9"/>
  <c r="E18" i="9"/>
  <c r="E17" i="9"/>
  <c r="P20" i="9"/>
  <c r="P19" i="9"/>
  <c r="P18" i="9"/>
  <c r="P17" i="9"/>
  <c r="I27" i="9"/>
  <c r="I26" i="9"/>
  <c r="I25" i="9"/>
  <c r="I24" i="9"/>
  <c r="F20" i="9"/>
  <c r="F19" i="9"/>
  <c r="F18" i="9"/>
  <c r="F17" i="9"/>
  <c r="Q20" i="9"/>
  <c r="Q19" i="9"/>
  <c r="Q18" i="9"/>
  <c r="Q17" i="9"/>
  <c r="K27" i="9"/>
  <c r="K26" i="9"/>
  <c r="K25" i="9"/>
  <c r="K24" i="9"/>
  <c r="J6" i="9"/>
  <c r="J5" i="9"/>
  <c r="J4" i="9"/>
  <c r="J3" i="9"/>
  <c r="C13" i="9"/>
  <c r="C12" i="9"/>
  <c r="C11" i="9"/>
  <c r="C10" i="9"/>
  <c r="N13" i="9"/>
  <c r="N12" i="9"/>
  <c r="N11" i="9"/>
  <c r="N10" i="9"/>
  <c r="G20" i="9"/>
  <c r="G19" i="9"/>
  <c r="G18" i="9"/>
  <c r="G17" i="9"/>
  <c r="A27" i="9"/>
  <c r="A26" i="9"/>
  <c r="A25" i="9"/>
  <c r="A24" i="9"/>
  <c r="L27" i="9"/>
  <c r="L26" i="9"/>
  <c r="L25" i="9"/>
  <c r="L24" i="9"/>
  <c r="K6" i="9"/>
  <c r="K5" i="9"/>
  <c r="K4" i="9"/>
  <c r="K3" i="9"/>
  <c r="D13" i="9"/>
  <c r="D12" i="9"/>
  <c r="D11" i="9"/>
  <c r="D10" i="9"/>
  <c r="O13" i="9"/>
  <c r="O12" i="9"/>
  <c r="O11" i="9"/>
  <c r="O10" i="9"/>
  <c r="I20" i="9"/>
  <c r="I19" i="9"/>
  <c r="I18" i="9"/>
  <c r="I17" i="9"/>
  <c r="B27" i="9"/>
  <c r="B26" i="9"/>
  <c r="B25" i="9"/>
  <c r="B24" i="9"/>
  <c r="M27" i="9"/>
  <c r="M26" i="9"/>
  <c r="M25" i="9"/>
  <c r="M24" i="9"/>
  <c r="N27" i="9"/>
  <c r="N26" i="9"/>
  <c r="N25" i="9"/>
  <c r="N24" i="9"/>
  <c r="O27" i="9"/>
  <c r="O26" i="9"/>
  <c r="O25" i="9"/>
  <c r="O24" i="9"/>
  <c r="C6" i="9"/>
  <c r="C5" i="9"/>
  <c r="C4" i="9"/>
  <c r="C3" i="9"/>
  <c r="O6" i="9"/>
  <c r="O5" i="9"/>
  <c r="O4" i="9"/>
  <c r="O3" i="9"/>
  <c r="H13" i="9"/>
  <c r="H12" i="9"/>
  <c r="H11" i="9"/>
  <c r="H10" i="9"/>
  <c r="A20" i="9"/>
  <c r="A19" i="9"/>
  <c r="A18" i="9"/>
  <c r="A17" i="9"/>
  <c r="L20" i="9"/>
  <c r="L19" i="9"/>
  <c r="L18" i="9"/>
  <c r="L17" i="9"/>
  <c r="E27" i="9"/>
  <c r="E26" i="9"/>
  <c r="E25" i="9"/>
  <c r="E24" i="9"/>
  <c r="P27" i="9"/>
  <c r="P26" i="9"/>
  <c r="P25" i="9"/>
  <c r="P24" i="9"/>
  <c r="D6" i="9"/>
  <c r="D5" i="9"/>
  <c r="D4" i="9"/>
  <c r="D3" i="9"/>
  <c r="N6" i="9"/>
  <c r="N5" i="9"/>
  <c r="N4" i="9"/>
  <c r="N3" i="9"/>
  <c r="F13" i="9"/>
  <c r="F12" i="9"/>
  <c r="F11" i="9"/>
  <c r="F10" i="9"/>
  <c r="P13" i="9"/>
  <c r="P12" i="9"/>
  <c r="P11" i="9"/>
  <c r="P10" i="9"/>
  <c r="H20" i="9"/>
  <c r="H19" i="9"/>
  <c r="H18" i="9"/>
  <c r="H17" i="9"/>
  <c r="R20" i="9"/>
  <c r="R19" i="9"/>
  <c r="R18" i="9"/>
  <c r="R17" i="9"/>
  <c r="J27" i="9"/>
  <c r="J26" i="9"/>
  <c r="J25" i="9"/>
  <c r="J24" i="9"/>
  <c r="Q27" i="9"/>
  <c r="Q26" i="9"/>
  <c r="Q25" i="9"/>
  <c r="Q24" i="9"/>
  <c r="A34" i="9"/>
  <c r="A33" i="9"/>
  <c r="A32" i="9"/>
  <c r="A31" i="9"/>
  <c r="C34" i="9"/>
  <c r="C33" i="9"/>
  <c r="C32" i="9"/>
  <c r="C31" i="9"/>
  <c r="E34" i="9"/>
  <c r="E33" i="9"/>
  <c r="E32" i="9"/>
  <c r="E31" i="9"/>
  <c r="G34" i="9"/>
  <c r="G33" i="9"/>
  <c r="G32" i="9"/>
  <c r="G31" i="9"/>
  <c r="I34" i="9"/>
  <c r="I33" i="9"/>
  <c r="I32" i="9"/>
  <c r="I31" i="9"/>
  <c r="K34" i="9"/>
  <c r="K33" i="9"/>
  <c r="K32" i="9"/>
  <c r="K31" i="9"/>
  <c r="M34" i="9"/>
  <c r="M33" i="9"/>
  <c r="M32" i="9"/>
  <c r="M31" i="9"/>
  <c r="O34" i="9"/>
  <c r="O33" i="9"/>
  <c r="O32" i="9"/>
  <c r="O31" i="9"/>
  <c r="Q34" i="9"/>
  <c r="Q33" i="9"/>
  <c r="Q32" i="9"/>
  <c r="Q31" i="9"/>
  <c r="R27" i="9"/>
  <c r="R26" i="9"/>
  <c r="R25" i="9"/>
  <c r="R24" i="9"/>
  <c r="B34" i="9"/>
  <c r="B33" i="9"/>
  <c r="B32" i="9"/>
  <c r="B31" i="9"/>
  <c r="D34" i="9"/>
  <c r="D33" i="9"/>
  <c r="D32" i="9"/>
  <c r="D31" i="9"/>
  <c r="F34" i="9"/>
  <c r="F33" i="9"/>
  <c r="F32" i="9"/>
  <c r="F31" i="9"/>
  <c r="H34" i="9"/>
  <c r="H33" i="9"/>
  <c r="H32" i="9"/>
  <c r="H31" i="9"/>
  <c r="J34" i="9"/>
  <c r="J33" i="9"/>
  <c r="J32" i="9"/>
  <c r="J31" i="9"/>
  <c r="L34" i="9"/>
  <c r="L33" i="9"/>
  <c r="L32" i="9"/>
  <c r="L31" i="9"/>
  <c r="N34" i="9"/>
  <c r="N33" i="9"/>
  <c r="N32" i="9"/>
  <c r="N31" i="9"/>
  <c r="P34" i="9"/>
  <c r="P33" i="9"/>
  <c r="P32" i="9"/>
  <c r="P31" i="9"/>
  <c r="R34" i="9"/>
  <c r="R33" i="9"/>
  <c r="R32" i="9"/>
  <c r="R31" i="9"/>
  <c r="V23" i="5"/>
  <c r="V38" i="5"/>
  <c r="V78" i="5"/>
  <c r="U15" i="4"/>
  <c r="B25" i="2"/>
  <c r="V18" i="5"/>
  <c r="V47" i="5"/>
  <c r="V88" i="5"/>
  <c r="E59" i="5"/>
  <c r="D59" i="5"/>
  <c r="B59" i="5"/>
  <c r="B24" i="2"/>
  <c r="U25" i="4"/>
  <c r="B31" i="5"/>
  <c r="D31" i="5"/>
  <c r="C59" i="5"/>
  <c r="N76" i="5"/>
  <c r="R76" i="5" s="1"/>
  <c r="V76" i="5" s="1"/>
  <c r="C122" i="5"/>
  <c r="E122" i="5"/>
  <c r="D122" i="5"/>
  <c r="B37" i="2"/>
  <c r="B33" i="2"/>
  <c r="U23" i="4"/>
  <c r="E29" i="5"/>
  <c r="C29" i="5"/>
  <c r="E41" i="5"/>
  <c r="C41" i="5"/>
  <c r="E57" i="5"/>
  <c r="D57" i="5"/>
  <c r="J74" i="5"/>
  <c r="T26" i="4"/>
  <c r="Z13" i="4" s="1"/>
  <c r="I18" i="4"/>
  <c r="C22" i="5"/>
  <c r="B22" i="5"/>
  <c r="D29" i="5"/>
  <c r="D41" i="5"/>
  <c r="D55" i="5"/>
  <c r="E55" i="5"/>
  <c r="C55" i="5"/>
  <c r="C57" i="5"/>
  <c r="D61" i="5"/>
  <c r="E61" i="5"/>
  <c r="C61" i="5"/>
  <c r="C79" i="5"/>
  <c r="E79" i="5"/>
  <c r="D79" i="5"/>
  <c r="C20" i="5"/>
  <c r="E20" i="5"/>
  <c r="D20" i="5"/>
  <c r="R32" i="5"/>
  <c r="B46" i="5"/>
  <c r="E46" i="5"/>
  <c r="C46" i="5"/>
  <c r="D46" i="5"/>
  <c r="B50" i="5"/>
  <c r="C50" i="5"/>
  <c r="D50" i="5"/>
  <c r="E50" i="5"/>
  <c r="E70" i="5"/>
  <c r="C70" i="5"/>
  <c r="R85" i="5"/>
  <c r="A14" i="5"/>
  <c r="B38" i="2"/>
  <c r="U28" i="4"/>
  <c r="A16" i="5"/>
  <c r="J19" i="5"/>
  <c r="C60" i="5"/>
  <c r="D134" i="5"/>
  <c r="C134" i="5"/>
  <c r="E134" i="5"/>
  <c r="B134" i="5"/>
  <c r="E37" i="5"/>
  <c r="C37" i="5"/>
  <c r="B29" i="2"/>
  <c r="D37" i="5"/>
  <c r="D52" i="5"/>
  <c r="C52" i="5"/>
  <c r="B64" i="5"/>
  <c r="C64" i="5"/>
  <c r="D64" i="5"/>
  <c r="C80" i="5"/>
  <c r="E80" i="5"/>
  <c r="D80" i="5"/>
  <c r="C84" i="5"/>
  <c r="E84" i="5"/>
  <c r="D84" i="5"/>
  <c r="E24" i="5"/>
  <c r="D24" i="5"/>
  <c r="N126" i="5"/>
  <c r="R115" i="5"/>
  <c r="E125" i="5"/>
  <c r="C125" i="5"/>
  <c r="D125" i="5"/>
  <c r="C130" i="5"/>
  <c r="D130" i="5"/>
  <c r="E130" i="5"/>
  <c r="B130" i="5"/>
  <c r="D116" i="5"/>
  <c r="C116" i="5"/>
  <c r="D92" i="5"/>
  <c r="C92" i="5"/>
  <c r="D96" i="5"/>
  <c r="B96" i="5"/>
  <c r="E96" i="5"/>
  <c r="E116" i="5"/>
  <c r="D83" i="5"/>
  <c r="E83" i="5"/>
  <c r="C83" i="5"/>
  <c r="E92" i="5"/>
  <c r="C103" i="5"/>
  <c r="E103" i="5"/>
  <c r="D103" i="5"/>
  <c r="C107" i="5"/>
  <c r="E107" i="5"/>
  <c r="D148" i="5"/>
  <c r="C148" i="5"/>
  <c r="E148" i="5"/>
  <c r="J154" i="5"/>
  <c r="M2" i="7"/>
  <c r="M1" i="7" s="1"/>
  <c r="E56" i="5"/>
  <c r="D68" i="5"/>
  <c r="C144" i="5"/>
  <c r="D144" i="5"/>
  <c r="D94" i="5"/>
  <c r="E94" i="5"/>
  <c r="D97" i="5"/>
  <c r="E97" i="5"/>
  <c r="D111" i="5"/>
  <c r="E111" i="5"/>
  <c r="B111" i="5"/>
  <c r="C113" i="5"/>
  <c r="C132" i="5"/>
  <c r="E132" i="5"/>
  <c r="E144" i="5"/>
  <c r="E141" i="5"/>
  <c r="D141" i="5"/>
  <c r="B143" i="5"/>
  <c r="E143" i="5"/>
  <c r="D152" i="5"/>
  <c r="E153" i="5"/>
  <c r="D87" i="5"/>
  <c r="C87" i="5"/>
  <c r="C89" i="5"/>
  <c r="D89" i="5"/>
  <c r="E89" i="5"/>
  <c r="E152" i="5"/>
  <c r="D74" i="5"/>
  <c r="E106" i="5"/>
  <c r="D150" i="5"/>
  <c r="E150" i="5"/>
  <c r="C139" i="5"/>
  <c r="D139" i="5"/>
  <c r="S18" i="5"/>
  <c r="W52" i="5"/>
  <c r="G69" i="5"/>
  <c r="K36" i="5"/>
  <c r="O135" i="5"/>
  <c r="G23" i="5"/>
  <c r="S64" i="5"/>
  <c r="O18" i="5"/>
  <c r="O23" i="5"/>
  <c r="K66" i="5"/>
  <c r="W124" i="5"/>
  <c r="O68" i="5"/>
  <c r="S136" i="5"/>
  <c r="O139" i="5"/>
  <c r="K47" i="5"/>
  <c r="G36" i="5"/>
  <c r="G131" i="5"/>
  <c r="W145" i="5"/>
  <c r="G115" i="5"/>
  <c r="O32" i="5"/>
  <c r="S68" i="5"/>
  <c r="S31" i="5"/>
  <c r="K40" i="5"/>
  <c r="K102" i="5"/>
  <c r="W136" i="5"/>
  <c r="O51" i="5"/>
  <c r="S139" i="5"/>
  <c r="K108" i="5"/>
  <c r="G38" i="5"/>
  <c r="O131" i="5"/>
  <c r="S145" i="5"/>
  <c r="S93" i="5"/>
  <c r="O113" i="5"/>
  <c r="S47" i="5"/>
  <c r="G52" i="5"/>
  <c r="K75" i="5"/>
  <c r="K135" i="5"/>
  <c r="O78" i="5"/>
  <c r="W117" i="5"/>
  <c r="G154" i="5"/>
  <c r="K131" i="5"/>
  <c r="S23" i="5"/>
  <c r="W64" i="5"/>
  <c r="O75" i="5"/>
  <c r="S48" i="5"/>
  <c r="W135" i="5"/>
  <c r="K31" i="5"/>
  <c r="W68" i="5"/>
  <c r="S22" i="5"/>
  <c r="W40" i="5"/>
  <c r="W102" i="5"/>
  <c r="O22" i="5"/>
  <c r="K78" i="5"/>
  <c r="G18" i="5"/>
  <c r="S117" i="5"/>
  <c r="G139" i="5"/>
  <c r="K51" i="5"/>
  <c r="S108" i="5"/>
  <c r="G47" i="5"/>
  <c r="K113" i="5"/>
  <c r="S38" i="5"/>
  <c r="O42" i="5"/>
  <c r="K64" i="5"/>
  <c r="G75" i="5"/>
  <c r="S52" i="5"/>
  <c r="S135" i="5"/>
  <c r="O31" i="5"/>
  <c r="K68" i="5"/>
  <c r="G22" i="5"/>
  <c r="G68" i="5"/>
  <c r="S40" i="5"/>
  <c r="G102" i="5"/>
  <c r="G78" i="5"/>
  <c r="O115" i="5"/>
  <c r="S140" i="5"/>
  <c r="O117" i="5"/>
  <c r="O140" i="5"/>
  <c r="O87" i="5"/>
  <c r="G108" i="5"/>
  <c r="S51" i="5"/>
  <c r="S113" i="5"/>
  <c r="W113" i="5"/>
  <c r="G88" i="5"/>
  <c r="O60" i="5"/>
  <c r="G48" i="5"/>
  <c r="W36" i="5"/>
  <c r="O120" i="5"/>
  <c r="G113" i="5"/>
  <c r="G98" i="5"/>
  <c r="G42" i="5"/>
  <c r="W88" i="5"/>
  <c r="G64" i="5"/>
  <c r="O36" i="5"/>
  <c r="S102" i="5"/>
  <c r="K85" i="5"/>
  <c r="K120" i="5"/>
  <c r="G140" i="5"/>
  <c r="S36" i="5"/>
  <c r="G126" i="5"/>
  <c r="O98" i="5"/>
  <c r="K104" i="5"/>
  <c r="K42" i="5"/>
  <c r="O64" i="5"/>
  <c r="W75" i="5"/>
  <c r="S60" i="5"/>
  <c r="G31" i="5"/>
  <c r="K22" i="5"/>
  <c r="W76" i="5"/>
  <c r="O102" i="5"/>
  <c r="G120" i="5"/>
  <c r="W140" i="5"/>
  <c r="G117" i="5"/>
  <c r="W108" i="5"/>
  <c r="O88" i="5"/>
  <c r="G60" i="5"/>
  <c r="G121" i="5"/>
  <c r="K117" i="5"/>
  <c r="W149" i="5"/>
  <c r="O76" i="5"/>
  <c r="S78" i="5"/>
  <c r="W42" i="5"/>
  <c r="S88" i="5"/>
  <c r="O69" i="5"/>
  <c r="K65" i="5"/>
  <c r="S75" i="5"/>
  <c r="G65" i="5"/>
  <c r="S124" i="5"/>
  <c r="G85" i="5"/>
  <c r="W120" i="5"/>
  <c r="K140" i="5"/>
  <c r="K121" i="5"/>
  <c r="G136" i="5"/>
  <c r="S131" i="5"/>
  <c r="G104" i="5"/>
  <c r="S149" i="5"/>
  <c r="S42" i="5"/>
  <c r="O28" i="5"/>
  <c r="W69" i="5"/>
  <c r="G74" i="5"/>
  <c r="K115" i="5"/>
  <c r="S87" i="5"/>
  <c r="O93" i="5"/>
  <c r="K145" i="5"/>
  <c r="S27" i="5"/>
  <c r="S65" i="5"/>
  <c r="O124" i="5"/>
  <c r="W121" i="5"/>
  <c r="K38" i="5"/>
  <c r="O136" i="5"/>
  <c r="S98" i="5"/>
  <c r="W112" i="5"/>
  <c r="S104" i="5"/>
  <c r="O112" i="5"/>
  <c r="G145" i="5"/>
  <c r="O52" i="5"/>
  <c r="W27" i="5"/>
  <c r="S69" i="5"/>
  <c r="K23" i="5"/>
  <c r="O85" i="5"/>
  <c r="O65" i="5"/>
  <c r="K124" i="5"/>
  <c r="K126" i="5"/>
  <c r="S121" i="5"/>
  <c r="O38" i="5"/>
  <c r="K136" i="5"/>
  <c r="W93" i="5"/>
  <c r="W104" i="5"/>
  <c r="W18" i="5"/>
  <c r="K52" i="5"/>
  <c r="S28" i="5"/>
  <c r="K69" i="5"/>
  <c r="G135" i="5"/>
  <c r="W23" i="5"/>
  <c r="G19" i="5"/>
  <c r="G66" i="5"/>
  <c r="G124" i="5"/>
  <c r="W139" i="5"/>
  <c r="O47" i="5"/>
  <c r="O104" i="5"/>
  <c r="K18" i="5"/>
  <c r="S112" i="5"/>
  <c r="O145" i="5"/>
  <c r="W47" i="5"/>
  <c r="W78" i="5"/>
  <c r="W38" i="5"/>
  <c r="X38" i="5" l="1"/>
  <c r="F96" i="4" s="1"/>
  <c r="X47" i="5"/>
  <c r="E97" i="4" s="1"/>
  <c r="L18" i="5"/>
  <c r="P104" i="5"/>
  <c r="F63" i="4" s="1"/>
  <c r="P47" i="5"/>
  <c r="E57" i="4" s="1"/>
  <c r="H19" i="5"/>
  <c r="L48" i="5"/>
  <c r="F37" i="4" s="1"/>
  <c r="X18" i="5"/>
  <c r="X104" i="5"/>
  <c r="F103" i="4" s="1"/>
  <c r="P38" i="5"/>
  <c r="F56" i="4" s="1"/>
  <c r="P65" i="5"/>
  <c r="E59" i="4" s="1"/>
  <c r="X27" i="5"/>
  <c r="P48" i="5"/>
  <c r="F57" i="4" s="1"/>
  <c r="T104" i="5"/>
  <c r="F82" i="4" s="1"/>
  <c r="L38" i="5"/>
  <c r="F36" i="4" s="1"/>
  <c r="T65" i="5"/>
  <c r="E78" i="4" s="1"/>
  <c r="T27" i="5"/>
  <c r="H74" i="5"/>
  <c r="X65" i="5"/>
  <c r="E99" i="4" s="1"/>
  <c r="P28" i="5"/>
  <c r="E55" i="4" s="1"/>
  <c r="H104" i="5"/>
  <c r="T131" i="5"/>
  <c r="E85" i="4" s="1"/>
  <c r="X120" i="5"/>
  <c r="T120" i="5"/>
  <c r="H65" i="5"/>
  <c r="L65" i="5"/>
  <c r="E39" i="4" s="1"/>
  <c r="H120" i="5"/>
  <c r="H27" i="5"/>
  <c r="P64" i="5"/>
  <c r="L104" i="5"/>
  <c r="F43" i="4" s="1"/>
  <c r="T36" i="5"/>
  <c r="L120" i="5"/>
  <c r="P36" i="5"/>
  <c r="H64" i="5"/>
  <c r="H113" i="5"/>
  <c r="P120" i="5"/>
  <c r="X36" i="5"/>
  <c r="H48" i="5"/>
  <c r="X113" i="5"/>
  <c r="F104" i="4" s="1"/>
  <c r="T113" i="5"/>
  <c r="F83" i="4" s="1"/>
  <c r="P27" i="5"/>
  <c r="L64" i="5"/>
  <c r="T38" i="5"/>
  <c r="F75" i="4" s="1"/>
  <c r="L113" i="5"/>
  <c r="F44" i="4" s="1"/>
  <c r="H47" i="5"/>
  <c r="H18" i="5"/>
  <c r="L27" i="5"/>
  <c r="X131" i="5"/>
  <c r="E106" i="4" s="1"/>
  <c r="T48" i="5"/>
  <c r="F76" i="4" s="1"/>
  <c r="X64" i="5"/>
  <c r="L131" i="5"/>
  <c r="E46" i="4" s="1"/>
  <c r="T47" i="5"/>
  <c r="E76" i="4" s="1"/>
  <c r="P113" i="5"/>
  <c r="F64" i="4" s="1"/>
  <c r="P131" i="5"/>
  <c r="E66" i="4" s="1"/>
  <c r="H38" i="5"/>
  <c r="H131" i="5"/>
  <c r="H36" i="5"/>
  <c r="L47" i="5"/>
  <c r="E37" i="4" s="1"/>
  <c r="P18" i="5"/>
  <c r="T64" i="5"/>
  <c r="L36" i="5"/>
  <c r="X48" i="5"/>
  <c r="F97" i="4" s="1"/>
  <c r="T18" i="5"/>
  <c r="R126" i="5"/>
  <c r="D22" i="4"/>
  <c r="J132" i="3"/>
  <c r="J89" i="3"/>
  <c r="D19" i="4"/>
  <c r="N19" i="5"/>
  <c r="N74" i="5"/>
  <c r="D25" i="4"/>
  <c r="J175" i="3"/>
  <c r="J118" i="3"/>
  <c r="D21" i="4"/>
  <c r="V85" i="5"/>
  <c r="J161" i="3"/>
  <c r="D24" i="4"/>
  <c r="J190" i="3"/>
  <c r="D26" i="4"/>
  <c r="D15" i="4"/>
  <c r="J32" i="3"/>
  <c r="D18" i="4"/>
  <c r="J75" i="3"/>
  <c r="D23" i="4"/>
  <c r="J147" i="3"/>
  <c r="J61" i="3"/>
  <c r="D17" i="4"/>
  <c r="D28" i="4"/>
  <c r="J218" i="3"/>
  <c r="N154" i="5"/>
  <c r="V115" i="5"/>
  <c r="J18" i="3"/>
  <c r="D14" i="4"/>
  <c r="J204" i="3"/>
  <c r="D27" i="4"/>
  <c r="V32" i="5"/>
  <c r="J46" i="3"/>
  <c r="D16" i="4"/>
  <c r="D20" i="4"/>
  <c r="J104" i="3"/>
  <c r="S84" i="5"/>
  <c r="G50" i="5"/>
  <c r="O153" i="5"/>
  <c r="W96" i="5"/>
  <c r="O55" i="5"/>
  <c r="G29" i="5"/>
  <c r="K150" i="5"/>
  <c r="W89" i="5"/>
  <c r="O134" i="5"/>
  <c r="S106" i="5"/>
  <c r="K80" i="5"/>
  <c r="K70" i="5"/>
  <c r="G56" i="5"/>
  <c r="S143" i="5"/>
  <c r="W97" i="5"/>
  <c r="O24" i="5"/>
  <c r="K122" i="5"/>
  <c r="O130" i="5"/>
  <c r="W41" i="5"/>
  <c r="O141" i="5"/>
  <c r="S111" i="5"/>
  <c r="S103" i="5"/>
  <c r="W32" i="5"/>
  <c r="K41" i="5"/>
  <c r="O111" i="5"/>
  <c r="O103" i="5"/>
  <c r="O50" i="5"/>
  <c r="K59" i="5"/>
  <c r="O89" i="5"/>
  <c r="W80" i="5"/>
  <c r="S132" i="5"/>
  <c r="W143" i="5"/>
  <c r="S24" i="5"/>
  <c r="S130" i="5"/>
  <c r="S141" i="5"/>
  <c r="G103" i="5"/>
  <c r="O92" i="5"/>
  <c r="O59" i="5"/>
  <c r="S134" i="5"/>
  <c r="O132" i="5"/>
  <c r="K143" i="5"/>
  <c r="G24" i="5"/>
  <c r="W115" i="5"/>
  <c r="W103" i="5"/>
  <c r="W37" i="5"/>
  <c r="W92" i="5"/>
  <c r="S59" i="5"/>
  <c r="K125" i="5"/>
  <c r="K144" i="5"/>
  <c r="G70" i="5"/>
  <c r="K79" i="5"/>
  <c r="S107" i="5"/>
  <c r="G41" i="5"/>
  <c r="G111" i="5"/>
  <c r="G37" i="5"/>
  <c r="K74" i="5"/>
  <c r="W85" i="5"/>
  <c r="G144" i="5"/>
  <c r="W83" i="5"/>
  <c r="G132" i="5"/>
  <c r="G152" i="5"/>
  <c r="O46" i="5"/>
  <c r="G61" i="5"/>
  <c r="K94" i="5"/>
  <c r="O116" i="5"/>
  <c r="O37" i="5"/>
  <c r="W20" i="5"/>
  <c r="S29" i="5"/>
  <c r="S85" i="5"/>
  <c r="O83" i="5"/>
  <c r="W79" i="5"/>
  <c r="W107" i="5"/>
  <c r="K154" i="5"/>
  <c r="W94" i="5"/>
  <c r="W116" i="5"/>
  <c r="O126" i="5"/>
  <c r="S153" i="5"/>
  <c r="K20" i="5"/>
  <c r="G125" i="5"/>
  <c r="K83" i="5"/>
  <c r="K57" i="5"/>
  <c r="K107" i="5"/>
  <c r="K153" i="5"/>
  <c r="O29" i="5"/>
  <c r="W125" i="5"/>
  <c r="S80" i="5"/>
  <c r="O57" i="5"/>
  <c r="O56" i="5"/>
  <c r="K152" i="5"/>
  <c r="G46" i="5"/>
  <c r="S61" i="5"/>
  <c r="G94" i="5"/>
  <c r="S116" i="5"/>
  <c r="O84" i="5"/>
  <c r="W153" i="5"/>
  <c r="S55" i="5"/>
  <c r="K134" i="5"/>
  <c r="S83" i="5"/>
  <c r="K56" i="5"/>
  <c r="O97" i="5"/>
  <c r="W24" i="5"/>
  <c r="W130" i="5"/>
  <c r="S76" i="5"/>
  <c r="G148" i="5"/>
  <c r="K84" i="5"/>
  <c r="S50" i="5"/>
  <c r="G153" i="5"/>
  <c r="O96" i="5"/>
  <c r="G55" i="5"/>
  <c r="W59" i="5"/>
  <c r="O150" i="5"/>
  <c r="K89" i="5"/>
  <c r="G134" i="5"/>
  <c r="O106" i="5"/>
  <c r="G80" i="5"/>
  <c r="S70" i="5"/>
  <c r="W56" i="5"/>
  <c r="O143" i="5"/>
  <c r="S97" i="5"/>
  <c r="K24" i="5"/>
  <c r="G122" i="5"/>
  <c r="K130" i="5"/>
  <c r="W141" i="5"/>
  <c r="S32" i="5"/>
  <c r="G84" i="5"/>
  <c r="K92" i="5"/>
  <c r="W55" i="5"/>
  <c r="G150" i="5"/>
  <c r="W134" i="5"/>
  <c r="K106" i="5"/>
  <c r="O70" i="5"/>
  <c r="G79" i="5"/>
  <c r="K97" i="5"/>
  <c r="S122" i="5"/>
  <c r="S41" i="5"/>
  <c r="K111" i="5"/>
  <c r="K37" i="5"/>
  <c r="K19" i="5"/>
  <c r="K55" i="5"/>
  <c r="W150" i="5"/>
  <c r="G89" i="5"/>
  <c r="S144" i="5"/>
  <c r="W70" i="5"/>
  <c r="O79" i="5"/>
  <c r="G97" i="5"/>
  <c r="W122" i="5"/>
  <c r="O41" i="5"/>
  <c r="K141" i="5"/>
  <c r="W111" i="5"/>
  <c r="O20" i="5"/>
  <c r="S150" i="5"/>
  <c r="K132" i="5"/>
  <c r="S152" i="5"/>
  <c r="W46" i="5"/>
  <c r="S115" i="5"/>
  <c r="S94" i="5"/>
  <c r="K103" i="5"/>
  <c r="G92" i="5"/>
  <c r="S20" i="5"/>
  <c r="G59" i="5"/>
  <c r="O125" i="5"/>
  <c r="W57" i="5"/>
  <c r="S79" i="5"/>
  <c r="O107" i="5"/>
  <c r="O148" i="5"/>
  <c r="S92" i="5"/>
  <c r="S125" i="5"/>
  <c r="W144" i="5"/>
  <c r="S57" i="5"/>
  <c r="W132" i="5"/>
  <c r="O152" i="5"/>
  <c r="S46" i="5"/>
  <c r="W61" i="5"/>
  <c r="W148" i="5"/>
  <c r="S37" i="5"/>
  <c r="S96" i="5"/>
  <c r="W29" i="5"/>
  <c r="O144" i="5"/>
  <c r="S56" i="5"/>
  <c r="W152" i="5"/>
  <c r="K46" i="5"/>
  <c r="K61" i="5"/>
  <c r="O94" i="5"/>
  <c r="K148" i="5"/>
  <c r="G116" i="5"/>
  <c r="W84" i="5"/>
  <c r="W50" i="5"/>
  <c r="G96" i="5"/>
  <c r="G20" i="5"/>
  <c r="G106" i="5"/>
  <c r="G83" i="5"/>
  <c r="G107" i="5"/>
  <c r="G130" i="5"/>
  <c r="S148" i="5"/>
  <c r="K50" i="5"/>
  <c r="K96" i="5"/>
  <c r="K29" i="5"/>
  <c r="S89" i="5"/>
  <c r="W106" i="5"/>
  <c r="O80" i="5"/>
  <c r="G57" i="5"/>
  <c r="G143" i="5"/>
  <c r="O122" i="5"/>
  <c r="O61" i="5"/>
  <c r="G141" i="5"/>
  <c r="K116" i="5"/>
  <c r="L112" i="5" l="1"/>
  <c r="E44" i="4" s="1"/>
  <c r="H141" i="5"/>
  <c r="P122" i="5"/>
  <c r="F65" i="4" s="1"/>
  <c r="H139" i="5"/>
  <c r="H57" i="5"/>
  <c r="P76" i="5"/>
  <c r="F60" i="4" s="1"/>
  <c r="X102" i="5"/>
  <c r="L29" i="5"/>
  <c r="F35" i="4" s="1"/>
  <c r="T148" i="5"/>
  <c r="H130" i="5"/>
  <c r="H83" i="5"/>
  <c r="H102" i="5"/>
  <c r="H20" i="5"/>
  <c r="I18" i="5" s="1"/>
  <c r="X84" i="5"/>
  <c r="E101" i="4" s="1"/>
  <c r="H112" i="5"/>
  <c r="L148" i="5"/>
  <c r="P94" i="5"/>
  <c r="F62" i="4" s="1"/>
  <c r="L46" i="5"/>
  <c r="T56" i="5"/>
  <c r="E77" i="4" s="1"/>
  <c r="P140" i="5"/>
  <c r="E67" i="4" s="1"/>
  <c r="X29" i="5"/>
  <c r="F95" i="4" s="1"/>
  <c r="T37" i="5"/>
  <c r="E75" i="4" s="1"/>
  <c r="X148" i="5"/>
  <c r="T46" i="5"/>
  <c r="X132" i="5"/>
  <c r="F106" i="4" s="1"/>
  <c r="T57" i="5"/>
  <c r="F77" i="4" s="1"/>
  <c r="X140" i="5"/>
  <c r="E107" i="4" s="1"/>
  <c r="T121" i="5"/>
  <c r="E84" i="4" s="1"/>
  <c r="T92" i="5"/>
  <c r="P148" i="5"/>
  <c r="T75" i="5"/>
  <c r="E79" i="4" s="1"/>
  <c r="X57" i="5"/>
  <c r="F98" i="4" s="1"/>
  <c r="P121" i="5"/>
  <c r="E65" i="4" s="1"/>
  <c r="T20" i="5"/>
  <c r="F73" i="4" s="1"/>
  <c r="H92" i="5"/>
  <c r="L103" i="5"/>
  <c r="E43" i="4" s="1"/>
  <c r="T94" i="5"/>
  <c r="F81" i="4" s="1"/>
  <c r="X46" i="5"/>
  <c r="L132" i="5"/>
  <c r="F46" i="4" s="1"/>
  <c r="P20" i="5"/>
  <c r="F54" i="4" s="1"/>
  <c r="X111" i="5"/>
  <c r="L141" i="5"/>
  <c r="F47" i="4" s="1"/>
  <c r="H93" i="5"/>
  <c r="P75" i="5"/>
  <c r="E60" i="4" s="1"/>
  <c r="X66" i="5"/>
  <c r="F99" i="4" s="1"/>
  <c r="T140" i="5"/>
  <c r="E86" i="4" s="1"/>
  <c r="H85" i="5"/>
  <c r="L55" i="5"/>
  <c r="L19" i="5"/>
  <c r="E34" i="4" s="1"/>
  <c r="L37" i="5"/>
  <c r="E36" i="4" s="1"/>
  <c r="L111" i="5"/>
  <c r="L93" i="5"/>
  <c r="E42" i="4" s="1"/>
  <c r="H75" i="5"/>
  <c r="P66" i="5"/>
  <c r="F59" i="4" s="1"/>
  <c r="L102" i="5"/>
  <c r="H150" i="5"/>
  <c r="X55" i="5"/>
  <c r="L92" i="5"/>
  <c r="H84" i="5"/>
  <c r="T28" i="5"/>
  <c r="E74" i="4" s="1"/>
  <c r="X141" i="5"/>
  <c r="F107" i="4" s="1"/>
  <c r="L130" i="5"/>
  <c r="H122" i="5"/>
  <c r="T93" i="5"/>
  <c r="E81" i="4" s="1"/>
  <c r="P139" i="5"/>
  <c r="X56" i="5"/>
  <c r="E98" i="4" s="1"/>
  <c r="T66" i="5"/>
  <c r="F78" i="4" s="1"/>
  <c r="H76" i="5"/>
  <c r="P102" i="5"/>
  <c r="L85" i="5"/>
  <c r="F41" i="4" s="1"/>
  <c r="H55" i="5"/>
  <c r="H149" i="5"/>
  <c r="L84" i="5"/>
  <c r="E41" i="4" s="1"/>
  <c r="H148" i="5"/>
  <c r="T76" i="5"/>
  <c r="F79" i="4" s="1"/>
  <c r="X130" i="5"/>
  <c r="P93" i="5"/>
  <c r="E62" i="4" s="1"/>
  <c r="L56" i="5"/>
  <c r="E38" i="4" s="1"/>
  <c r="T83" i="5"/>
  <c r="T55" i="5"/>
  <c r="X149" i="5"/>
  <c r="E108" i="4" s="1"/>
  <c r="P84" i="5"/>
  <c r="E61" i="4" s="1"/>
  <c r="T112" i="5"/>
  <c r="E83" i="4" s="1"/>
  <c r="H94" i="5"/>
  <c r="H46" i="5"/>
  <c r="I46" i="5" s="1"/>
  <c r="P56" i="5"/>
  <c r="E58" i="4" s="1"/>
  <c r="P57" i="5"/>
  <c r="F58" i="4" s="1"/>
  <c r="X121" i="5"/>
  <c r="E105" i="4" s="1"/>
  <c r="P29" i="5"/>
  <c r="F55" i="4" s="1"/>
  <c r="L149" i="5"/>
  <c r="E48" i="4" s="1"/>
  <c r="L57" i="5"/>
  <c r="F38" i="4" s="1"/>
  <c r="L83" i="5"/>
  <c r="H121" i="5"/>
  <c r="L20" i="5"/>
  <c r="F34" i="4" s="1"/>
  <c r="T149" i="5"/>
  <c r="E87" i="4" s="1"/>
  <c r="X112" i="5"/>
  <c r="E104" i="4" s="1"/>
  <c r="X94" i="5"/>
  <c r="F102" i="4" s="1"/>
  <c r="X75" i="5"/>
  <c r="E100" i="4" s="1"/>
  <c r="P83" i="5"/>
  <c r="T85" i="5"/>
  <c r="F80" i="4" s="1"/>
  <c r="T29" i="5"/>
  <c r="F74" i="4" s="1"/>
  <c r="X20" i="5"/>
  <c r="F94" i="4" s="1"/>
  <c r="P37" i="5"/>
  <c r="E56" i="4" s="1"/>
  <c r="P112" i="5"/>
  <c r="E64" i="4" s="1"/>
  <c r="L94" i="5"/>
  <c r="F42" i="4" s="1"/>
  <c r="P46" i="5"/>
  <c r="H132" i="5"/>
  <c r="X83" i="5"/>
  <c r="H140" i="5"/>
  <c r="X85" i="5"/>
  <c r="F101" i="4" s="1"/>
  <c r="L74" i="5"/>
  <c r="H37" i="5"/>
  <c r="I36" i="5" s="1"/>
  <c r="H111" i="5"/>
  <c r="L75" i="5"/>
  <c r="E40" i="4" s="1"/>
  <c r="H66" i="5"/>
  <c r="I64" i="5" s="1"/>
  <c r="L140" i="5"/>
  <c r="E47" i="4" s="1"/>
  <c r="L121" i="5"/>
  <c r="E45" i="4" s="1"/>
  <c r="X92" i="5"/>
  <c r="X37" i="5"/>
  <c r="E96" i="4" s="1"/>
  <c r="X103" i="5"/>
  <c r="E103" i="4" s="1"/>
  <c r="L139" i="5"/>
  <c r="P132" i="5"/>
  <c r="F66" i="4" s="1"/>
  <c r="P92" i="5"/>
  <c r="H103" i="5"/>
  <c r="T141" i="5"/>
  <c r="F86" i="4" s="1"/>
  <c r="T130" i="5"/>
  <c r="X139" i="5"/>
  <c r="T132" i="5"/>
  <c r="F85" i="4" s="1"/>
  <c r="X76" i="5"/>
  <c r="F100" i="4" s="1"/>
  <c r="P85" i="5"/>
  <c r="F61" i="4" s="1"/>
  <c r="P103" i="5"/>
  <c r="E63" i="4" s="1"/>
  <c r="P111" i="5"/>
  <c r="X28" i="5"/>
  <c r="E95" i="4" s="1"/>
  <c r="T103" i="5"/>
  <c r="E82" i="4" s="1"/>
  <c r="T111" i="5"/>
  <c r="P141" i="5"/>
  <c r="F67" i="4" s="1"/>
  <c r="P130" i="5"/>
  <c r="L122" i="5"/>
  <c r="F45" i="4" s="1"/>
  <c r="X93" i="5"/>
  <c r="E102" i="4" s="1"/>
  <c r="T139" i="5"/>
  <c r="H56" i="5"/>
  <c r="L66" i="5"/>
  <c r="F39" i="4" s="1"/>
  <c r="L76" i="5"/>
  <c r="F40" i="4" s="1"/>
  <c r="T102" i="5"/>
  <c r="L150" i="5"/>
  <c r="F48" i="4" s="1"/>
  <c r="H29" i="5"/>
  <c r="I27" i="5" s="1"/>
  <c r="P55" i="5"/>
  <c r="P149" i="5"/>
  <c r="E68" i="4" s="1"/>
  <c r="T84" i="5"/>
  <c r="E80" i="4" s="1"/>
  <c r="D45" i="4"/>
  <c r="B19" i="6"/>
  <c r="AE19" i="6" s="1"/>
  <c r="C21" i="4"/>
  <c r="G21" i="4" s="1"/>
  <c r="B13" i="6"/>
  <c r="AE13" i="6" s="1"/>
  <c r="C15" i="4"/>
  <c r="B22" i="6"/>
  <c r="AE22" i="6" s="1"/>
  <c r="C24" i="4"/>
  <c r="D75" i="4"/>
  <c r="D34" i="4"/>
  <c r="V126" i="5"/>
  <c r="D99" i="4"/>
  <c r="D96" i="4"/>
  <c r="B18" i="6"/>
  <c r="AE18" i="6" s="1"/>
  <c r="C20" i="4"/>
  <c r="G20" i="4" s="1"/>
  <c r="B12" i="6"/>
  <c r="AE12" i="6" s="1"/>
  <c r="C14" i="4"/>
  <c r="B26" i="6"/>
  <c r="AE26" i="6" s="1"/>
  <c r="C28" i="4"/>
  <c r="B16" i="6"/>
  <c r="AE16" i="6" s="1"/>
  <c r="C18" i="4"/>
  <c r="B24" i="6"/>
  <c r="AE24" i="6" s="1"/>
  <c r="C26" i="4"/>
  <c r="B20" i="6"/>
  <c r="AE20" i="6" s="1"/>
  <c r="C22" i="4"/>
  <c r="G22" i="4" s="1"/>
  <c r="D36" i="4"/>
  <c r="B14" i="6"/>
  <c r="AE14" i="6" s="1"/>
  <c r="C16" i="4"/>
  <c r="D78" i="4"/>
  <c r="D35" i="4"/>
  <c r="D84" i="4"/>
  <c r="D95" i="4"/>
  <c r="B21" i="6"/>
  <c r="AE21" i="6" s="1"/>
  <c r="C23" i="4"/>
  <c r="D54" i="4"/>
  <c r="B25" i="6"/>
  <c r="AE25" i="6" s="1"/>
  <c r="C27" i="4"/>
  <c r="R154" i="5"/>
  <c r="B15" i="6"/>
  <c r="AE15" i="6" s="1"/>
  <c r="C17" i="4"/>
  <c r="B23" i="6"/>
  <c r="AE23" i="6" s="1"/>
  <c r="C25" i="4"/>
  <c r="B17" i="6"/>
  <c r="AE17" i="6" s="1"/>
  <c r="C19" i="4"/>
  <c r="D73" i="4"/>
  <c r="D39" i="4"/>
  <c r="D65" i="4"/>
  <c r="D59" i="4"/>
  <c r="D94" i="4"/>
  <c r="R74" i="5"/>
  <c r="D55" i="4"/>
  <c r="R19" i="5"/>
  <c r="D56" i="4"/>
  <c r="D105" i="4"/>
  <c r="D74" i="4"/>
  <c r="O74" i="5"/>
  <c r="O154" i="5"/>
  <c r="W126" i="5"/>
  <c r="S126" i="5"/>
  <c r="O19" i="5"/>
  <c r="I120" i="5" l="1"/>
  <c r="M27" i="5"/>
  <c r="C35" i="4" s="1"/>
  <c r="Q27" i="5"/>
  <c r="E13" i="6" s="1"/>
  <c r="I74" i="5"/>
  <c r="M36" i="5"/>
  <c r="C14" i="6" s="1"/>
  <c r="Q36" i="5"/>
  <c r="E14" i="6" s="1"/>
  <c r="Q64" i="5"/>
  <c r="E17" i="6" s="1"/>
  <c r="M64" i="5"/>
  <c r="C17" i="6" s="1"/>
  <c r="U36" i="5"/>
  <c r="C75" i="4" s="1"/>
  <c r="I130" i="5"/>
  <c r="M120" i="5"/>
  <c r="C23" i="6" s="1"/>
  <c r="Y27" i="5"/>
  <c r="C95" i="4" s="1"/>
  <c r="U64" i="5"/>
  <c r="G17" i="6" s="1"/>
  <c r="M18" i="5"/>
  <c r="C34" i="4" s="1"/>
  <c r="P19" i="5"/>
  <c r="T122" i="5"/>
  <c r="X122" i="5"/>
  <c r="P150" i="5"/>
  <c r="F68" i="4" s="1"/>
  <c r="P74" i="5"/>
  <c r="U139" i="5"/>
  <c r="D86" i="4"/>
  <c r="Y92" i="5"/>
  <c r="D102" i="4"/>
  <c r="D101" i="4"/>
  <c r="Y83" i="5"/>
  <c r="Q102" i="5"/>
  <c r="D63" i="4"/>
  <c r="V15" i="4"/>
  <c r="C25" i="2"/>
  <c r="G15" i="4"/>
  <c r="U111" i="5"/>
  <c r="D83" i="4"/>
  <c r="D68" i="4"/>
  <c r="V19" i="5"/>
  <c r="G17" i="4"/>
  <c r="J15" i="4"/>
  <c r="C20" i="2" s="1"/>
  <c r="C27" i="2"/>
  <c r="W17" i="4"/>
  <c r="C38" i="2"/>
  <c r="Z28" i="4"/>
  <c r="G28" i="4"/>
  <c r="U102" i="5"/>
  <c r="D82" i="4"/>
  <c r="I148" i="5"/>
  <c r="Q139" i="5"/>
  <c r="D67" i="4"/>
  <c r="M102" i="5"/>
  <c r="D43" i="4"/>
  <c r="D81" i="4"/>
  <c r="U92" i="5"/>
  <c r="C37" i="2"/>
  <c r="Z27" i="4"/>
  <c r="G27" i="4"/>
  <c r="V16" i="4"/>
  <c r="C26" i="2"/>
  <c r="G16" i="4"/>
  <c r="D87" i="4"/>
  <c r="Q120" i="5"/>
  <c r="X21" i="4"/>
  <c r="C31" i="2"/>
  <c r="Q92" i="5"/>
  <c r="D62" i="4"/>
  <c r="I111" i="5"/>
  <c r="Y46" i="5"/>
  <c r="Z46" i="5" s="1"/>
  <c r="D97" i="4"/>
  <c r="D37" i="4"/>
  <c r="M46" i="5"/>
  <c r="I55" i="5"/>
  <c r="U27" i="5"/>
  <c r="V14" i="4"/>
  <c r="J14" i="4"/>
  <c r="G14" i="4"/>
  <c r="C24" i="2"/>
  <c r="Q111" i="5"/>
  <c r="D64" i="4"/>
  <c r="M83" i="5"/>
  <c r="D41" i="4"/>
  <c r="Y102" i="5"/>
  <c r="D103" i="4"/>
  <c r="V154" i="5"/>
  <c r="U55" i="5"/>
  <c r="D77" i="4"/>
  <c r="I92" i="5"/>
  <c r="M139" i="5"/>
  <c r="D47" i="4"/>
  <c r="D40" i="4"/>
  <c r="M74" i="5"/>
  <c r="M130" i="5"/>
  <c r="D46" i="4"/>
  <c r="V74" i="5"/>
  <c r="D76" i="4"/>
  <c r="U46" i="5"/>
  <c r="I139" i="5"/>
  <c r="D108" i="4"/>
  <c r="Q83" i="5"/>
  <c r="D61" i="4"/>
  <c r="U83" i="5"/>
  <c r="D80" i="4"/>
  <c r="M111" i="5"/>
  <c r="D44" i="4"/>
  <c r="G19" i="4"/>
  <c r="W19" i="4"/>
  <c r="C29" i="2"/>
  <c r="G26" i="4"/>
  <c r="Z26" i="4"/>
  <c r="J18" i="4"/>
  <c r="C23" i="2" s="1"/>
  <c r="C36" i="2"/>
  <c r="I102" i="5"/>
  <c r="M148" i="5"/>
  <c r="D48" i="4"/>
  <c r="X22" i="4"/>
  <c r="C32" i="2"/>
  <c r="J16" i="4"/>
  <c r="C21" i="2" s="1"/>
  <c r="C30" i="2"/>
  <c r="X20" i="4"/>
  <c r="Y36" i="5"/>
  <c r="Z36" i="5" s="1"/>
  <c r="C34" i="2"/>
  <c r="Y24" i="4"/>
  <c r="G24" i="4"/>
  <c r="Q55" i="5"/>
  <c r="D58" i="4"/>
  <c r="Q130" i="5"/>
  <c r="D66" i="4"/>
  <c r="Y139" i="5"/>
  <c r="D107" i="4"/>
  <c r="M92" i="5"/>
  <c r="D42" i="4"/>
  <c r="D104" i="4"/>
  <c r="Y111" i="5"/>
  <c r="Y25" i="4"/>
  <c r="G25" i="4"/>
  <c r="C35" i="2"/>
  <c r="J17" i="4"/>
  <c r="C22" i="2" s="1"/>
  <c r="Y23" i="4"/>
  <c r="G23" i="4"/>
  <c r="C33" i="2"/>
  <c r="C28" i="2"/>
  <c r="W18" i="4"/>
  <c r="G18" i="4"/>
  <c r="Y64" i="5"/>
  <c r="Z64" i="5" s="1"/>
  <c r="U130" i="5"/>
  <c r="D85" i="4"/>
  <c r="D57" i="4"/>
  <c r="Q46" i="5"/>
  <c r="Y130" i="5"/>
  <c r="D106" i="4"/>
  <c r="D98" i="4"/>
  <c r="Y55" i="5"/>
  <c r="M55" i="5"/>
  <c r="D38" i="4"/>
  <c r="I83" i="5"/>
  <c r="W19" i="5"/>
  <c r="S19" i="5"/>
  <c r="S154" i="5"/>
  <c r="S74" i="5"/>
  <c r="W154" i="5"/>
  <c r="W74" i="5"/>
  <c r="C13" i="6" l="1"/>
  <c r="AD13" i="6" s="1"/>
  <c r="C55" i="4"/>
  <c r="V55" i="4" s="1"/>
  <c r="Z139" i="5"/>
  <c r="Z130" i="5"/>
  <c r="Z111" i="5"/>
  <c r="Z102" i="5"/>
  <c r="Z92" i="5"/>
  <c r="Z83" i="5"/>
  <c r="G14" i="6"/>
  <c r="H14" i="6" s="1"/>
  <c r="C59" i="4"/>
  <c r="G59" i="4" s="1"/>
  <c r="C39" i="4"/>
  <c r="G39" i="4" s="1"/>
  <c r="C36" i="4"/>
  <c r="G36" i="4" s="1"/>
  <c r="C56" i="4"/>
  <c r="V56" i="4" s="1"/>
  <c r="Z55" i="5"/>
  <c r="C78" i="4"/>
  <c r="G78" i="4" s="1"/>
  <c r="C45" i="4"/>
  <c r="Y45" i="4" s="1"/>
  <c r="C12" i="6"/>
  <c r="D12" i="6" s="1"/>
  <c r="I13" i="6"/>
  <c r="AA13" i="6" s="1"/>
  <c r="Z27" i="5"/>
  <c r="Q148" i="5"/>
  <c r="E26" i="6" s="1"/>
  <c r="X74" i="5"/>
  <c r="X150" i="5"/>
  <c r="T74" i="5"/>
  <c r="T150" i="5"/>
  <c r="T19" i="5"/>
  <c r="X19" i="5"/>
  <c r="G15" i="6"/>
  <c r="C76" i="4"/>
  <c r="I21" i="6"/>
  <c r="C103" i="4"/>
  <c r="I15" i="6"/>
  <c r="C97" i="4"/>
  <c r="G24" i="6"/>
  <c r="C85" i="4"/>
  <c r="F13" i="6"/>
  <c r="AC13" i="6"/>
  <c r="E25" i="6"/>
  <c r="C67" i="4"/>
  <c r="I17" i="6"/>
  <c r="C99" i="4"/>
  <c r="E24" i="6"/>
  <c r="C66" i="4"/>
  <c r="D23" i="6"/>
  <c r="AD23" i="6"/>
  <c r="G13" i="6"/>
  <c r="C74" i="4"/>
  <c r="E23" i="6"/>
  <c r="C65" i="4"/>
  <c r="I16" i="6"/>
  <c r="C98" i="4"/>
  <c r="AC14" i="6"/>
  <c r="F14" i="6"/>
  <c r="E16" i="6"/>
  <c r="C58" i="4"/>
  <c r="C24" i="6"/>
  <c r="C46" i="4"/>
  <c r="G21" i="6"/>
  <c r="C82" i="4"/>
  <c r="C18" i="6"/>
  <c r="C40" i="4"/>
  <c r="G40" i="4" s="1"/>
  <c r="I24" i="6"/>
  <c r="C106" i="4"/>
  <c r="E15" i="6"/>
  <c r="C57" i="4"/>
  <c r="C20" i="6"/>
  <c r="C42" i="4"/>
  <c r="I14" i="6"/>
  <c r="C96" i="4"/>
  <c r="C25" i="6"/>
  <c r="C47" i="4"/>
  <c r="V95" i="4"/>
  <c r="G95" i="4"/>
  <c r="I20" i="6"/>
  <c r="C102" i="4"/>
  <c r="G19" i="6"/>
  <c r="C80" i="4"/>
  <c r="E22" i="6"/>
  <c r="C64" i="4"/>
  <c r="G35" i="4"/>
  <c r="V35" i="4"/>
  <c r="V34" i="4"/>
  <c r="G34" i="4"/>
  <c r="C16" i="6"/>
  <c r="C38" i="4"/>
  <c r="E19" i="6"/>
  <c r="C61" i="4"/>
  <c r="G16" i="6"/>
  <c r="C77" i="4"/>
  <c r="C15" i="6"/>
  <c r="C37" i="4"/>
  <c r="I22" i="6"/>
  <c r="C104" i="4"/>
  <c r="C26" i="6"/>
  <c r="C48" i="4"/>
  <c r="C22" i="6"/>
  <c r="C44" i="4"/>
  <c r="V75" i="4"/>
  <c r="G75" i="4"/>
  <c r="C19" i="6"/>
  <c r="C41" i="4"/>
  <c r="AD17" i="6"/>
  <c r="D17" i="6"/>
  <c r="C21" i="6"/>
  <c r="C43" i="4"/>
  <c r="I25" i="6"/>
  <c r="C107" i="4"/>
  <c r="H17" i="6"/>
  <c r="AB17" i="6"/>
  <c r="D14" i="6"/>
  <c r="AD14" i="6"/>
  <c r="E20" i="6"/>
  <c r="C62" i="4"/>
  <c r="AC17" i="6"/>
  <c r="F17" i="6"/>
  <c r="G22" i="6"/>
  <c r="C83" i="4"/>
  <c r="G25" i="6"/>
  <c r="C86" i="4"/>
  <c r="Q74" i="5"/>
  <c r="D60" i="4"/>
  <c r="F105" i="4"/>
  <c r="Y120" i="5"/>
  <c r="Z120" i="5" s="1"/>
  <c r="E21" i="6"/>
  <c r="C63" i="4"/>
  <c r="F84" i="4"/>
  <c r="U120" i="5"/>
  <c r="C19" i="2"/>
  <c r="J19" i="4"/>
  <c r="C18" i="2" s="1"/>
  <c r="G20" i="6"/>
  <c r="C81" i="4"/>
  <c r="I19" i="6"/>
  <c r="C101" i="4"/>
  <c r="E54" i="4"/>
  <c r="Q18" i="5"/>
  <c r="D13" i="6" l="1"/>
  <c r="G55" i="4"/>
  <c r="X102" i="4"/>
  <c r="G102" i="4"/>
  <c r="W39" i="4"/>
  <c r="X101" i="4"/>
  <c r="G101" i="4"/>
  <c r="X81" i="4"/>
  <c r="G81" i="4"/>
  <c r="X80" i="4"/>
  <c r="G80" i="4"/>
  <c r="X62" i="4"/>
  <c r="G62" i="4"/>
  <c r="X61" i="4"/>
  <c r="G61" i="4"/>
  <c r="X42" i="4"/>
  <c r="G42" i="4"/>
  <c r="X41" i="4"/>
  <c r="G41" i="4"/>
  <c r="G56" i="4"/>
  <c r="V36" i="4"/>
  <c r="J34" i="4"/>
  <c r="W59" i="4"/>
  <c r="AB14" i="6"/>
  <c r="W78" i="4"/>
  <c r="G45" i="4"/>
  <c r="AD12" i="6"/>
  <c r="J13" i="6"/>
  <c r="K13" i="6"/>
  <c r="C68" i="4"/>
  <c r="G68" i="4" s="1"/>
  <c r="G82" i="4"/>
  <c r="Y82" i="4"/>
  <c r="J16" i="6"/>
  <c r="AA16" i="6"/>
  <c r="K16" i="6"/>
  <c r="AB15" i="6"/>
  <c r="H15" i="6"/>
  <c r="F26" i="6"/>
  <c r="AC26" i="6"/>
  <c r="G65" i="4"/>
  <c r="Y65" i="4"/>
  <c r="Z85" i="4"/>
  <c r="G85" i="4"/>
  <c r="G48" i="4"/>
  <c r="Z48" i="4"/>
  <c r="H16" i="6"/>
  <c r="AB16" i="6"/>
  <c r="G64" i="4"/>
  <c r="Y64" i="4"/>
  <c r="H21" i="6"/>
  <c r="AB21" i="6"/>
  <c r="E94" i="4"/>
  <c r="Y18" i="5"/>
  <c r="AB20" i="6"/>
  <c r="H20" i="6"/>
  <c r="E18" i="6"/>
  <c r="C60" i="4"/>
  <c r="G60" i="4" s="1"/>
  <c r="AD26" i="6"/>
  <c r="D26" i="6"/>
  <c r="G66" i="4"/>
  <c r="Z66" i="4"/>
  <c r="E73" i="4"/>
  <c r="U18" i="5"/>
  <c r="AD24" i="6"/>
  <c r="D24" i="6"/>
  <c r="F87" i="4"/>
  <c r="U148" i="5"/>
  <c r="D16" i="6"/>
  <c r="AD16" i="6"/>
  <c r="J57" i="4"/>
  <c r="G63" i="4"/>
  <c r="Y63" i="4"/>
  <c r="Y83" i="4"/>
  <c r="G83" i="4"/>
  <c r="Y43" i="4"/>
  <c r="J37" i="4"/>
  <c r="G43" i="4"/>
  <c r="K22" i="6"/>
  <c r="AA22" i="6"/>
  <c r="J22" i="6"/>
  <c r="AD25" i="6"/>
  <c r="D25" i="6"/>
  <c r="K24" i="6"/>
  <c r="AA24" i="6"/>
  <c r="J24" i="6"/>
  <c r="G67" i="4"/>
  <c r="Z67" i="4"/>
  <c r="J21" i="6"/>
  <c r="K21" i="6"/>
  <c r="AA21" i="6"/>
  <c r="AC21" i="6"/>
  <c r="F21" i="6"/>
  <c r="AB22" i="6"/>
  <c r="H22" i="6"/>
  <c r="D21" i="6"/>
  <c r="AD21" i="6"/>
  <c r="G37" i="4"/>
  <c r="W37" i="4"/>
  <c r="J35" i="4"/>
  <c r="G96" i="4"/>
  <c r="V96" i="4"/>
  <c r="X40" i="4"/>
  <c r="J36" i="4"/>
  <c r="G98" i="4"/>
  <c r="W98" i="4"/>
  <c r="V74" i="4"/>
  <c r="G74" i="4"/>
  <c r="F25" i="6"/>
  <c r="AC25" i="6"/>
  <c r="F22" i="6"/>
  <c r="AC22" i="6"/>
  <c r="D20" i="6"/>
  <c r="AD20" i="6"/>
  <c r="AC23" i="6"/>
  <c r="F23" i="6"/>
  <c r="H24" i="6"/>
  <c r="AB24" i="6"/>
  <c r="AC19" i="6"/>
  <c r="F19" i="6"/>
  <c r="G57" i="4"/>
  <c r="J55" i="4"/>
  <c r="W57" i="4"/>
  <c r="J95" i="4"/>
  <c r="W97" i="4"/>
  <c r="G97" i="4"/>
  <c r="G107" i="4"/>
  <c r="Z107" i="4"/>
  <c r="D19" i="6"/>
  <c r="AD19" i="6"/>
  <c r="W38" i="4"/>
  <c r="G38" i="4"/>
  <c r="H19" i="6"/>
  <c r="AB19" i="6"/>
  <c r="AC15" i="6"/>
  <c r="F15" i="6"/>
  <c r="W58" i="4"/>
  <c r="G58" i="4"/>
  <c r="G23" i="6"/>
  <c r="C84" i="4"/>
  <c r="G86" i="4"/>
  <c r="Z86" i="4"/>
  <c r="F20" i="6"/>
  <c r="AC20" i="6"/>
  <c r="G104" i="4"/>
  <c r="Y104" i="4"/>
  <c r="I23" i="6"/>
  <c r="C105" i="4"/>
  <c r="J97" i="4" s="1"/>
  <c r="G44" i="4"/>
  <c r="Y44" i="4"/>
  <c r="D15" i="6"/>
  <c r="AD15" i="6"/>
  <c r="AA20" i="6"/>
  <c r="K20" i="6"/>
  <c r="J20" i="6"/>
  <c r="AD18" i="6"/>
  <c r="D18" i="6"/>
  <c r="AB13" i="6"/>
  <c r="H13" i="6"/>
  <c r="G76" i="4"/>
  <c r="J74" i="4"/>
  <c r="W76" i="4"/>
  <c r="J19" i="6"/>
  <c r="AA19" i="6"/>
  <c r="K19" i="6"/>
  <c r="AD22" i="6"/>
  <c r="D22" i="6"/>
  <c r="Z46" i="4"/>
  <c r="J38" i="4"/>
  <c r="G46" i="4"/>
  <c r="F24" i="6"/>
  <c r="AC24" i="6"/>
  <c r="U74" i="5"/>
  <c r="D79" i="4"/>
  <c r="AC16" i="6"/>
  <c r="F16" i="6"/>
  <c r="G99" i="4"/>
  <c r="W99" i="4"/>
  <c r="AA15" i="6"/>
  <c r="J15" i="6"/>
  <c r="K15" i="6"/>
  <c r="F108" i="4"/>
  <c r="Y148" i="5"/>
  <c r="Z148" i="5" s="1"/>
  <c r="G77" i="4"/>
  <c r="W77" i="4"/>
  <c r="K14" i="6"/>
  <c r="J14" i="6"/>
  <c r="AA14" i="6"/>
  <c r="C28" i="6"/>
  <c r="E12" i="6"/>
  <c r="C54" i="4"/>
  <c r="AB25" i="6"/>
  <c r="H25" i="6"/>
  <c r="AA25" i="6"/>
  <c r="J25" i="6"/>
  <c r="K25" i="6"/>
  <c r="G47" i="4"/>
  <c r="Z47" i="4"/>
  <c r="Z106" i="4"/>
  <c r="G106" i="4"/>
  <c r="K17" i="6"/>
  <c r="AA17" i="6"/>
  <c r="J17" i="6"/>
  <c r="G103" i="4"/>
  <c r="Y103" i="4"/>
  <c r="Y74" i="5"/>
  <c r="Z74" i="5" s="1"/>
  <c r="D100" i="4"/>
  <c r="J58" i="4" l="1"/>
  <c r="Z68" i="4"/>
  <c r="J39" i="4"/>
  <c r="F18" i="6"/>
  <c r="AC18" i="6"/>
  <c r="G54" i="4"/>
  <c r="V54" i="4"/>
  <c r="J54" i="4"/>
  <c r="I26" i="6"/>
  <c r="C108" i="4"/>
  <c r="G18" i="6"/>
  <c r="C79" i="4"/>
  <c r="G79" i="4" s="1"/>
  <c r="G12" i="6"/>
  <c r="C73" i="4"/>
  <c r="I12" i="6"/>
  <c r="C94" i="4"/>
  <c r="Z18" i="5"/>
  <c r="E28" i="6"/>
  <c r="AC12" i="6"/>
  <c r="F12" i="6"/>
  <c r="G84" i="4"/>
  <c r="Y84" i="4"/>
  <c r="J76" i="4"/>
  <c r="Y105" i="4"/>
  <c r="G105" i="4"/>
  <c r="AB23" i="6"/>
  <c r="H23" i="6"/>
  <c r="K23" i="6"/>
  <c r="AA23" i="6"/>
  <c r="J23" i="6"/>
  <c r="C100" i="4"/>
  <c r="G100" i="4" s="1"/>
  <c r="I18" i="6"/>
  <c r="G26" i="6"/>
  <c r="C87" i="4"/>
  <c r="X60" i="4"/>
  <c r="J56" i="4"/>
  <c r="Z108" i="4" l="1"/>
  <c r="G108" i="4"/>
  <c r="J98" i="4"/>
  <c r="J26" i="6"/>
  <c r="AA26" i="6"/>
  <c r="K26" i="6"/>
  <c r="X100" i="4"/>
  <c r="J96" i="4"/>
  <c r="AB18" i="6"/>
  <c r="H18" i="6"/>
  <c r="J94" i="4"/>
  <c r="G94" i="4"/>
  <c r="V94" i="4"/>
  <c r="J59" i="4"/>
  <c r="Z87" i="4"/>
  <c r="G87" i="4"/>
  <c r="J77" i="4"/>
  <c r="AA12" i="6"/>
  <c r="J12" i="6"/>
  <c r="I28" i="6"/>
  <c r="K12" i="6"/>
  <c r="AB26" i="6"/>
  <c r="H26" i="6"/>
  <c r="G73" i="4"/>
  <c r="V73" i="4"/>
  <c r="J73" i="4"/>
  <c r="H12" i="6"/>
  <c r="AB12" i="6"/>
  <c r="G28" i="6"/>
  <c r="AA18" i="6"/>
  <c r="J18" i="6"/>
  <c r="K18" i="6"/>
  <c r="X79" i="4"/>
  <c r="J75" i="4"/>
  <c r="J78" i="4" l="1"/>
  <c r="K28" i="6"/>
  <c r="J99" i="4"/>
  <c r="K29" i="6" l="1"/>
  <c r="C29" i="6"/>
  <c r="E29" i="6"/>
  <c r="I29" i="6"/>
  <c r="G29" i="6"/>
</calcChain>
</file>

<file path=xl/sharedStrings.xml><?xml version="1.0" encoding="utf-8"?>
<sst xmlns="http://schemas.openxmlformats.org/spreadsheetml/2006/main" count="1658" uniqueCount="637">
  <si>
    <t>Instructions</t>
  </si>
  <si>
    <t>Interview an individual based on the questions below organized according to SAMM Business Functions and Security Practices.</t>
  </si>
  <si>
    <t>Select the best answer from the multiple choice drop down selections in the answer column.</t>
  </si>
  <si>
    <t>Document additional information such as how and why in the "Interview Notes" column.</t>
  </si>
  <si>
    <t>The formulas in hidden columns F-H will calculate the scores and update the Rating boxes and other worksheets as needed.</t>
  </si>
  <si>
    <t>Once the interview is complete, go to the "Scorecard" sheet and follow instructions.</t>
  </si>
  <si>
    <t>Organization:</t>
  </si>
  <si>
    <t>Team/Application:</t>
  </si>
  <si>
    <t>Interview Date:</t>
  </si>
  <si>
    <t xml:space="preserve">Team Lead: </t>
  </si>
  <si>
    <t>Contributors:</t>
  </si>
  <si>
    <t>Governance</t>
  </si>
  <si>
    <t>Stream</t>
  </si>
  <si>
    <t>Level</t>
  </si>
  <si>
    <t>Strategy &amp; Metrics</t>
  </si>
  <si>
    <t>Answer</t>
  </si>
  <si>
    <t>Interview Notes</t>
  </si>
  <si>
    <t>Rating</t>
  </si>
  <si>
    <t>G-SM-A-1-1</t>
  </si>
  <si>
    <t>G-SM-A-2-1</t>
  </si>
  <si>
    <t>G-SM-A-3-1</t>
  </si>
  <si>
    <t>G-SM-B-1-1</t>
  </si>
  <si>
    <t>G-SM-B-2-1</t>
  </si>
  <si>
    <t>G-SM-B-3-1</t>
  </si>
  <si>
    <t>Policy &amp; Compliance</t>
  </si>
  <si>
    <t>G-PC-A-1-1</t>
  </si>
  <si>
    <t>G-PC-A-2-1</t>
  </si>
  <si>
    <t>G-PC-A-3-1</t>
  </si>
  <si>
    <t>G-PC-B-1-1</t>
  </si>
  <si>
    <t>G-PC-B-2-1</t>
  </si>
  <si>
    <t>G-PC-B-3-1</t>
  </si>
  <si>
    <t>Education &amp; Guidance</t>
  </si>
  <si>
    <t>G-EG-A-1-1</t>
  </si>
  <si>
    <t>G-EG-A-2-1</t>
  </si>
  <si>
    <t>G-EG-A-3-1</t>
  </si>
  <si>
    <t>G-EG-B-1-1</t>
  </si>
  <si>
    <t>G-EG-B-2-1</t>
  </si>
  <si>
    <t>G-EG-B-3-1</t>
  </si>
  <si>
    <t>Design</t>
  </si>
  <si>
    <t>Threat Assessment</t>
  </si>
  <si>
    <t>D-TA-A-1-1</t>
  </si>
  <si>
    <t>D-TA-A-2-1</t>
  </si>
  <si>
    <t>D-TA-A-3-1</t>
  </si>
  <si>
    <t>D-TA-B-1-1</t>
  </si>
  <si>
    <t>D-TA-B-2-1</t>
  </si>
  <si>
    <t>D-TA-B-3-1</t>
  </si>
  <si>
    <t>Security Requirements</t>
  </si>
  <si>
    <t>D-SR-A-1-1</t>
  </si>
  <si>
    <t>D-SR-A-2-1</t>
  </si>
  <si>
    <t>D-SR-A-3-1</t>
  </si>
  <si>
    <t>D-SR-B-1-1</t>
  </si>
  <si>
    <t>D-SR-B-2-1</t>
  </si>
  <si>
    <t>D-SR-B-3-1</t>
  </si>
  <si>
    <t>Secure Architecture</t>
  </si>
  <si>
    <t>D-SA-A-1-1</t>
  </si>
  <si>
    <t>D-SA-A-2-1</t>
  </si>
  <si>
    <t>D-SA-A-3-1</t>
  </si>
  <si>
    <t>D-SA-B-1-1</t>
  </si>
  <si>
    <t>D-SA-B-2-1</t>
  </si>
  <si>
    <t>D-SA-B-3-1</t>
  </si>
  <si>
    <t>Implementation</t>
  </si>
  <si>
    <t>Secure Build</t>
  </si>
  <si>
    <t>I-SB-A-1-1</t>
  </si>
  <si>
    <t>I-SB-A-2-1</t>
  </si>
  <si>
    <t>I-SB-A-3-1</t>
  </si>
  <si>
    <t>I-SB-B-1-1</t>
  </si>
  <si>
    <t>I-SB-B-2-1</t>
  </si>
  <si>
    <t>I-SB-B-3-1</t>
  </si>
  <si>
    <t>Secure Deployment</t>
  </si>
  <si>
    <t>I-SD-A-1-1</t>
  </si>
  <si>
    <t>I-SD-A-2-1</t>
  </si>
  <si>
    <t>I-SD-A-3-1</t>
  </si>
  <si>
    <t>I-SD-B-1-1</t>
  </si>
  <si>
    <t>I-SD-B-2-1</t>
  </si>
  <si>
    <t>I-SD-B-3-1</t>
  </si>
  <si>
    <t>Defect Management</t>
  </si>
  <si>
    <t>I-DM-A-1-1</t>
  </si>
  <si>
    <t>I-DM-A-2-1</t>
  </si>
  <si>
    <t>I-DM-A-3-1</t>
  </si>
  <si>
    <t>I-DM-B-1-1</t>
  </si>
  <si>
    <t>I-DM-B-2-1</t>
  </si>
  <si>
    <t>I-DM-B-3-1</t>
  </si>
  <si>
    <t>Verification</t>
  </si>
  <si>
    <t>Architecture Assessment</t>
  </si>
  <si>
    <t>V-AA-A-1-1</t>
  </si>
  <si>
    <t>V-AA-A-2-1</t>
  </si>
  <si>
    <t>V-AA-A-3-1</t>
  </si>
  <si>
    <t>V-AA-B-1-1</t>
  </si>
  <si>
    <t>V-AA-B-2-1</t>
  </si>
  <si>
    <t>V-AA-B-3-1</t>
  </si>
  <si>
    <t>Requirements Testing</t>
  </si>
  <si>
    <t>V-RT-A-1-1</t>
  </si>
  <si>
    <t>V-RT-A-2-1</t>
  </si>
  <si>
    <t>V-RT-A-3-1</t>
  </si>
  <si>
    <t>V-RT-B-1-1</t>
  </si>
  <si>
    <t>V-RT-B-2-1</t>
  </si>
  <si>
    <t>V-RT-B-3-1</t>
  </si>
  <si>
    <t>Security Testing</t>
  </si>
  <si>
    <t>V-ST-A-1-1</t>
  </si>
  <si>
    <t>V-ST-A-2-1</t>
  </si>
  <si>
    <t>V-ST-A-3-1</t>
  </si>
  <si>
    <t>V-ST-B-1-1</t>
  </si>
  <si>
    <t>V-ST-B-2-1</t>
  </si>
  <si>
    <t>V-ST-B-3-1</t>
  </si>
  <si>
    <t>Operations</t>
  </si>
  <si>
    <t>Incident Management</t>
  </si>
  <si>
    <t>O-IM-A-1-1</t>
  </si>
  <si>
    <t>O-IM-A-2-1</t>
  </si>
  <si>
    <t>O-IM-A-3-1</t>
  </si>
  <si>
    <t>O-IM-B-1-1</t>
  </si>
  <si>
    <t>O-IM-B-2-1</t>
  </si>
  <si>
    <t>O-IM-B-3-1</t>
  </si>
  <si>
    <t>Environment Management</t>
  </si>
  <si>
    <t>O-EM-A-1-1</t>
  </si>
  <si>
    <t>O-EM-A-2-1</t>
  </si>
  <si>
    <t>O-EM-A-3-1</t>
  </si>
  <si>
    <t>O-EM-B-1-1</t>
  </si>
  <si>
    <t>O-EM-B-2-1</t>
  </si>
  <si>
    <t>O-EM-B-3-1</t>
  </si>
  <si>
    <t>Operational Management</t>
  </si>
  <si>
    <t>O-OM-A-1-1</t>
  </si>
  <si>
    <t>O-OM-A-2-1</t>
  </si>
  <si>
    <t>O-OM-A-3-1</t>
  </si>
  <si>
    <t>O-OM-B-1-1</t>
  </si>
  <si>
    <t>O-OM-B-2-1</t>
  </si>
  <si>
    <t>O-OM-B-3-1</t>
  </si>
  <si>
    <t xml:space="preserve">OWASP Software Assurance Maturity Model (SAMM) </t>
  </si>
  <si>
    <t>Version:</t>
  </si>
  <si>
    <t>Description:</t>
  </si>
  <si>
    <t>Our mission is to provide an effective and measurable way for all types of organizations to analyze and improve their software security posture. We want to raise awareness and educate organizations on how to design, develop, and deploy secure software through our self-assessment model.</t>
  </si>
  <si>
    <t>License:</t>
  </si>
  <si>
    <t>Creative Commons Attribution-ShareAlike 4.0 License</t>
  </si>
  <si>
    <t>This work is licensed under the Creative Commons Attribution-Share Alike 3.0 License. To view a copy of this license, visit http://creativecommons.org/licenses/by-sa/3.0/legalcode; or, (b) send a letter to Creative Commons, 171 2nd Street, Suite 300, San Francisco, California, 94105, USA.</t>
  </si>
  <si>
    <t>Element:</t>
  </si>
  <si>
    <t>Toolbox for v2.0</t>
  </si>
  <si>
    <t>Authors:</t>
  </si>
  <si>
    <t>Yan Kravchenko, multiple core team members</t>
  </si>
  <si>
    <t>The SAMM project team</t>
  </si>
  <si>
    <t>Toolbox for v1.5</t>
  </si>
  <si>
    <t>Brian Glas</t>
  </si>
  <si>
    <t>Roadmap Chart Template v1.0</t>
  </si>
  <si>
    <t>Author:</t>
  </si>
  <si>
    <t>Colin Watson</t>
  </si>
  <si>
    <t>Aidan Lynch</t>
  </si>
  <si>
    <t>Interview Template v1.0</t>
  </si>
  <si>
    <t>Author(s):</t>
  </si>
  <si>
    <t>Nick Coblentz, Eoin Keary, and Seba Deleersnyder</t>
  </si>
  <si>
    <t>SAMM</t>
  </si>
  <si>
    <t>The Software Assurance Maturity Model (SAMM) was created by Pravir Chandra and is now an Open Web Application Security Project (OWASP) project.</t>
  </si>
  <si>
    <t>SAMM is licensed under the Creative Commons Attribution-Share Alike 4.0 License</t>
  </si>
  <si>
    <t>https://owaspsamm.org/</t>
  </si>
  <si>
    <t>This worksheet is for importing the data from this workbook into the SAMM Benchmarking system. Please complete the demographic data, all other data will auto-populate.</t>
  </si>
  <si>
    <t>To import this worksheet into your current SAMM worksheet follow these steps:
1. Have this workbook and your completed workbook open.
2. Right-clck the benchmark worksheet and choose "Move or Copy"
3. Change the workbook name to your SAMM workbook
4. Click Interview and check the box to make a copy
5. Once copied, open the Benchmark worksheet in your SAMM workbook
6. Click on the Formulas menu, and click "Show Formulas"
7. Ctrl-F and chose replace, enter in "[SAMM_spreadsheet]" and Replace All
8. Uncheck "Show Formulas", this should ensure that the auto linking is relative to your SAMM workbook.
9. Verify the scoring is represented in the table below.
10. Complete the demographic drop down selections.
11. Delete the company name if you desire before submission (it's not saved in the database either way)
12. Upload your file to https://bit.ly/sammbenchmarksubmission 
13. An automated process will move the file into a secure Azure Blob for processing and remove the file.
14. Confirm the file is no longer visible in the folder you uploaded to after approximately 5 minutes.
15. If you have any issues or questions please email brian.glas@owasp.org</t>
  </si>
  <si>
    <t>Benchmark Lookups</t>
  </si>
  <si>
    <t>Type of Assessment</t>
  </si>
  <si>
    <t>Scope</t>
  </si>
  <si>
    <t>Region</t>
  </si>
  <si>
    <t>Industry</t>
  </si>
  <si>
    <t>Developers</t>
  </si>
  <si>
    <t>App Security</t>
  </si>
  <si>
    <t>Champions</t>
  </si>
  <si>
    <t>SDL</t>
  </si>
  <si>
    <t>Please complete this section</t>
  </si>
  <si>
    <t>Do not insert or delete lines</t>
  </si>
  <si>
    <t>Description</t>
  </si>
  <si>
    <t>Self-Assessment</t>
  </si>
  <si>
    <t>Company</t>
  </si>
  <si>
    <t>Africa</t>
  </si>
  <si>
    <t>Multiple</t>
  </si>
  <si>
    <t>1-100</t>
  </si>
  <si>
    <t>1-5</t>
  </si>
  <si>
    <t>0</t>
  </si>
  <si>
    <t>Waterfall</t>
  </si>
  <si>
    <t>Third-Party Assessment</t>
  </si>
  <si>
    <t>Organization</t>
  </si>
  <si>
    <t>Asia-Pacific</t>
  </si>
  <si>
    <t>Government</t>
  </si>
  <si>
    <t>101-1000</t>
  </si>
  <si>
    <t>6-10</t>
  </si>
  <si>
    <t>1-20</t>
  </si>
  <si>
    <t>AgileFall</t>
  </si>
  <si>
    <t>Version of SAMM</t>
  </si>
  <si>
    <t>Automatic from the Attribution Page</t>
  </si>
  <si>
    <t>Team</t>
  </si>
  <si>
    <t>Europe</t>
  </si>
  <si>
    <t>Critical Infrastructure</t>
  </si>
  <si>
    <t>1001-10000</t>
  </si>
  <si>
    <t>11-20</t>
  </si>
  <si>
    <t>21-50</t>
  </si>
  <si>
    <t>Agile</t>
  </si>
  <si>
    <t>Date of Assessment</t>
  </si>
  <si>
    <t>Automatic from the Interview Page</t>
  </si>
  <si>
    <t>Latin America</t>
  </si>
  <si>
    <t>Defense</t>
  </si>
  <si>
    <t>10000+</t>
  </si>
  <si>
    <t>20+</t>
  </si>
  <si>
    <t>51-100</t>
  </si>
  <si>
    <t>Other</t>
  </si>
  <si>
    <t>Choose the type of assessment</t>
  </si>
  <si>
    <t>North America</t>
  </si>
  <si>
    <t>Aerospace</t>
  </si>
  <si>
    <t>100+</t>
  </si>
  <si>
    <t>Scope of Assessment</t>
  </si>
  <si>
    <t>Scope can be full org, a department/business unit/etc, or an individual team</t>
  </si>
  <si>
    <t>Global</t>
  </si>
  <si>
    <t>Automotive</t>
  </si>
  <si>
    <t>Geographic Region</t>
  </si>
  <si>
    <t>Select the best region</t>
  </si>
  <si>
    <t>Manufacturing</t>
  </si>
  <si>
    <t>Primary Industry</t>
  </si>
  <si>
    <t>Select the best fit for primary industry</t>
  </si>
  <si>
    <t>Healthcare</t>
  </si>
  <si>
    <t>Company Level of Developers</t>
  </si>
  <si>
    <t>How many developers within the company (estimated)</t>
  </si>
  <si>
    <t>Finance</t>
  </si>
  <si>
    <t>Company Level of App Security</t>
  </si>
  <si>
    <t>How many application security personnel in the company (estimated)</t>
  </si>
  <si>
    <t>Fintech</t>
  </si>
  <si>
    <t>Company Security Champions</t>
  </si>
  <si>
    <t>How many security champions in the company (estimated)</t>
  </si>
  <si>
    <t>IoT</t>
  </si>
  <si>
    <t>Target Level of Developers</t>
  </si>
  <si>
    <t>How many developers within the scope of the assessment (estimated)</t>
  </si>
  <si>
    <t>Cloud</t>
  </si>
  <si>
    <t>Primary SDL Methodology</t>
  </si>
  <si>
    <t>Primary software development methodology</t>
  </si>
  <si>
    <t>ISV</t>
  </si>
  <si>
    <t>Composite Score</t>
  </si>
  <si>
    <t>Automatic from the Scorecard Sheet</t>
  </si>
  <si>
    <t>Retail</t>
  </si>
  <si>
    <t>Governance Score</t>
  </si>
  <si>
    <t>Design Score</t>
  </si>
  <si>
    <t>Implementation Score</t>
  </si>
  <si>
    <t>Verification Score</t>
  </si>
  <si>
    <t>Operations Score</t>
  </si>
  <si>
    <t>Automatic from the Interview Sheet</t>
  </si>
  <si>
    <t>Notes:
Data in this worksheet is automatically imported from the Interview and Roadmap worksheets and will automatically update when changed in the respective worksheets.  This is mostly a read-only worksheet, changes should be made in Interview or Roadmap worksheets.</t>
  </si>
  <si>
    <t>Current Maturity Score</t>
  </si>
  <si>
    <t>Maturity</t>
  </si>
  <si>
    <t>Business Functions</t>
  </si>
  <si>
    <t>Security Practices</t>
  </si>
  <si>
    <t>Score</t>
  </si>
  <si>
    <t>Translated Value</t>
  </si>
  <si>
    <t>Overall</t>
  </si>
  <si>
    <t>Phase 1 Maturity Score</t>
  </si>
  <si>
    <t>Phase 2 Maturity Score</t>
  </si>
  <si>
    <t>Phase 3 Maturity Score</t>
  </si>
  <si>
    <t>Phase 4 Maturity Score</t>
  </si>
  <si>
    <t>Current</t>
  </si>
  <si>
    <t>Phase 1</t>
  </si>
  <si>
    <t>Phase 2</t>
  </si>
  <si>
    <t>Phase 3</t>
  </si>
  <si>
    <t>Phase 4</t>
  </si>
  <si>
    <t>Gap vs Current</t>
  </si>
  <si>
    <t>Software Assurance Maturity Model (SAMM) Roadmap</t>
  </si>
  <si>
    <t>Date</t>
  </si>
  <si>
    <t>Team Lead:</t>
  </si>
  <si>
    <t>Source Data</t>
  </si>
  <si>
    <t>As-Is</t>
  </si>
  <si>
    <t>To-Be</t>
  </si>
  <si>
    <t>Security Practice</t>
  </si>
  <si>
    <t>Security Practices/Phase</t>
  </si>
  <si>
    <t>Start</t>
  </si>
  <si>
    <t>After 1</t>
  </si>
  <si>
    <t>After 2</t>
  </si>
  <si>
    <t>May</t>
  </si>
  <si>
    <t>After 4</t>
  </si>
  <si>
    <t>Current GAP</t>
  </si>
  <si>
    <t>SAMM velocity:</t>
  </si>
  <si>
    <t>Valid Maturity Levels</t>
  </si>
  <si>
    <t>Notes:
Data in this worksheet is used to feed the Interview worksheet and Roadmap worksheet and provides answers and values.  
Please do not edit without understanding the potential impact to the SAMM model as it will alter the scoring model.
There are currently seven categories of answers, the colors/numbers in column I indicate which questions in which Business Function are using that specific answer category.</t>
  </si>
  <si>
    <t>Rating Scale</t>
  </si>
  <si>
    <t>Yes</t>
  </si>
  <si>
    <t>A</t>
  </si>
  <si>
    <t>No</t>
  </si>
  <si>
    <t>2+</t>
  </si>
  <si>
    <t>Yes, it's less than a year old</t>
  </si>
  <si>
    <t>Yes, it's a number of years old</t>
  </si>
  <si>
    <t>1+</t>
  </si>
  <si>
    <t>Yes, it's a pretty mature program</t>
  </si>
  <si>
    <t>0+</t>
  </si>
  <si>
    <t>B</t>
  </si>
  <si>
    <t>2,3,6,9</t>
  </si>
  <si>
    <t>Yes, some of them are aware</t>
  </si>
  <si>
    <t>4,15</t>
  </si>
  <si>
    <t>Yes, approx. half of them are aware</t>
  </si>
  <si>
    <t>1,3,5,12</t>
  </si>
  <si>
    <t>Yes, most of them are aware</t>
  </si>
  <si>
    <t>C</t>
  </si>
  <si>
    <t>4,5,7,12,13,14,16,17,18</t>
  </si>
  <si>
    <t>1,2,3,6,7,8,10,11,12,15,19</t>
  </si>
  <si>
    <t>Yes, a small percentage are/do</t>
  </si>
  <si>
    <t>1,2,3,5,8,10,13,14,17,18</t>
  </si>
  <si>
    <t>Yes, at least half of them are/do</t>
  </si>
  <si>
    <t>6,7,9,11,14,15,16,17</t>
  </si>
  <si>
    <t>Yes, the majority of them are/do</t>
  </si>
  <si>
    <t>D</t>
  </si>
  <si>
    <t>8,15,20</t>
  </si>
  <si>
    <t>Yes, we did it once</t>
  </si>
  <si>
    <t>Yes, we do it every few years</t>
  </si>
  <si>
    <t>Yes, we do it at least annually</t>
  </si>
  <si>
    <t>E</t>
  </si>
  <si>
    <t>No, it is not applicable</t>
  </si>
  <si>
    <t>Yes, but on an adhoc basis</t>
  </si>
  <si>
    <t>F</t>
  </si>
  <si>
    <t>11,19</t>
  </si>
  <si>
    <t>9,14,17</t>
  </si>
  <si>
    <t>Yes, teams write/run their own</t>
  </si>
  <si>
    <t>Yes, there is a standard set</t>
  </si>
  <si>
    <t>Yes, the standard set is integrated</t>
  </si>
  <si>
    <t>G</t>
  </si>
  <si>
    <t>16,18</t>
  </si>
  <si>
    <t>Yes, localized to business areas</t>
  </si>
  <si>
    <t>6,7,9,11,12,16,19</t>
  </si>
  <si>
    <t>Yes, across the organization</t>
  </si>
  <si>
    <t>4,8,10,13</t>
  </si>
  <si>
    <t>Yes, across the organization and required</t>
  </si>
  <si>
    <t>H</t>
  </si>
  <si>
    <t>ID</t>
  </si>
  <si>
    <t>Business Function</t>
  </si>
  <si>
    <t>Activity</t>
  </si>
  <si>
    <t>Question</t>
  </si>
  <si>
    <t>Guidance</t>
  </si>
  <si>
    <t>Answer Option</t>
  </si>
  <si>
    <t>Architecture Design</t>
  </si>
  <si>
    <t>Do teams use security principles during design?</t>
  </si>
  <si>
    <t>You have an agreed upon checklist of security principles
 You store your checklist in an accessible location
 Relevant stakeholders understand security principles</t>
  </si>
  <si>
    <t>Technology Management</t>
  </si>
  <si>
    <t>Do you evaluate the security quality of important technologies used for development?</t>
  </si>
  <si>
    <t>You have a list of the most important technologies used in, or in support of, each application
 You identify and track technological risks
 You ensure the risks to these technologies are in line with the organizational baseline</t>
  </si>
  <si>
    <t>Do you use shared security services during design?</t>
  </si>
  <si>
    <t>You have a documented list of reusable security services, available to relevant stakeholders
 You have reviewed the baseline security posture for each selected service
 Your designers are trained to integrate each selected service following available guidance</t>
  </si>
  <si>
    <t>Do you have a list of recommended technologies for the organization?</t>
  </si>
  <si>
    <t>The list is based on technologies used in the software portfolio
 Lead architects and developers review and approve the list
 You share the list across the organization
 You review and update the list at least yearly</t>
  </si>
  <si>
    <t>Do you base your design on available reference architectures?</t>
  </si>
  <si>
    <t>You have one or more approved reference architectures documented and available to stakeholders
 You improve the reference architectures continuously based on insights and best practices
 You provide a set of components, libraries, and tools to implement each reference architecture</t>
  </si>
  <si>
    <t>Do you enforce the use of recommended technologies within the organization?</t>
  </si>
  <si>
    <t>You monitor applications regularly for the correct use of the recommended technologies
 You solve violations against the list accoranding to organizational policies
 You take action if the number of violations falls outside the yearly objectives</t>
  </si>
  <si>
    <t>Software Requirements</t>
  </si>
  <si>
    <t>Do project teams specify security requirements during development?</t>
  </si>
  <si>
    <t>Teams derive security requirements from functional requirements and customer or organization concerns
 Security requirements are specific, measurable, and reasonable
 Security requirements are in line with the organizational baseline</t>
  </si>
  <si>
    <t>Supplier Security</t>
  </si>
  <si>
    <t>Do stakeholders review vendor collaborations for security requirements and methodology?</t>
  </si>
  <si>
    <t>You consider including specific security requirements, activities, and processes when creating third-party agreements
 A vendor questionnaire is available and used to assess the strengths and weaknesses of your suppliers</t>
  </si>
  <si>
    <t>Do you define, structure, and include prioritization in the artifacts of the security requirements gathering process?</t>
  </si>
  <si>
    <t>Security requirements take into consideration domain specific knowledge when applying policies and guidance to product development
 Domain experts are involved in the requirements definition process
 You have an agreed upon structured notation for security requirements
 Development teams have a security champion dedicated to reviewing security requirements and outcomes</t>
  </si>
  <si>
    <t>Do vendors meet the security responsibilities and quality measures of service level agreements defined by the organization?</t>
  </si>
  <si>
    <t>You discuss security requirements with the vendor when creating vendor agreements
 Vendor agreements provide specific guidance on security defect remediation within an agreed upon timeframe
 The organization has a templated agreement of responsibilities and service levels for key vendor security processes
 You measure key performance indicators</t>
  </si>
  <si>
    <t>Do you use a standard requirements framework to streamline the elicitation of security requirements?</t>
  </si>
  <si>
    <t>A security requirements framework is available for project teams
 The framework is categorized by common requirements and standards-based requirements
 The framework gives clear guidance on the quality of requirements and how to describe them
 The framework is adaptable to specific business requirements</t>
  </si>
  <si>
    <t>Are vendors aligned with standard security controls and software development tools and processes that the organization utilizes?</t>
  </si>
  <si>
    <t>The vendor has a secure SDLC that includes secure build, secure deployment, defect management, and incident management, meets the security expectations of your organization, and is able to demonstrate operating effectiveness of practices.
 You verify the solution meets quality and security objectives before every major release
 When standard verification processes are not available, you use compensating controls such as software composition analysis and independent penetration testing</t>
  </si>
  <si>
    <t>Application Risk Profile</t>
  </si>
  <si>
    <t>Do you classify applications according to business risk based on a simple and predefined set of questions?</t>
  </si>
  <si>
    <t>An agreed-upon risk classification exists
 The application team understands the risk classification
 The risk classification covers critical aspects of business risks the organization is facing
 The organization has an inventory for the applications in scope</t>
  </si>
  <si>
    <t>Threat Modeling</t>
  </si>
  <si>
    <t>Do you identify and manage architectural design flaws with threat modeling?</t>
  </si>
  <si>
    <t>You perform threat modeling for high-risk applications
 You use simple threat checklists, such as STRIDE
 You persist the outcome of a threat model for later use</t>
  </si>
  <si>
    <t>Do you use centralized and quantified application risk profiles to evaluate business risk?</t>
  </si>
  <si>
    <t>The application risk profile is in line with the organizational risk standard
 The application risk profile covers impact to security and privacy
 You validate the quality of the risk profile manually and/or automatically
 The application risk profiles are stored in a central inventory</t>
  </si>
  <si>
    <t>Do you use a standard methodology, aligned with your application risk levels?</t>
  </si>
  <si>
    <t>You train your architects, security champions, and other stakeholders on how to do practical threat modeling
 Your threat modeling methodology includes at least diagramming, threat identification, design flaw mitigations, and how to validate your threat model artifacts
 Changes in the application or business context trigger a review of the relevant threat models
 You capture the threat modeling artifacts with tools used by your application teams</t>
  </si>
  <si>
    <t>Do you regularly review and update the risk profiles for your applications?</t>
  </si>
  <si>
    <t>The organizational risk standard considers historical feedback to improve the evaluation method
 Significant changes in the application or business context trigger a review of the relevant risk profiles</t>
  </si>
  <si>
    <t>Do you regularly review and update the threat modeling methodology for your applications?</t>
  </si>
  <si>
    <t>The threat model methodology considers historical feedback for improvement
 You regularly (e.g., yearly) review the existing threat models to verify that no new threats are relevant for your applications
 You automate parts of your threat modeling process with threat modeling tools</t>
  </si>
  <si>
    <t>Education and Guidance</t>
  </si>
  <si>
    <t>Training and Awareness</t>
  </si>
  <si>
    <t>Do you require employees involved with application development to take SDLC training?</t>
  </si>
  <si>
    <t>Training is repeatable, consistent, and available to anyone involved with software development lifecycle
 Training includes relevant content from the latest OWASP Top 10 and includes concepts such as Least Privilege, Defense-in-Depth, Fail Secure (Safe), Complete Mediation, Session Management, Open Design, and Psychological Acceptability
 Training requires a sign-off or an acknowledgement from attendees
 You have reviewed the training content within the last 12 months, and have completed any required updates
 All new covered staff are required to complete training during their onboarding process
 Existing covered staff are required to complete training when content is added/revised, or complete refresher training at least every 24 months, whichever comes first</t>
  </si>
  <si>
    <t>Organization and Culture</t>
  </si>
  <si>
    <t>Have you identified a Security Champion for each development team?</t>
  </si>
  <si>
    <t>Security Champions receive appropriate training
 Application Security and Development teams receive periodic briefings from Security Champions on the overall status of security initiatives and fixes
 The Security Champion reviews the results of external testing before adding to the application backlog</t>
  </si>
  <si>
    <t>Is training customized for individual roles such as developers, testers, or security champions?</t>
  </si>
  <si>
    <t>Training includes all topics from maturity level 1, and adds more specific tools, techniques, and demonstrations
 Training is mandatory for all employees and contractors
 Training includes input from in-house SMEs and trainees
 Training includes demonstrations of tools and techniques developed in-house
 You use feedback to enhance and make future training more relevant</t>
  </si>
  <si>
    <t>Does the organization have a Secure Software Center of Excellence (SSCE)?</t>
  </si>
  <si>
    <t>The SSCE has a charter defining its role in the organization
 Development teams review all significant architectural changes with the SSCE
 The SSCE publishes SDLC standards and guidelines related to Application Security
 Product Champions are responsible for promoting the use of specific security tools</t>
  </si>
  <si>
    <t>Have you implemented a Learning Management System or equivalent to track employee training and certification processes?</t>
  </si>
  <si>
    <t>A Learning Management System (LMS) is used to track trainings and certifications
 Training is based on internal standards, policies, and procedures
 You use certification programs or attendance records to determine access to development systems and resources</t>
  </si>
  <si>
    <t>Is there a centralized portal where developers and application security professionals from different teams and business units are able to communicate and share information?</t>
  </si>
  <si>
    <t>The organization promotes use of a single portal across different teams and business units
 The portal is used for timely information such as notification of security incidents, tool updates, architectural standard changes, and other related announcements
 The portal is widely recognized by developers and architects as a centralized repository of the organization-specific application security information
 All content is considered persistent and searchable
 The portal provides access to application-specific security metrics</t>
  </si>
  <si>
    <t>Policy and Compliance</t>
  </si>
  <si>
    <t>Policy and Standards</t>
  </si>
  <si>
    <t>Do you have and apply a common set of policies and standards throughout your organization?</t>
  </si>
  <si>
    <t>You have adapted existing standards appropriate for the organization’s industry to account for domain-specific considerations
 Your standards are aligned with your policies and incorporate technology-specific implementation guidance</t>
  </si>
  <si>
    <t>Compliance Management</t>
  </si>
  <si>
    <t>Do you have a complete picture of your external compliance obligations?</t>
  </si>
  <si>
    <t>You have identified all sources of external compliance obligations
 You have captured and reconciled compliance obligations from all sources</t>
  </si>
  <si>
    <t>Do you publish the organization's policies as test scripts or run-books for easy interpretation by development teams?</t>
  </si>
  <si>
    <t>You create verification checklists and test scripts where applicable, aligned with the policy's requirements and the implementation guidance in the associated standards
 You create versions adapted to each development methodology and technology the organization uses</t>
  </si>
  <si>
    <t>Do you have a standard set of security requirements and verification procedures addressing the organization's external compliance obligations?</t>
  </si>
  <si>
    <t>You map each external compliance obligation to a well-defined set of application requirements
 You define verification procedures, including automated tests, to verify compliance with compliance-related requirements</t>
  </si>
  <si>
    <t>Do you regularly report on policy and standard compliance, and use that information to guide compliance improvement efforts?</t>
  </si>
  <si>
    <t>You have procedures (automated, if possible) to regularly generate compliance reports
 You deliver compliance reports to all relevant stakeholders
 Stakeholders use the reported compliance status information to identify areas for improvement</t>
  </si>
  <si>
    <t>Do you regularly report on adherence to external compliance obligations and use that information to guide efforts to close compliance gaps?</t>
  </si>
  <si>
    <t>You have established, well-defined compliance metrics
 You measure and report on applications' compliance metrics regularly
 Stakeholders use the reported compliance status information to identify compliance gaps and prioritize gap remediation efforts</t>
  </si>
  <si>
    <t>Strategy and Metrics</t>
  </si>
  <si>
    <t>Create and Promote</t>
  </si>
  <si>
    <t>Do you understand the enterprise-wide risk appetite for your applications?</t>
  </si>
  <si>
    <t>You capture the risk appetite of your organization's executive leadership
 The organization's leadership vet and approve the set of risks
 You identify the main business and technical threats to your assets and data
 You document risks and store them in an accessible location</t>
  </si>
  <si>
    <t>Measure and Improve</t>
  </si>
  <si>
    <t>Do you use a set of metrics to measure the effectiveness and efficiency of the application security program across applications?</t>
  </si>
  <si>
    <t>You document each metric, including a description of the sources, measurement coverage, and guidance on how to use it to explain application security trends
 Metrics include measures of efforts, results, and the environment measurement categories
 Most of the metrics are frequently measured, easy or inexpensive to gather, and expressed as a cardinal number or a percentage
 Application security and development teams publish metrics</t>
  </si>
  <si>
    <t>Do you have a strategic plan for application security and use it to make decisions?</t>
  </si>
  <si>
    <t>The plan reflects the organization's business priorities and risk appetite
 The plan includes measurable milestones and a budget
 The plan is consistent with the organization's business drivers and risks
 The plan lays out a roadmap for strategic and tactical initiatives
 You have buy-in from stakeholders, including development teams</t>
  </si>
  <si>
    <t>Did you define Key Performance Indicators (KPI) from available application security metrics?</t>
  </si>
  <si>
    <t>You defined KPIs after gathering enough information to establish realistic objectives
 You developed KPIs with the buy-in from the leadership and teams responsible for application security
 KPIs are available to the application teams and include acceptability thresholds and guidance in case teams need to take action
 Success of the application security program is clearly visible based on defined KPIs</t>
  </si>
  <si>
    <t>Do you regularly review and update the Strategic Plan for Application Security?</t>
  </si>
  <si>
    <t>You review and update the plan in response to significant changes in the business environment, the organization, or its risk appetite
 Plan update steps include reviewing the plan with all the stakeholders and updating the business drivers and strategies
 You adjust the plan and roadmap based on lessons learned from completed roadmap activities
 You publish progress information on roadmap activities, making sure they are available to all stakeholders</t>
  </si>
  <si>
    <t>Do you update the Application Security strategy and roadmap based on application security metrics and KPIs?</t>
  </si>
  <si>
    <t>You review KPIs at least yearly for their efficiency and effectiveness
 KPIs and application security metrics trigger most of the changes to the application security strategy</t>
  </si>
  <si>
    <t>Defect Tracking</t>
  </si>
  <si>
    <t>Do you track all known security defects in accessible locations?</t>
  </si>
  <si>
    <t>You can easily get an overview of all security defects impacting one application
 You have at least a rudimentary classification scheme in place
 The process includes a strategy for handling false positives and duplicate entries
 The defect management system covers defects from various sources and activities</t>
  </si>
  <si>
    <t>Metrics and Feedback</t>
  </si>
  <si>
    <t>Do you use basic metrics about recorded security defects to carry out quick win improvement activities?</t>
  </si>
  <si>
    <t>You analyzed your recorded metrics at least once in the last year
 At least basic information about this initiative is recorded and available
 You have identified and carried out at least one quick win activity based on the data</t>
  </si>
  <si>
    <t>Do you keep an overview of the state of security defects across the organization?</t>
  </si>
  <si>
    <t>A single severity scheme is applied to all defects across the organization
 The scheme includes SLAs for fixing particular severity classes
 You regularly report compliance to SLAs</t>
  </si>
  <si>
    <t>Do you improve your security assurance program upon standardized metrics?</t>
  </si>
  <si>
    <t>You document metrics for defect classification and categorization and keep them up to date
 Executive management regularly receives information about defects and has acted upon it in the last year
 You regularly share technical details about security defects among teams</t>
  </si>
  <si>
    <t>Do you enforce SLAs for fixing security defects?</t>
  </si>
  <si>
    <t>You automatically alert of SLA breaches and transfer respective defects to the risk management process
 You integrate relevant tooling (e.g. monitoring, build, deployment) with the defect management system</t>
  </si>
  <si>
    <t>Do you regularly evaluate the effectiveness of your security metrics so that its input helps drive your security strategy?</t>
  </si>
  <si>
    <t>You have analyzed the effectiveness of the security metrics at least once in the last year
 Where possible, you verify the correctness of the data automatically
 The metrics is aggregated with other sources like threat intelligence or incident management
 You derived at least one strategic activity from the metrics in the last year</t>
  </si>
  <si>
    <t>Build Process</t>
  </si>
  <si>
    <t>Is your full build process formally described?</t>
  </si>
  <si>
    <t>You have enough information to recreate the build processes
 Your build documentation up to date
 Your build documentation is stored in an accessible location
 Produced artifact checksums are created during build to support later verification
 You harden the tools that are used within the build process</t>
  </si>
  <si>
    <t>Software Dependencies</t>
  </si>
  <si>
    <t>Do you have solid knowledge about dependencies you're relying on?</t>
  </si>
  <si>
    <t>You have a current bill of materials (BOM) for every application
 You can quickly find out which applications are affected by a particular CVE
 You have analyzed, addressed, and documented findings from dependencies at least once in the last three months</t>
  </si>
  <si>
    <t>Is the build process fully automated?</t>
  </si>
  <si>
    <t>The build process itself doesn't require any human interaction
 Your build tools are hardened as per best practice and vendor guidance
 You encrypt the secrets required by the build tools and control access based on the principle of least privilege</t>
  </si>
  <si>
    <t>Do you handle 3rd party dependency risk by a formal process?</t>
  </si>
  <si>
    <t>You keep a list of approved dependencies that meet predefined criteria
 You automatically evaluate dependencies for new CVEs and alert responsible staff
 You automatically detect and alert to license changes with possible impact on legal application usage
 You track and alert to usage of unmaintained dependencies
 You reliably detect and remove unnecessary dependencies from the software</t>
  </si>
  <si>
    <t>Do you enforce automated security checks in your build processes?</t>
  </si>
  <si>
    <t>Builds fail if the application doesn't meet a predefined security baseline
 You have a maximum accepted severity for vulnerabilities
 You log warnings and failures in a centralized system
 You select and configure tools to evaluate each application against its security requirements at least once a year</t>
  </si>
  <si>
    <t>Do you prevent build of software if it's affected by vulnerabilities in dependencies?</t>
  </si>
  <si>
    <t>Your build system is connected to a system for tracking 3rd party dependency risk, causing build to fail unless the vulnerability is evaluated to be a false positive or the risk is explicitly accepted
 You scan your dependencies using a static analysis tool
 You report findings back to dependency authors using an established responsible disclosure process
 Using a new dependency not evaluated for security risks causes the build to fail</t>
  </si>
  <si>
    <t>Deployment Process</t>
  </si>
  <si>
    <t>Do you use repeatable deployment processes?</t>
  </si>
  <si>
    <t>You have enough information to run the deployment processes
 Your deployment documentation up to date
 Your deployment documentation is accessible to relevant stakeholders
 You ensure that only defined qualified personnel can trigger a deployment
 You harden the tools that are used within the deployment process</t>
  </si>
  <si>
    <t>Secret Management</t>
  </si>
  <si>
    <t>Do you limit access to application secrets according to the least privilege principle?</t>
  </si>
  <si>
    <t>You store production secrets protected in a secured location
 Developers do not have access to production secrets
 Production secrets are not available in non-production environments</t>
  </si>
  <si>
    <t>Are deployment processes automated and employing security checks?</t>
  </si>
  <si>
    <t>Deployment processes are automated on all stages
 Deployment includes automated security testing procedures
 You alert responsible staff to identified vulnerabilities
 You have logs available for your past deployments for a defined period of time</t>
  </si>
  <si>
    <t>Do you inject production secrets into configuration files during deployment?</t>
  </si>
  <si>
    <t>Source code files no longer contain active application secrets
 Under normal circumstances, no humans access secrets during deployment procedures
 You log and alert when abnormal secrets access is attempted</t>
  </si>
  <si>
    <t>Do you consistently validate the integrity of deployed artifacts?</t>
  </si>
  <si>
    <t>You prevent or roll back deployment if you detect an integrity breach
 The verification is done against signatures created during the build time
 If checking of signatures is not possible (e.g. externally build software), you introduce compensating measures</t>
  </si>
  <si>
    <t>Do you practice proper lifecycle management for application secrets?</t>
  </si>
  <si>
    <t>You generate and synchronize secrets using a vetted solution
 Secrets are different between different application instances
 Secrets are regularly updated</t>
  </si>
  <si>
    <t>Configuration Hardening</t>
  </si>
  <si>
    <t>Do you harden configurations for key components of your technology stacks?</t>
  </si>
  <si>
    <t>You have identified the key components in each technology stack used
 You have an established configuration standard for each key component</t>
  </si>
  <si>
    <t>Patching and Updating</t>
  </si>
  <si>
    <t>Do you identify and patch vulnerable components?</t>
  </si>
  <si>
    <t>You have an up-to-date list of components, including version information
 You regularly review public sources for vulnerabilities related to your components</t>
  </si>
  <si>
    <t>Do you have hardening baselines for your components?</t>
  </si>
  <si>
    <t>You have assigned an owner for each baseline
 The owner keeps their assigned baselines up to date
 You store baselines in an accessible location
 You train employees responsible for configurations in these baselines</t>
  </si>
  <si>
    <t>Do you follow an established process for updating components of your technology stacks?</t>
  </si>
  <si>
    <t>The process includes vendor information for third-party patches
 The process considers external sources to gather information about zero day attacks, and includes appropriate risk mitigation steps
 The process includes guidance for prioritizing component updates</t>
  </si>
  <si>
    <t>Do you monitor and enforce conformity with hardening baselines?</t>
  </si>
  <si>
    <t>You perform conformity checks regularly, preferably using automation
 You store conformity check results in an accessible location
 You follow an established process to address reported non-conformities
 You review each baseline at least annually, and update it when required</t>
  </si>
  <si>
    <t>Do you regularly evaluate components and review patch level status?</t>
  </si>
  <si>
    <t>You update the list with components and versions
 You identify and update missing updates according to existing SLA
 You review and update the process based on feedback from the people who perform patching</t>
  </si>
  <si>
    <t>Incident Detection</t>
  </si>
  <si>
    <t>Do you analyze log data for security incidents periodically?</t>
  </si>
  <si>
    <t>You have a contact point for the creation of security incidents
 You analyze data in accordance with the log data retention periods
 The frequency of this analysis is aligned with the criticality of your applications</t>
  </si>
  <si>
    <t>Incident Response</t>
  </si>
  <si>
    <t>Do you respond to detected incidents?</t>
  </si>
  <si>
    <t>You have a defined person or role for incident handling
 You document security incidents</t>
  </si>
  <si>
    <t>Do you follow a documented process for incident detection?</t>
  </si>
  <si>
    <t>The process has a dedicated owner
 You store process documentation in an accessible location
 The process considers an escalation path for further analysis
 You train employees responsible for incident detection in this process
 You have a checklist of potential attacks to simplify incident detection</t>
  </si>
  <si>
    <t>Do you use a repeatable process for incident handling?</t>
  </si>
  <si>
    <t>You have an agreed upon incident classification
 The process considers Root Cause Analysis for high severity incidents
 Employees responsible for incident response are trained in this process
 Forensic analysis tooling is available</t>
  </si>
  <si>
    <t>Do you review and update the incident detection process regularly?</t>
  </si>
  <si>
    <t>You perform reviews at least annually
 You update the checklist of potential attacks with external and internal data</t>
  </si>
  <si>
    <t>Do you have a dedicated incident response team available?</t>
  </si>
  <si>
    <t>The team performs Root Cause Analysis for all security incidents unless there is a specific reason not to do so
 You review and update the response process at least annually</t>
  </si>
  <si>
    <t>Data Protection</t>
  </si>
  <si>
    <t>Do you protect and handle information according to protection requirements for data stored and processed on each application?</t>
  </si>
  <si>
    <t>You know the data elements processed and stored by each application
 You know the type and sensitivity level of each identified data element
 You have controls to prevent propagation of unsanitized sensitive data from production to lower environments</t>
  </si>
  <si>
    <t>System Decommissioning / Legacy Management</t>
  </si>
  <si>
    <t>Do you identify and remove systems, applications, application dependencies, or services that are no longer used, have reached end of life, or are no longer actively developed or supported?</t>
  </si>
  <si>
    <t>You do not use unsupported applications or dependencies
 You manage customer/user migration from older versions for each product and customer/user group</t>
  </si>
  <si>
    <t>Do you maintain a data catalog, including types, sensitivity levels, and processing and storage locations?</t>
  </si>
  <si>
    <t>The data catalog is stored in an accessible location
 You know which data elements are subject to specific regulation
 You have controls for protecting and preserving data throughout its lifetime
 You have retention requirements for data, and you destroy backups in a timely manner after the relevant retention period ends</t>
  </si>
  <si>
    <t>Do you follow an established process for removing all associated resources, as part of decommissioning of unused systems, applications, application dependencies, or services?</t>
  </si>
  <si>
    <t>You document the status of support for all released versions of your products, in an accessible location
 The process includes replacement or upgrade of third-party applications, or application dependencies, that have reached end of life
 Operating environments do not contain orphaned accounts, firewall rules, or other configuration artifacts</t>
  </si>
  <si>
    <t>Do you regularly review and update the data catalog and your data protection policies and procedures?</t>
  </si>
  <si>
    <t>You have automated monitoring to detect attempted or actual violations of the Data Protection Policy
 You have tools for data loss prevention, access control and tracking, or anomalous behavior detection
 You periodically audit the operation of automated mechanisms, including backups and record deletions</t>
  </si>
  <si>
    <t>Do you regularly evaluate the lifecycle state and support status of every software asset and underlying infrastructure component, and estimate their end of life?</t>
  </si>
  <si>
    <t>Your end of life management process is agreed upon
 You inform customers and user groups of product timelines to prevent disruption of service or support
 You review the process at least annually</t>
  </si>
  <si>
    <t>Architecture Validation</t>
  </si>
  <si>
    <t>Do you review the application architecture for key security objectives on an ad-hoc basis?</t>
  </si>
  <si>
    <t>You have an agreed upon model of the overall software architecture
 You include components, interfaces, and integrations in the architecture model
 You verify the correct provision of general security mechanisms
 You log missing security controls as defects</t>
  </si>
  <si>
    <t>Architecture Mitigation</t>
  </si>
  <si>
    <t>Do you review the application architecture for mitigations of typical threats on an ad-hoc basis?</t>
  </si>
  <si>
    <t>You have an agreed upon model of the overall software architecture
 Security savvy staff conduct the review
 You consider different types of threats, including insider and data-related ones</t>
  </si>
  <si>
    <t>Do you regularly review the security mechanisms of your architecture?</t>
  </si>
  <si>
    <t>You review compliance with internal and external requirements
 You systematically review each interface in the system
 You use a formalized review method and structured validation
 You log missing security mechanisms as defects</t>
  </si>
  <si>
    <t>Do you regularly evaluate the threats to your architecture?</t>
  </si>
  <si>
    <t>You systematically review each threat identified in the Threat Assessment
 Trained or experienced people lead review exercise
 You identify mitigating design-level features for each identified threat
 You log unhandled threats as defects</t>
  </si>
  <si>
    <t>Do you regularly review the effectiveness of the security controls?</t>
  </si>
  <si>
    <t>You evaluate the preventive, detective, and response capabilities of security controls
 You evaluate the strategy alignment, appropriate support, and scalability of security controls
 You evaluate the effectiveness at least yearly
 You log identified shortcomings as defects</t>
  </si>
  <si>
    <t>Do you regularly update your reference architectures based on architecture assessment findings?</t>
  </si>
  <si>
    <t>You assess your architectures in a standardized, documented manner
 You use recurring findings to trigger a review of reference architectures
 You independently review the quality of the architecture assessments on an ad-hoc basis
 You use reference architecture updates to trigger reviews of relevant shared solutions, in a risk-based manner</t>
  </si>
  <si>
    <t>Requirements-driven Testing</t>
  </si>
  <si>
    <t>Control Verification</t>
  </si>
  <si>
    <t>Do you test applications for the correct functioning of standard security controls?</t>
  </si>
  <si>
    <t>Security testing at least verifies the implementation of authentication, access control, input validation, encoding and escaping data, and encryption controls
 Security testing executes whenever the application changes its use of the controls</t>
  </si>
  <si>
    <t>Misuse/Abuse Testing</t>
  </si>
  <si>
    <t>Do you test applications using randomization or fuzzing techniques?</t>
  </si>
  <si>
    <t>Testing covers most or all of the application's main input parameters
 You record and inspect all application crashes for security impact on a best-effort basis</t>
  </si>
  <si>
    <t>Do you consistently write and execute test scripts to verify the functionality of security requirements?</t>
  </si>
  <si>
    <t>You tailor tests to each application and assert expected security functionality
 You capture test results as a pass or fail condition
 Tests use a standardized framework or DSL</t>
  </si>
  <si>
    <t>Do you create abuse cases from functional requirements and use them to drive security tests?</t>
  </si>
  <si>
    <t>Important business functionality has corresponding abuse cases
 You build abuse stories around relevant personas with well-defined motivations and characteristics
 You capture identified weaknesses as security requirements</t>
  </si>
  <si>
    <t>Do you automatically test applications for security regressions?</t>
  </si>
  <si>
    <t>You consistently write tests for all identified bugs (possibly exceeding a pre-defined severity threshold)
 You collect security tests in a test suite that is part of the existing unit testing framework</t>
  </si>
  <si>
    <t>Do you perform denial of service and security stress testing?</t>
  </si>
  <si>
    <t>Stress tests target specific application resources (e.g. memory exhaustion by saving large amounts of data to a user session)
 You design tests around relevant personas with well-defined capabilities (knowledge, resources)
 You feed the results back to the Design practices</t>
  </si>
  <si>
    <t>Scalable Baseline</t>
  </si>
  <si>
    <t>Do you scan applications with automated security testing tools?</t>
  </si>
  <si>
    <t>You dynamically generate inputs for security tests using automated tools
 You choose the security testing tools to fit the organization's architecture and technology stack, and balance depth and accuracy of inspection with usability of findings to the organization</t>
  </si>
  <si>
    <t>Deep Understanding</t>
  </si>
  <si>
    <t>Do you manually review the security quality of selected high-risk components?</t>
  </si>
  <si>
    <t>Criteria exist to help the reviewer focus on high-risk components
 Qualified personnel conduct reviews following documented guidelines
 You address findings in accordance with the organization's defect management policy</t>
  </si>
  <si>
    <t>Do you customize the automated security tools to your applications and technology stacks?</t>
  </si>
  <si>
    <t>You tune and select tool features which match your application or technology stack
 You minimize false positives by silencing or automatically filter irrelevant warnings or low probability findings
 You minimize false negatives by leverage tool extensions or DSLs to customize tools for your application or organizational standards</t>
  </si>
  <si>
    <t>Do you perform penetration testing for your applications at regular intervals?</t>
  </si>
  <si>
    <t>Penetration testing uses application-specific security test cases to evaluate security
 Penetration testing looks for both technical and logical issues in the application
 Stakeholders review the test results and handle them in accordance with the organization's risk management
 Qualified personnel performs penetration testing</t>
  </si>
  <si>
    <t>Do you integrate automated security testing into the build and deploy process?</t>
  </si>
  <si>
    <t>Management and business stakeholders track and review test results throughout the development cycle
 You merge test results into a central dashboard and feed them into defect management</t>
  </si>
  <si>
    <t>Do you use the results of security testing to improve the development lifecycle?</t>
  </si>
  <si>
    <t>You use results from other security activities to improve integrated security testing during development
 You review test results and incorporate them into security awareness training and security testing playbooks
 Stakeholders review the test results and handle them in accordance with the organization's risk management</t>
  </si>
  <si>
    <t>ANS_SET_CODE</t>
  </si>
  <si>
    <t>A_W</t>
  </si>
  <si>
    <t>B_W</t>
  </si>
  <si>
    <t>C_W</t>
  </si>
  <si>
    <t>D_W</t>
  </si>
  <si>
    <t>Yes, for some applications</t>
  </si>
  <si>
    <t>Yes, for at least half of the applications</t>
  </si>
  <si>
    <t>Yes, for most or all of the applications</t>
  </si>
  <si>
    <t>Yes, some of them</t>
  </si>
  <si>
    <t>Yes, at least half of them</t>
  </si>
  <si>
    <t>Yes, most or all of them</t>
  </si>
  <si>
    <t>Yes, some content</t>
  </si>
  <si>
    <t>Yes, at least half of the content</t>
  </si>
  <si>
    <t>Yes, most or all of the content</t>
  </si>
  <si>
    <t>Yes, for some of the training</t>
  </si>
  <si>
    <t>Yes, for at least half of the training</t>
  </si>
  <si>
    <t>Yes, for most or all of the training</t>
  </si>
  <si>
    <t>Yes, some of the time</t>
  </si>
  <si>
    <t>Yes, at least half of the time</t>
  </si>
  <si>
    <t>Yes, most or all of the time</t>
  </si>
  <si>
    <t>Yes, we started implementing it</t>
  </si>
  <si>
    <t>Yes, for part of the organization</t>
  </si>
  <si>
    <t>Yes, for the entire organization</t>
  </si>
  <si>
    <t>Yes, for some components</t>
  </si>
  <si>
    <t>Yes, for at least half of the components</t>
  </si>
  <si>
    <t>Yes, for most or all of the components</t>
  </si>
  <si>
    <t>Yes, for some incidents</t>
  </si>
  <si>
    <t>Yes, for at least half of the incidents</t>
  </si>
  <si>
    <t>Yes, for most or all of the incidents</t>
  </si>
  <si>
    <t>Yes, for some incident types</t>
  </si>
  <si>
    <t>Yes, for at least half of the incident types</t>
  </si>
  <si>
    <t>Yes, for most or all of the incident types</t>
  </si>
  <si>
    <t>Yes, for some of our data</t>
  </si>
  <si>
    <t>Yes, for at least half of our data</t>
  </si>
  <si>
    <t>Yes, for most or all of our data</t>
  </si>
  <si>
    <t>Yes, we do it when requested</t>
  </si>
  <si>
    <t>Yes, for some of the assets</t>
  </si>
  <si>
    <t>Yes, for at least half of the assets</t>
  </si>
  <si>
    <t>Yes, for most or all of the assets</t>
  </si>
  <si>
    <t>Yes, for some of the technology domains</t>
  </si>
  <si>
    <t>Yes, for at least half of the technology domains</t>
  </si>
  <si>
    <t>Yes, for most or all of the technology domains</t>
  </si>
  <si>
    <t>Yes, it covers general risks</t>
  </si>
  <si>
    <t>Yes, it covers organization-specific risks</t>
  </si>
  <si>
    <t>Yes, it covers risks and opportunities</t>
  </si>
  <si>
    <t>Yes, we review it annually</t>
  </si>
  <si>
    <t>Yes, we consult the plan before making significant decisions</t>
  </si>
  <si>
    <t>Yes, we consult the plan often, and it is aligned with our application security strategy</t>
  </si>
  <si>
    <t>Yes, but review is ad-hoc</t>
  </si>
  <si>
    <t>Yes, we review it at regular times</t>
  </si>
  <si>
    <t>Yes, we review it at least annually</t>
  </si>
  <si>
    <t>Yes, for one metrics category</t>
  </si>
  <si>
    <t>Yes, for two metrics categories</t>
  </si>
  <si>
    <t>Yes, for all three metrics categories</t>
  </si>
  <si>
    <t>Yes, sporadically</t>
  </si>
  <si>
    <t>Yes, upon change of the application</t>
  </si>
  <si>
    <t>Yes, at least annually</t>
  </si>
  <si>
    <t>Yes, for some of the metrics</t>
  </si>
  <si>
    <t>Yes, for at least half of the metrics</t>
  </si>
  <si>
    <t>Yes, for most or all of the metrics</t>
  </si>
  <si>
    <t>Yes, but reporting is ad-hoc</t>
  </si>
  <si>
    <t>Yes, we report at regular times</t>
  </si>
  <si>
    <t>Yes, we report at least annually</t>
  </si>
  <si>
    <t>Yes, for some obligations</t>
  </si>
  <si>
    <t>Yes, for at least half of the obligations</t>
  </si>
  <si>
    <t>Yes, for most or all of the obligations</t>
  </si>
  <si>
    <t>Yes, for some teams</t>
  </si>
  <si>
    <t>Yes, for at least half of the teams</t>
  </si>
  <si>
    <t>Yes, for most or all of the teams</t>
  </si>
  <si>
    <t>Yes, some of it</t>
  </si>
  <si>
    <t>Yes, at least half of it</t>
  </si>
  <si>
    <t>Yes, most or all of it</t>
  </si>
  <si>
    <t>Yes, but we improve it ad-hoc</t>
  </si>
  <si>
    <t>Yes, we improve it at regular times</t>
  </si>
  <si>
    <t>Yes, we improve it at least annually</t>
  </si>
  <si>
    <t>Software Assurance Maturity Model (SAMM) Roadmap Chart Template Background Images</t>
  </si>
  <si>
    <t>'v2.1.1</t>
  </si>
  <si>
    <t>Action</t>
  </si>
  <si>
    <t>Understand OWASP SAMM</t>
  </si>
  <si>
    <t>Define the Scope</t>
  </si>
  <si>
    <t>Conduct the Interview</t>
  </si>
  <si>
    <t>Review the Scorecard</t>
  </si>
  <si>
    <t>Plan Your Roadmap</t>
  </si>
  <si>
    <t>Contribute to the Benchmark</t>
  </si>
  <si>
    <t>More details</t>
  </si>
  <si>
    <t>The Software Assurance Maturity Model (SAMM) provides an effective and measurable way to analyze and improve your software security posture. This spreadsheet is only an assessment tool and does not replace or summarize the model. In order to use this spreadsheet, you need to have familiarized yourself with the full the model. A free self-paced training is available to speed up your learning.</t>
  </si>
  <si>
    <t>https://www.youtube.com/watch?v=b8N8knQdbA4</t>
  </si>
  <si>
    <t>https://owaspsamm.org/model/</t>
  </si>
  <si>
    <t>https://owaspsamm.thinkific.com/courses/samm</t>
  </si>
  <si>
    <t>Before starting, define your goals and decide whether you are assessing a specific application, a development team, or the entire organization. Consistency in scope is key to accurate results over time.</t>
  </si>
  <si>
    <t>https://owaspsamm.org/blog/2023/05/24/determining-scope-when-implementing-samm/</t>
  </si>
  <si>
    <r>
      <rPr>
        <sz val="10"/>
        <color rgb="FF1F1F1F"/>
        <rFont val="Open Sans"/>
        <charset val="1"/>
      </rPr>
      <t xml:space="preserve">Go to the </t>
    </r>
    <r>
      <rPr>
        <b/>
        <sz val="10"/>
        <color rgb="FF1F1F1F"/>
        <rFont val="Open Sans"/>
        <charset val="1"/>
      </rPr>
      <t>Interview</t>
    </r>
    <r>
      <rPr>
        <sz val="10"/>
        <color rgb="FF1F1F1F"/>
        <rFont val="Open Sans"/>
        <charset val="1"/>
      </rPr>
      <t xml:space="preserve"> sheet. Gather the relevant stakeholders (e.g., Lead Developers, Security Champions, Product Owners), organize workshops or interviews to capture input, and answer the multiple-choice questions for each Security Practice. Select the best matching answer from the drop-down lists and use the "Interview Notes" column to document context or justifications.</t>
    </r>
  </si>
  <si>
    <t>https://owaspsamm.org/assessment-guide/</t>
  </si>
  <si>
    <t>https://owaspsamm.org/blog/2025/02/09/owasp-samm-skills-framework/</t>
  </si>
  <si>
    <r>
      <rPr>
        <sz val="10"/>
        <color rgb="FF1F1F1F"/>
        <rFont val="Open Sans"/>
        <charset val="1"/>
      </rPr>
      <t xml:space="preserve">Once the interview is complete, switch to the </t>
    </r>
    <r>
      <rPr>
        <b/>
        <sz val="10"/>
        <color rgb="FF1F1F1F"/>
        <rFont val="Open Sans"/>
        <charset val="1"/>
      </rPr>
      <t>Scorecard</t>
    </r>
    <r>
      <rPr>
        <sz val="10"/>
        <color rgb="FF1F1F1F"/>
        <rFont val="Open Sans"/>
        <charset val="1"/>
      </rPr>
      <t xml:space="preserve"> sheet. This is a read-only dashboard that automatically calculates your current maturity scores based on the answers provided in the Interview sheet.</t>
    </r>
  </si>
  <si>
    <r>
      <rPr>
        <sz val="10"/>
        <color rgb="FF1F1F1F"/>
        <rFont val="Open Sans"/>
        <charset val="1"/>
      </rPr>
      <t xml:space="preserve">Navigate to the </t>
    </r>
    <r>
      <rPr>
        <b/>
        <sz val="10"/>
        <color rgb="FF1F1F1F"/>
        <rFont val="Open Sans"/>
        <charset val="1"/>
      </rPr>
      <t>Roadmap</t>
    </r>
    <r>
      <rPr>
        <sz val="10"/>
        <color rgb="FF1F1F1F"/>
        <rFont val="Open Sans"/>
        <charset val="1"/>
      </rPr>
      <t xml:space="preserve"> sheet to plan your improvement phases. You can set target maturity levels across different phases (Phase 1, 2, 3, etc.) and visualize your desired security journey in the </t>
    </r>
    <r>
      <rPr>
        <b/>
        <sz val="10"/>
        <color rgb="FF1F1F1F"/>
        <rFont val="Open Sans"/>
        <charset val="1"/>
      </rPr>
      <t>Roadmap Chart</t>
    </r>
    <r>
      <rPr>
        <sz val="10"/>
        <color rgb="FF1F1F1F"/>
        <rFont val="Open Sans"/>
        <charset val="1"/>
      </rPr>
      <t xml:space="preserve"> sheet.</t>
    </r>
  </si>
  <si>
    <t>https://owaspsamm.org/blog/2025/01/21/samm-relative-scoring/</t>
  </si>
  <si>
    <r>
      <rPr>
        <sz val="10"/>
        <color rgb="FF1F1F1F"/>
        <rFont val="Open Sans"/>
        <charset val="1"/>
      </rPr>
      <t xml:space="preserve">Help the OWASP community by anonymously sharing your assessment! Go to the </t>
    </r>
    <r>
      <rPr>
        <b/>
        <sz val="10"/>
        <color rgb="FF1F1F1F"/>
        <rFont val="Open Sans"/>
        <charset val="1"/>
      </rPr>
      <t>Benchmark</t>
    </r>
    <r>
      <rPr>
        <sz val="10"/>
        <color rgb="FF1F1F1F"/>
        <rFont val="Open Sans"/>
        <charset val="1"/>
      </rPr>
      <t xml:space="preserve"> sheet, fill out the basic demographic data (your company name is not required), and follow the upload instructions to submit your file. This helps build industry-wide SAMM benchmarking statistics.</t>
    </r>
  </si>
  <si>
    <t>https://owaspsamm.org/benchmark/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</si>
</sst>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2" x14ac:knownFonts="1">
    <font>
      <sz val="10"/>
      <name val="Arial"/>
    </font>
    <font>
      <sz val="10"/>
      <name val="Arial"/>
      <family val="2"/>
    </font>
    <font>
      <b/>
      <sz val="10"/>
      <name val="Arial"/>
      <family val="2"/>
    </font>
    <font>
      <sz val="10"/>
      <name val="Arial"/>
      <family val="2"/>
    </font>
    <font>
      <sz val="20"/>
      <name val="Trebuchet MS"/>
      <family val="2"/>
    </font>
    <font>
      <u/>
      <sz val="10"/>
      <color indexed="12"/>
      <name val="Arial"/>
      <family val="2"/>
    </font>
    <font>
      <b/>
      <sz val="10"/>
      <name val="Trebuchet MS"/>
      <family val="2"/>
    </font>
    <font>
      <u/>
      <sz val="10"/>
      <color theme="11"/>
      <name val="Arial"/>
      <family val="2"/>
    </font>
    <font>
      <b/>
      <sz val="18"/>
      <name val="Arial"/>
      <family val="2"/>
    </font>
    <font>
      <sz val="10"/>
      <name val="Arial"/>
      <family val="2"/>
    </font>
    <font>
      <sz val="10"/>
      <name val="Open Sans"/>
      <family val="2"/>
    </font>
    <font>
      <b/>
      <sz val="10"/>
      <name val="Open Sans"/>
      <family val="2"/>
    </font>
    <font>
      <sz val="10"/>
      <color indexed="8"/>
      <name val="Open Sans"/>
      <family val="2"/>
    </font>
    <font>
      <b/>
      <sz val="10"/>
      <color indexed="9"/>
      <name val="Open Sans"/>
      <family val="2"/>
    </font>
    <font>
      <sz val="20"/>
      <color indexed="9"/>
      <name val="Open Sans"/>
      <family val="2"/>
    </font>
    <font>
      <sz val="10"/>
      <color indexed="9"/>
      <name val="Open Sans"/>
      <family val="2"/>
    </font>
    <font>
      <b/>
      <u/>
      <sz val="10"/>
      <color indexed="9"/>
      <name val="Open Sans"/>
      <family val="2"/>
    </font>
    <font>
      <sz val="20"/>
      <name val="Open Sans"/>
      <family val="2"/>
    </font>
    <font>
      <sz val="11"/>
      <name val="Open Sans"/>
      <family val="2"/>
    </font>
    <font>
      <b/>
      <sz val="10"/>
      <color rgb="FF435B70"/>
      <name val="Open Sans"/>
      <family val="2"/>
    </font>
    <font>
      <b/>
      <sz val="10"/>
      <color rgb="FFAD4B00"/>
      <name val="Open Sans"/>
      <family val="2"/>
    </font>
    <font>
      <b/>
      <sz val="10"/>
      <color rgb="FF3A5F26"/>
      <name val="Open Sans"/>
      <family val="2"/>
    </font>
    <font>
      <b/>
      <sz val="10"/>
      <color rgb="FF754858"/>
      <name val="Open Sans"/>
      <family val="2"/>
    </font>
    <font>
      <b/>
      <sz val="10"/>
      <color rgb="FF5B5B62"/>
      <name val="Open Sans"/>
      <family val="2"/>
    </font>
    <font>
      <u/>
      <sz val="10"/>
      <name val="Open Sans"/>
      <family val="2"/>
    </font>
    <font>
      <sz val="9"/>
      <name val="Open Sans"/>
      <family val="2"/>
    </font>
    <font>
      <b/>
      <sz val="9"/>
      <color indexed="8"/>
      <name val="Open Sans"/>
      <family val="2"/>
    </font>
    <font>
      <b/>
      <sz val="9"/>
      <name val="Open Sans"/>
      <family val="2"/>
    </font>
    <font>
      <sz val="9"/>
      <color indexed="8"/>
      <name val="Open Sans"/>
      <family val="2"/>
    </font>
    <font>
      <b/>
      <sz val="9"/>
      <color indexed="9"/>
      <name val="Open Sans"/>
      <family val="2"/>
    </font>
    <font>
      <b/>
      <sz val="9"/>
      <color theme="0"/>
      <name val="Open Sans"/>
      <family val="2"/>
    </font>
    <font>
      <i/>
      <sz val="9"/>
      <color indexed="8"/>
      <name val="Open Sans"/>
      <family val="2"/>
    </font>
    <font>
      <sz val="9"/>
      <color rgb="FF010000"/>
      <name val="Open Sans"/>
      <family val="2"/>
    </font>
    <font>
      <b/>
      <sz val="9"/>
      <color rgb="FF010000"/>
      <name val="Open Sans"/>
      <family val="2"/>
    </font>
    <font>
      <b/>
      <sz val="9"/>
      <color theme="3"/>
      <name val="Open Sans"/>
      <family val="2"/>
    </font>
    <font>
      <b/>
      <sz val="9"/>
      <color theme="6"/>
      <name val="Open Sans"/>
      <family val="2"/>
    </font>
    <font>
      <b/>
      <sz val="9"/>
      <color theme="7"/>
      <name val="Open Sans"/>
      <family val="2"/>
    </font>
    <font>
      <b/>
      <sz val="9"/>
      <color theme="8"/>
      <name val="Open Sans"/>
      <family val="2"/>
    </font>
    <font>
      <b/>
      <sz val="9"/>
      <color theme="9"/>
      <name val="Open Sans"/>
      <family val="2"/>
    </font>
    <font>
      <b/>
      <sz val="22"/>
      <color theme="0"/>
      <name val="Open Sans"/>
      <family val="2"/>
    </font>
    <font>
      <b/>
      <sz val="15"/>
      <color indexed="9"/>
      <name val="Open Sans"/>
      <family val="2"/>
    </font>
    <font>
      <b/>
      <sz val="24"/>
      <color theme="0"/>
      <name val="Open Sans"/>
      <family val="2"/>
    </font>
    <font>
      <b/>
      <sz val="15"/>
      <color theme="0"/>
      <name val="Open Sans"/>
      <family val="2"/>
    </font>
    <font>
      <b/>
      <sz val="10"/>
      <color rgb="FF1F1F1F"/>
      <name val="Open Sans"/>
      <charset val="1"/>
    </font>
    <font>
      <sz val="10"/>
      <color rgb="FF1F1F1F"/>
      <name val="Open Sans"/>
      <charset val="1"/>
    </font>
    <font>
      <u/>
      <sz val="10"/>
      <color theme="10"/>
      <name val="Arial"/>
      <family val="2"/>
      <charset val="1"/>
    </font>
    <font>
      <sz val="10"/>
      <name val="Arial"/>
      <charset val="1"/>
    </font>
    <font>
      <sz val="10"/>
      <name val="Arial"/>
      <family val="2"/>
      <charset val="1"/>
    </font>
    <font>
      <b/>
      <sz val="10"/>
      <color rgb="FF1F1F1F"/>
      <name val="Open Sans"/>
      <family val="2"/>
      <scheme val="minor"/>
    </font>
    <font>
      <u/>
      <sz val="10"/>
      <color theme="10"/>
      <name val="Open Sans"/>
      <family val="2"/>
      <scheme val="minor"/>
    </font>
    <font>
      <sz val="10"/>
      <color rgb="FF0000FF"/>
      <name val="Open Sans"/>
      <family val="2"/>
      <scheme val="minor"/>
    </font>
    <font>
      <sz val="10"/>
      <name val="Open Sans"/>
      <family val="2"/>
      <scheme val="minor"/>
    </font>
  </fonts>
  <fills count="45">
    <fill>
      <patternFill patternType="none"/>
    </fill>
    <fill>
      <patternFill patternType="gray125"/>
    </fill>
    <fill>
      <patternFill patternType="solid">
        <fgColor indexed="18"/>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indexed="22"/>
        <bgColor indexed="64"/>
      </patternFill>
    </fill>
    <fill>
      <patternFill patternType="solid">
        <fgColor indexed="63"/>
        <bgColor indexed="64"/>
      </patternFill>
    </fill>
    <fill>
      <patternFill patternType="solid">
        <fgColor rgb="FF94BCDD"/>
        <bgColor indexed="64"/>
      </patternFill>
    </fill>
    <fill>
      <patternFill patternType="solid">
        <fgColor rgb="FFB75727"/>
        <bgColor indexed="64"/>
      </patternFill>
    </fill>
    <fill>
      <patternFill patternType="solid">
        <fgColor rgb="FFD59E7B"/>
        <bgColor indexed="64"/>
      </patternFill>
    </fill>
    <fill>
      <patternFill patternType="solid">
        <fgColor rgb="FF8BAA88"/>
        <bgColor indexed="64"/>
      </patternFill>
    </fill>
    <fill>
      <patternFill patternType="solid">
        <fgColor rgb="FFB07667"/>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theme="0"/>
      </patternFill>
    </fill>
    <fill>
      <patternFill patternType="solid">
        <fgColor rgb="FFD5D514"/>
        <bgColor indexed="64"/>
      </patternFill>
    </fill>
    <fill>
      <patternFill patternType="solid">
        <fgColor rgb="FFD9D9D9"/>
        <bgColor rgb="FF000000"/>
      </patternFill>
    </fill>
    <fill>
      <patternFill patternType="solid">
        <fgColor theme="1" tint="0.499984740745262"/>
        <bgColor indexed="64"/>
      </patternFill>
    </fill>
    <fill>
      <patternFill patternType="solid">
        <fgColor theme="2" tint="-0.249977111117893"/>
        <bgColor indexed="64"/>
      </patternFill>
    </fill>
    <fill>
      <patternFill patternType="solid">
        <fgColor rgb="FF435B70"/>
        <bgColor indexed="64"/>
      </patternFill>
    </fill>
    <fill>
      <patternFill patternType="solid">
        <fgColor rgb="FF435B70"/>
        <bgColor rgb="FF000000"/>
      </patternFill>
    </fill>
    <fill>
      <patternFill patternType="solid">
        <fgColor theme="5"/>
        <bgColor indexed="64"/>
      </patternFill>
    </fill>
    <fill>
      <patternFill patternType="solid">
        <fgColor theme="4"/>
        <bgColor indexed="64"/>
      </patternFill>
    </fill>
    <fill>
      <patternFill patternType="solid">
        <fgColor rgb="FFEAF5F5"/>
        <bgColor indexed="64"/>
      </patternFill>
    </fill>
    <fill>
      <patternFill patternType="solid">
        <fgColor rgb="FFAD4B00"/>
        <bgColor indexed="64"/>
      </patternFill>
    </fill>
    <fill>
      <patternFill patternType="solid">
        <fgColor rgb="FFAD4B00"/>
        <bgColor rgb="FF000000"/>
      </patternFill>
    </fill>
    <fill>
      <patternFill patternType="solid">
        <fgColor rgb="FF3A5F26"/>
        <bgColor indexed="64"/>
      </patternFill>
    </fill>
    <fill>
      <patternFill patternType="solid">
        <fgColor rgb="FF754858"/>
        <bgColor indexed="64"/>
      </patternFill>
    </fill>
    <fill>
      <patternFill patternType="solid">
        <fgColor rgb="FF5B5B62"/>
        <bgColor indexed="64"/>
      </patternFill>
    </fill>
    <fill>
      <patternFill patternType="solid">
        <fgColor rgb="FF5B5B62"/>
        <bgColor rgb="FF000000"/>
      </patternFill>
    </fill>
    <fill>
      <patternFill patternType="solid">
        <fgColor rgb="FFCA5902"/>
        <bgColor indexed="64"/>
      </patternFill>
    </fill>
    <fill>
      <patternFill patternType="solid">
        <fgColor rgb="FF45712D"/>
        <bgColor indexed="64"/>
      </patternFill>
    </fill>
    <fill>
      <patternFill patternType="solid">
        <fgColor theme="6"/>
        <bgColor indexed="64"/>
      </patternFill>
    </fill>
    <fill>
      <patternFill patternType="solid">
        <fgColor theme="6"/>
        <bgColor rgb="FF000000"/>
      </patternFill>
    </fill>
    <fill>
      <patternFill patternType="solid">
        <fgColor theme="7"/>
        <bgColor indexed="64"/>
      </patternFill>
    </fill>
    <fill>
      <patternFill patternType="solid">
        <fgColor theme="7"/>
        <bgColor rgb="FF000000"/>
      </patternFill>
    </fill>
    <fill>
      <patternFill patternType="solid">
        <fgColor theme="8"/>
        <bgColor indexed="64"/>
      </patternFill>
    </fill>
    <fill>
      <patternFill patternType="solid">
        <fgColor theme="8"/>
        <bgColor rgb="FF000000"/>
      </patternFill>
    </fill>
    <fill>
      <patternFill patternType="solid">
        <fgColor theme="9"/>
        <bgColor indexed="64"/>
      </patternFill>
    </fill>
    <fill>
      <patternFill patternType="solid">
        <fgColor theme="9"/>
        <bgColor rgb="FF000000"/>
      </patternFill>
    </fill>
    <fill>
      <patternFill patternType="solid">
        <fgColor rgb="FFF9DBB8"/>
        <bgColor indexed="64"/>
      </patternFill>
    </fill>
    <fill>
      <patternFill patternType="solid">
        <fgColor rgb="FFD7EBCC"/>
        <bgColor indexed="64"/>
      </patternFill>
    </fill>
    <fill>
      <patternFill patternType="solid">
        <fgColor rgb="FFDCE3EA"/>
        <bgColor indexed="64"/>
      </patternFill>
    </fill>
    <fill>
      <patternFill patternType="solid">
        <fgColor rgb="FFEADCE1"/>
        <bgColor indexed="64"/>
      </patternFill>
    </fill>
    <fill>
      <patternFill patternType="solid">
        <fgColor rgb="FFE2E2E4"/>
        <bgColor indexed="64"/>
      </patternFill>
    </fill>
  </fills>
  <borders count="181">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style="thin">
        <color indexed="8"/>
      </right>
      <top style="thin">
        <color indexed="8"/>
      </top>
      <bottom/>
      <diagonal/>
    </border>
    <border>
      <left/>
      <right/>
      <top style="thin">
        <color indexed="8"/>
      </top>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indexed="8"/>
      </bottom>
      <diagonal/>
    </border>
    <border>
      <left/>
      <right/>
      <top style="medium">
        <color auto="1"/>
      </top>
      <bottom style="thin">
        <color indexed="8"/>
      </bottom>
      <diagonal/>
    </border>
    <border>
      <left/>
      <right style="medium">
        <color auto="1"/>
      </right>
      <top style="medium">
        <color auto="1"/>
      </top>
      <bottom style="thin">
        <color indexed="8"/>
      </bottom>
      <diagonal/>
    </border>
    <border>
      <left/>
      <right style="medium">
        <color auto="1"/>
      </right>
      <top style="thin">
        <color indexed="8"/>
      </top>
      <bottom/>
      <diagonal/>
    </border>
    <border>
      <left style="thin">
        <color auto="1"/>
      </left>
      <right/>
      <top style="thin">
        <color auto="1"/>
      </top>
      <bottom/>
      <diagonal/>
    </border>
    <border>
      <left/>
      <right style="thin">
        <color indexed="8"/>
      </right>
      <top style="thin">
        <color auto="1"/>
      </top>
      <bottom/>
      <diagonal/>
    </border>
    <border>
      <left style="thin">
        <color indexed="8"/>
      </left>
      <right style="thin">
        <color indexed="8"/>
      </right>
      <top style="thin">
        <color auto="1"/>
      </top>
      <bottom/>
      <diagonal/>
    </border>
    <border>
      <left style="thin">
        <color indexed="8"/>
      </left>
      <right style="thin">
        <color auto="1"/>
      </right>
      <top style="thin">
        <color auto="1"/>
      </top>
      <bottom/>
      <diagonal/>
    </border>
    <border>
      <left style="thin">
        <color indexed="8"/>
      </left>
      <right style="thin">
        <color indexed="8"/>
      </right>
      <top/>
      <bottom style="thin">
        <color auto="1"/>
      </bottom>
      <diagonal/>
    </border>
    <border>
      <left style="thin">
        <color indexed="8"/>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right/>
      <top style="medium">
        <color auto="1"/>
      </top>
      <bottom style="medium">
        <color auto="1"/>
      </bottom>
      <diagonal/>
    </border>
    <border>
      <left/>
      <right/>
      <top style="medium">
        <color auto="1"/>
      </top>
      <bottom/>
      <diagonal/>
    </border>
    <border>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style="medium">
        <color auto="1"/>
      </bottom>
      <diagonal/>
    </border>
    <border>
      <left/>
      <right style="medium">
        <color auto="1"/>
      </right>
      <top style="medium">
        <color auto="1"/>
      </top>
      <bottom style="medium">
        <color auto="1"/>
      </bottom>
      <diagonal/>
    </border>
    <border>
      <left style="thin">
        <color indexed="8"/>
      </left>
      <right style="thin">
        <color indexed="8"/>
      </right>
      <top style="thin">
        <color auto="1"/>
      </top>
      <bottom style="thin">
        <color indexed="64"/>
      </bottom>
      <diagonal/>
    </border>
    <border>
      <left/>
      <right style="thin">
        <color indexed="8"/>
      </right>
      <top style="thin">
        <color auto="1"/>
      </top>
      <bottom style="thin">
        <color indexed="64"/>
      </bottom>
      <diagonal/>
    </border>
    <border>
      <left style="thin">
        <color indexed="8"/>
      </left>
      <right style="thin">
        <color auto="1"/>
      </right>
      <top style="thin">
        <color auto="1"/>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bottom style="thin">
        <color indexed="64"/>
      </bottom>
      <diagonal/>
    </border>
    <border>
      <left style="thin">
        <color auto="1"/>
      </left>
      <right/>
      <top style="thin">
        <color auto="1"/>
      </top>
      <bottom style="thin">
        <color indexed="64"/>
      </bottom>
      <diagonal/>
    </border>
    <border>
      <left style="thin">
        <color indexed="8"/>
      </left>
      <right style="thin">
        <color indexed="8"/>
      </right>
      <top/>
      <bottom style="thin">
        <color indexed="64"/>
      </bottom>
      <diagonal/>
    </border>
    <border>
      <left style="thin">
        <color indexed="64"/>
      </left>
      <right style="thin">
        <color indexed="64"/>
      </right>
      <top style="thin">
        <color indexed="8"/>
      </top>
      <bottom style="thin">
        <color auto="1"/>
      </bottom>
      <diagonal/>
    </border>
    <border>
      <left style="thin">
        <color rgb="FF010000"/>
      </left>
      <right style="thin">
        <color rgb="FF010000"/>
      </right>
      <top style="thin">
        <color rgb="FF010000"/>
      </top>
      <bottom/>
      <diagonal/>
    </border>
    <border>
      <left style="thin">
        <color rgb="FF010000"/>
      </left>
      <right style="thin">
        <color rgb="FF010000"/>
      </right>
      <top/>
      <bottom/>
      <diagonal/>
    </border>
    <border>
      <left style="thin">
        <color rgb="FF010000"/>
      </left>
      <right style="thin">
        <color indexed="64"/>
      </right>
      <top style="thin">
        <color indexed="64"/>
      </top>
      <bottom style="thin">
        <color indexed="64"/>
      </bottom>
      <diagonal/>
    </border>
    <border>
      <left/>
      <right style="thin">
        <color rgb="FF010000"/>
      </right>
      <top/>
      <bottom style="thin">
        <color rgb="FF010000"/>
      </bottom>
      <diagonal/>
    </border>
    <border>
      <left/>
      <right style="thin">
        <color rgb="FF010000"/>
      </right>
      <top/>
      <bottom style="thin">
        <color rgb="FF000000"/>
      </bottom>
      <diagonal/>
    </border>
    <border>
      <left style="thin">
        <color indexed="8"/>
      </left>
      <right style="thin">
        <color indexed="64"/>
      </right>
      <top style="thin">
        <color indexed="8"/>
      </top>
      <bottom/>
      <diagonal/>
    </border>
    <border>
      <left style="thin">
        <color indexed="8"/>
      </left>
      <right style="thin">
        <color indexed="64"/>
      </right>
      <top/>
      <bottom/>
      <diagonal/>
    </border>
    <border>
      <left style="thin">
        <color indexed="8"/>
      </left>
      <right style="thin">
        <color indexed="64"/>
      </right>
      <top style="thin">
        <color auto="1"/>
      </top>
      <bottom/>
      <diagonal/>
    </border>
    <border>
      <left style="thin">
        <color indexed="8"/>
      </left>
      <right style="thin">
        <color indexed="64"/>
      </right>
      <top/>
      <bottom style="thin">
        <color indexed="64"/>
      </bottom>
      <diagonal/>
    </border>
    <border>
      <left style="thin">
        <color indexed="8"/>
      </left>
      <right style="thin">
        <color indexed="64"/>
      </right>
      <top/>
      <bottom style="thin">
        <color indexed="8"/>
      </bottom>
      <diagonal/>
    </border>
    <border>
      <left style="thin">
        <color rgb="FF010000"/>
      </left>
      <right/>
      <top/>
      <bottom/>
      <diagonal/>
    </border>
    <border>
      <left style="thin">
        <color rgb="FF010000"/>
      </left>
      <right/>
      <top style="thin">
        <color rgb="FF01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8"/>
      </right>
      <top style="thin">
        <color indexed="8"/>
      </top>
      <bottom style="thin">
        <color indexed="64"/>
      </bottom>
      <diagonal/>
    </border>
    <border>
      <left style="thin">
        <color indexed="64"/>
      </left>
      <right style="thin">
        <color indexed="64"/>
      </right>
      <top/>
      <bottom style="thin">
        <color indexed="8"/>
      </bottom>
      <diagonal/>
    </border>
    <border>
      <left/>
      <right style="thin">
        <color indexed="64"/>
      </right>
      <top style="thin">
        <color indexed="64"/>
      </top>
      <bottom style="thin">
        <color indexed="8"/>
      </bottom>
      <diagonal/>
    </border>
    <border>
      <left/>
      <right/>
      <top style="thin">
        <color indexed="64"/>
      </top>
      <bottom style="thin">
        <color indexed="8"/>
      </bottom>
      <diagonal/>
    </border>
    <border>
      <left style="thin">
        <color auto="1"/>
      </left>
      <right/>
      <top style="thin">
        <color indexed="64"/>
      </top>
      <bottom/>
      <diagonal/>
    </border>
    <border>
      <left/>
      <right/>
      <top style="thin">
        <color indexed="64"/>
      </top>
      <bottom/>
      <diagonal/>
    </border>
    <border>
      <left/>
      <right style="thin">
        <color rgb="FF010000"/>
      </right>
      <top style="thin">
        <color rgb="FF000000"/>
      </top>
      <bottom style="thin">
        <color rgb="FF000000"/>
      </bottom>
      <diagonal/>
    </border>
    <border>
      <left/>
      <right style="thin">
        <color rgb="FF010000"/>
      </right>
      <top style="thin">
        <color rgb="FF010000"/>
      </top>
      <bottom style="thin">
        <color rgb="FF000000"/>
      </bottom>
      <diagonal/>
    </border>
    <border>
      <left/>
      <right style="thin">
        <color rgb="FF010000"/>
      </right>
      <top style="thin">
        <color indexed="8"/>
      </top>
      <bottom style="thin">
        <color rgb="FF010000"/>
      </bottom>
      <diagonal/>
    </border>
    <border>
      <left style="medium">
        <color auto="1"/>
      </left>
      <right style="medium">
        <color auto="1"/>
      </right>
      <top style="medium">
        <color auto="1"/>
      </top>
      <bottom style="thin">
        <color indexed="8"/>
      </bottom>
      <diagonal/>
    </border>
    <border>
      <left style="medium">
        <color auto="1"/>
      </left>
      <right style="medium">
        <color auto="1"/>
      </right>
      <top style="thin">
        <color indexed="8"/>
      </top>
      <bottom/>
      <diagonal/>
    </border>
    <border>
      <left style="medium">
        <color auto="1"/>
      </left>
      <right style="medium">
        <color auto="1"/>
      </right>
      <top/>
      <bottom/>
      <diagonal/>
    </border>
    <border>
      <left/>
      <right style="thin">
        <color auto="1"/>
      </right>
      <top style="thin">
        <color auto="1"/>
      </top>
      <bottom style="medium">
        <color auto="1"/>
      </bottom>
      <diagonal/>
    </border>
    <border>
      <left style="medium">
        <color auto="1"/>
      </left>
      <right style="medium">
        <color auto="1"/>
      </right>
      <top/>
      <bottom style="medium">
        <color auto="1"/>
      </bottom>
      <diagonal/>
    </border>
    <border>
      <left/>
      <right style="thin">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8"/>
      </bottom>
      <diagonal/>
    </border>
    <border>
      <left style="thin">
        <color indexed="8"/>
      </left>
      <right style="thin">
        <color indexed="64"/>
      </right>
      <top style="thin">
        <color indexed="8"/>
      </top>
      <bottom style="thin">
        <color indexed="64"/>
      </bottom>
      <diagonal/>
    </border>
    <border>
      <left style="thin">
        <color indexed="8"/>
      </left>
      <right style="thin">
        <color indexed="64"/>
      </right>
      <top style="thin">
        <color indexed="8"/>
      </top>
      <bottom style="thin">
        <color indexed="8"/>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auto="1"/>
      </top>
      <bottom style="thin">
        <color indexed="64"/>
      </bottom>
      <diagonal/>
    </border>
    <border>
      <left style="thin">
        <color indexed="8"/>
      </left>
      <right/>
      <top style="thin">
        <color indexed="8"/>
      </top>
      <bottom style="thin">
        <color indexed="64"/>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auto="1"/>
      </right>
      <top/>
      <bottom/>
      <diagonal/>
    </border>
    <border>
      <left style="thin">
        <color indexed="64"/>
      </left>
      <right style="thin">
        <color rgb="FF010000"/>
      </right>
      <top style="thin">
        <color indexed="64"/>
      </top>
      <bottom style="thin">
        <color indexed="64"/>
      </bottom>
      <diagonal/>
    </border>
    <border>
      <left style="thin">
        <color indexed="8"/>
      </left>
      <right style="thin">
        <color indexed="8"/>
      </right>
      <top style="thin">
        <color indexed="64"/>
      </top>
      <bottom style="thin">
        <color indexed="64"/>
      </bottom>
      <diagonal/>
    </border>
    <border>
      <left style="thin">
        <color indexed="64"/>
      </left>
      <right style="thin">
        <color indexed="8"/>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8"/>
      </top>
      <bottom/>
      <diagonal/>
    </border>
    <border>
      <left style="thin">
        <color indexed="64"/>
      </left>
      <right/>
      <top style="thin">
        <color indexed="8"/>
      </top>
      <bottom style="thin">
        <color indexed="64"/>
      </bottom>
      <diagonal/>
    </border>
    <border>
      <left/>
      <right style="thin">
        <color indexed="8"/>
      </right>
      <top style="thin">
        <color indexed="64"/>
      </top>
      <bottom style="thin">
        <color indexed="64"/>
      </bottom>
      <diagonal/>
    </border>
    <border>
      <left/>
      <right style="thin">
        <color indexed="8"/>
      </right>
      <top style="thin">
        <color indexed="8"/>
      </top>
      <bottom/>
      <diagonal/>
    </border>
    <border>
      <left style="thin">
        <color indexed="8"/>
      </left>
      <right/>
      <top style="thin">
        <color indexed="8"/>
      </top>
      <bottom style="thin">
        <color indexed="64"/>
      </bottom>
      <diagonal/>
    </border>
    <border>
      <left style="thin">
        <color indexed="8"/>
      </left>
      <right/>
      <top style="thin">
        <color indexed="64"/>
      </top>
      <bottom style="thin">
        <color indexed="64"/>
      </bottom>
      <diagonal/>
    </border>
    <border>
      <left/>
      <right style="thin">
        <color indexed="64"/>
      </right>
      <top/>
      <bottom/>
      <diagonal/>
    </border>
    <border>
      <left/>
      <right style="thin">
        <color indexed="64"/>
      </right>
      <top/>
      <bottom style="thin">
        <color indexed="8"/>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diagonal/>
    </border>
    <border>
      <left/>
      <right/>
      <top style="thin">
        <color indexed="8"/>
      </top>
      <bottom style="thin">
        <color indexed="64"/>
      </bottom>
      <diagonal/>
    </border>
    <border>
      <left/>
      <right/>
      <top style="thin">
        <color rgb="FF010000"/>
      </top>
      <bottom/>
      <diagonal/>
    </border>
    <border>
      <left style="thin">
        <color rgb="FF010000"/>
      </left>
      <right style="thin">
        <color indexed="64"/>
      </right>
      <top style="thin">
        <color indexed="64"/>
      </top>
      <bottom style="thin">
        <color indexed="64"/>
      </bottom>
      <diagonal/>
    </border>
    <border>
      <left style="thin">
        <color indexed="64"/>
      </left>
      <right style="thin">
        <color indexed="8"/>
      </right>
      <top style="thin">
        <color indexed="64"/>
      </top>
      <bottom/>
      <diagonal/>
    </border>
    <border>
      <left style="thin">
        <color indexed="64"/>
      </left>
      <right style="thin">
        <color indexed="8"/>
      </right>
      <top style="thin">
        <color indexed="8"/>
      </top>
      <bottom/>
      <diagonal/>
    </border>
    <border>
      <left style="thin">
        <color indexed="64"/>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n">
        <color indexed="8"/>
      </left>
      <right style="thin">
        <color indexed="8"/>
      </right>
      <top style="thin">
        <color indexed="8"/>
      </top>
      <bottom/>
      <diagonal/>
    </border>
    <border>
      <left style="thin">
        <color indexed="8"/>
      </left>
      <right style="thin">
        <color indexed="64"/>
      </right>
      <top style="thin">
        <color indexed="64"/>
      </top>
      <bottom/>
      <diagonal/>
    </border>
    <border>
      <left style="thin">
        <color rgb="FF010000"/>
      </left>
      <right style="thin">
        <color indexed="64"/>
      </right>
      <top style="thin">
        <color indexed="64"/>
      </top>
      <bottom/>
      <diagonal/>
    </border>
    <border>
      <left style="thin">
        <color rgb="FF010000"/>
      </left>
      <right style="thin">
        <color indexed="64"/>
      </right>
      <top style="thin">
        <color rgb="FF010000"/>
      </top>
      <bottom/>
      <diagonal/>
    </border>
    <border>
      <left style="thin">
        <color indexed="64"/>
      </left>
      <right style="thin">
        <color indexed="8"/>
      </right>
      <top style="thin">
        <color indexed="8"/>
      </top>
      <bottom style="thin">
        <color indexed="64"/>
      </bottom>
      <diagonal/>
    </border>
    <border>
      <left style="thin">
        <color rgb="FF010000"/>
      </left>
      <right style="thin">
        <color indexed="64"/>
      </right>
      <top style="thin">
        <color rgb="FF010000"/>
      </top>
      <bottom style="thin">
        <color indexed="64"/>
      </bottom>
      <diagonal/>
    </border>
    <border>
      <left style="thin">
        <color indexed="64"/>
      </left>
      <right style="thin">
        <color indexed="8"/>
      </right>
      <top style="thin">
        <color indexed="64"/>
      </top>
      <bottom/>
      <diagonal/>
    </border>
    <border>
      <left style="thin">
        <color indexed="8"/>
      </left>
      <right style="thin">
        <color indexed="64"/>
      </right>
      <top style="thin">
        <color indexed="64"/>
      </top>
      <bottom/>
      <diagonal/>
    </border>
    <border>
      <left/>
      <right/>
      <top style="thin">
        <color indexed="8"/>
      </top>
      <bottom/>
      <diagonal/>
    </border>
    <border>
      <left style="thin">
        <color indexed="64"/>
      </left>
      <right style="thin">
        <color indexed="64"/>
      </right>
      <top style="thin">
        <color indexed="8"/>
      </top>
      <bottom/>
      <diagonal/>
    </border>
    <border>
      <left style="thin">
        <color indexed="64"/>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right style="thin">
        <color indexed="8"/>
      </right>
      <top style="thin">
        <color indexed="8"/>
      </top>
      <bottom/>
      <diagonal/>
    </border>
    <border>
      <left/>
      <right/>
      <top style="thin">
        <color auto="1"/>
      </top>
      <bottom style="thin">
        <color indexed="64"/>
      </bottom>
      <diagonal/>
    </border>
    <border>
      <left/>
      <right style="thin">
        <color indexed="8"/>
      </right>
      <top style="thin">
        <color indexed="64"/>
      </top>
      <bottom/>
      <diagonal/>
    </border>
    <border>
      <left style="thin">
        <color indexed="8"/>
      </left>
      <right style="thin">
        <color indexed="8"/>
      </right>
      <top style="thin">
        <color indexed="64"/>
      </top>
      <bottom/>
      <diagonal/>
    </border>
    <border>
      <left style="thin">
        <color indexed="8"/>
      </left>
      <right/>
      <top style="thin">
        <color indexed="64"/>
      </top>
      <bottom/>
      <diagonal/>
    </border>
    <border>
      <left style="thin">
        <color indexed="8"/>
      </left>
      <right style="thin">
        <color indexed="8"/>
      </right>
      <top style="thin">
        <color indexed="8"/>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8"/>
      </left>
      <right/>
      <top style="thin">
        <color indexed="8"/>
      </top>
      <bottom/>
      <diagonal/>
    </border>
    <border>
      <left/>
      <right style="thin">
        <color indexed="64"/>
      </right>
      <top style="thin">
        <color indexed="8"/>
      </top>
      <bottom style="thin">
        <color indexed="8"/>
      </bottom>
      <diagonal/>
    </border>
    <border>
      <left style="thin">
        <color indexed="64"/>
      </left>
      <right/>
      <top style="thin">
        <color indexed="64"/>
      </top>
      <bottom/>
      <diagonal/>
    </border>
    <border>
      <left style="thin">
        <color indexed="64"/>
      </left>
      <right/>
      <top style="thin">
        <color indexed="8"/>
      </top>
      <bottom/>
      <diagonal/>
    </border>
    <border>
      <left/>
      <right style="thin">
        <color indexed="64"/>
      </right>
      <top style="thin">
        <color indexed="64"/>
      </top>
      <bottom/>
      <diagonal/>
    </border>
    <border>
      <left/>
      <right style="thin">
        <color indexed="64"/>
      </right>
      <top style="thin">
        <color rgb="FF010000"/>
      </top>
      <bottom/>
      <diagonal/>
    </border>
    <border>
      <left/>
      <right style="thin">
        <color indexed="64"/>
      </right>
      <top style="thin">
        <color rgb="FF010000"/>
      </top>
      <bottom style="thin">
        <color indexed="64"/>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8"/>
      </left>
      <right style="thin">
        <color indexed="8"/>
      </right>
      <top style="thin">
        <color indexed="8"/>
      </top>
      <bottom style="thin">
        <color indexed="8"/>
      </bottom>
      <diagonal/>
    </border>
    <border>
      <left style="thin">
        <color auto="1"/>
      </left>
      <right/>
      <top/>
      <bottom style="medium">
        <color auto="1"/>
      </bottom>
      <diagonal/>
    </border>
    <border>
      <left/>
      <right/>
      <top style="thin">
        <color indexed="64"/>
      </top>
      <bottom style="thin">
        <color indexed="8"/>
      </bottom>
      <diagonal/>
    </border>
    <border>
      <left/>
      <right/>
      <top style="thin">
        <color indexed="8"/>
      </top>
      <bottom style="thin">
        <color indexed="8"/>
      </bottom>
      <diagonal/>
    </border>
    <border>
      <left style="thin">
        <color rgb="FF010000"/>
      </left>
      <right/>
      <top style="thin">
        <color indexed="64"/>
      </top>
      <bottom style="thin">
        <color indexed="64"/>
      </bottom>
      <diagonal/>
    </border>
    <border>
      <left/>
      <right style="thin">
        <color rgb="FF010000"/>
      </right>
      <top/>
      <bottom/>
      <diagonal/>
    </border>
    <border>
      <left style="thin">
        <color indexed="8"/>
      </left>
      <right/>
      <top/>
      <bottom style="thin">
        <color auto="1"/>
      </bottom>
      <diagonal/>
    </border>
    <border>
      <left style="thin">
        <color indexed="8"/>
      </left>
      <right style="thin">
        <color indexed="8"/>
      </right>
      <top/>
      <bottom style="thin">
        <color indexed="8"/>
      </bottom>
      <diagonal/>
    </border>
    <border>
      <left/>
      <right style="thin">
        <color rgb="FF010000"/>
      </right>
      <top style="thin">
        <color indexed="8"/>
      </top>
      <bottom/>
      <diagonal/>
    </border>
    <border>
      <left style="thin">
        <color indexed="8"/>
      </left>
      <right style="thin">
        <color indexed="8"/>
      </right>
      <top style="thin">
        <color indexed="8"/>
      </top>
      <bottom/>
      <diagonal/>
    </border>
    <border>
      <left style="thin">
        <color rgb="FF010000"/>
      </left>
      <right style="thin">
        <color rgb="FF010000"/>
      </right>
      <top style="thin">
        <color indexed="8"/>
      </top>
      <bottom/>
      <diagonal/>
    </border>
    <border>
      <left style="thin">
        <color indexed="64"/>
      </left>
      <right/>
      <top style="thin">
        <color indexed="8"/>
      </top>
      <bottom style="thin">
        <color indexed="8"/>
      </bottom>
      <diagonal/>
    </border>
    <border>
      <left style="thin">
        <color indexed="64"/>
      </left>
      <right/>
      <top/>
      <bottom style="thin">
        <color indexed="8"/>
      </bottom>
      <diagonal/>
    </border>
    <border>
      <left/>
      <right/>
      <top/>
      <bottom style="thin">
        <color indexed="8"/>
      </bottom>
      <diagonal/>
    </border>
    <border>
      <left style="thin">
        <color indexed="8"/>
      </left>
      <right style="thin">
        <color auto="1"/>
      </right>
      <top style="thin">
        <color indexed="8"/>
      </top>
      <bottom style="thin">
        <color indexed="64"/>
      </bottom>
      <diagonal/>
    </border>
    <border>
      <left style="thin">
        <color indexed="8"/>
      </left>
      <right style="thin">
        <color auto="1"/>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auto="1"/>
      </top>
      <bottom/>
      <diagonal/>
    </border>
  </borders>
  <cellStyleXfs count="8">
    <xf numFmtId="0" fontId="0" fillId="0" borderId="0"/>
    <xf numFmtId="0" fontId="9" fillId="0" borderId="0"/>
    <xf numFmtId="9" fontId="9" fillId="0" borderId="0"/>
    <xf numFmtId="0" fontId="5" fillId="0" borderId="0">
      <alignment vertical="top"/>
      <protection locked="0"/>
    </xf>
    <xf numFmtId="0" fontId="7" fillId="0" borderId="0"/>
    <xf numFmtId="0" fontId="9" fillId="0" borderId="0"/>
    <xf numFmtId="0" fontId="46" fillId="0" borderId="0"/>
    <xf numFmtId="0" fontId="45" fillId="0" borderId="0" applyBorder="0" applyProtection="0"/>
  </cellStyleXfs>
  <cellXfs count="665">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0" fontId="2" fillId="0" borderId="20" xfId="0" applyFont="1" applyBorder="1"/>
    <xf numFmtId="0" fontId="1" fillId="0" borderId="20" xfId="0" applyFont="1" applyBorder="1"/>
    <xf numFmtId="0" fontId="0" fillId="0" borderId="20" xfId="0" applyBorder="1" applyAlignment="1">
      <alignment horizontal="center" vertical="center"/>
    </xf>
    <xf numFmtId="0" fontId="1" fillId="0" borderId="20" xfId="0" applyFont="1" applyBorder="1" applyAlignment="1">
      <alignment horizontal="center" vertical="center"/>
    </xf>
    <xf numFmtId="0" fontId="0" fillId="0" borderId="20" xfId="0" applyBorder="1" applyAlignment="1">
      <alignment horizontal="center"/>
    </xf>
    <xf numFmtId="0" fontId="4" fillId="5" borderId="0" xfId="1" applyFont="1" applyFill="1" applyAlignment="1">
      <alignment horizontal="left" vertical="top"/>
    </xf>
    <xf numFmtId="0" fontId="3" fillId="5" borderId="0" xfId="1" applyFont="1" applyFill="1"/>
    <xf numFmtId="0" fontId="0" fillId="9" borderId="0" xfId="0" applyFill="1" applyAlignment="1">
      <alignment horizontal="center"/>
    </xf>
    <xf numFmtId="0" fontId="0" fillId="7" borderId="0" xfId="0" applyFill="1" applyAlignment="1">
      <alignment horizontal="center"/>
    </xf>
    <xf numFmtId="0" fontId="0" fillId="10" borderId="0" xfId="0" applyFill="1" applyAlignment="1">
      <alignment horizontal="center"/>
    </xf>
    <xf numFmtId="0" fontId="0" fillId="11" borderId="0" xfId="0" applyFill="1" applyAlignment="1">
      <alignment horizontal="center"/>
    </xf>
    <xf numFmtId="0" fontId="0" fillId="7" borderId="0" xfId="0" applyFill="1" applyAlignment="1">
      <alignment horizontal="center" vertical="center"/>
    </xf>
    <xf numFmtId="0" fontId="0" fillId="8" borderId="0" xfId="0" applyFill="1" applyAlignment="1">
      <alignment horizontal="center"/>
    </xf>
    <xf numFmtId="0" fontId="0" fillId="15" borderId="0" xfId="0" applyFill="1" applyAlignment="1">
      <alignment horizontal="center"/>
    </xf>
    <xf numFmtId="0" fontId="1" fillId="0" borderId="0" xfId="0" applyFont="1"/>
    <xf numFmtId="0" fontId="8" fillId="0" borderId="0" xfId="0" applyFont="1"/>
    <xf numFmtId="0" fontId="0" fillId="0" borderId="0" xfId="0" applyAlignment="1">
      <alignment horizontal="center" vertical="center"/>
    </xf>
    <xf numFmtId="0" fontId="10" fillId="0" borderId="0" xfId="0" applyFont="1" applyAlignment="1">
      <alignment horizontal="center"/>
    </xf>
    <xf numFmtId="0" fontId="10" fillId="0" borderId="0" xfId="0" applyFont="1"/>
    <xf numFmtId="0" fontId="10" fillId="0" borderId="0" xfId="0" applyFont="1" applyAlignment="1">
      <alignment horizontal="center" vertical="center"/>
    </xf>
    <xf numFmtId="0" fontId="10" fillId="0" borderId="0" xfId="0" applyFont="1" applyAlignment="1">
      <alignment wrapText="1"/>
    </xf>
    <xf numFmtId="0" fontId="11" fillId="0" borderId="0" xfId="0" applyFont="1" applyAlignment="1">
      <alignment horizontal="center"/>
    </xf>
    <xf numFmtId="0" fontId="14" fillId="6" borderId="0" xfId="1" applyFont="1" applyFill="1" applyAlignment="1">
      <alignment horizontal="left" vertical="top"/>
    </xf>
    <xf numFmtId="0" fontId="14" fillId="6" borderId="0" xfId="1" applyFont="1" applyFill="1"/>
    <xf numFmtId="0" fontId="15" fillId="6" borderId="0" xfId="1" applyFont="1" applyFill="1" applyAlignment="1">
      <alignment horizontal="left" vertical="top"/>
    </xf>
    <xf numFmtId="0" fontId="15" fillId="6" borderId="0" xfId="1" applyFont="1" applyFill="1"/>
    <xf numFmtId="0" fontId="15" fillId="6" borderId="0" xfId="1" quotePrefix="1" applyFont="1" applyFill="1" applyAlignment="1">
      <alignment horizontal="left" vertical="top"/>
    </xf>
    <xf numFmtId="0" fontId="15" fillId="6" borderId="0" xfId="1" applyFont="1" applyFill="1" applyAlignment="1">
      <alignment horizontal="left" vertical="top" wrapText="1"/>
    </xf>
    <xf numFmtId="0" fontId="13" fillId="6" borderId="0" xfId="1" applyFont="1" applyFill="1" applyAlignment="1">
      <alignment horizontal="left" vertical="top"/>
    </xf>
    <xf numFmtId="0" fontId="13" fillId="6" borderId="0" xfId="1" applyFont="1" applyFill="1" applyAlignment="1">
      <alignment horizontal="left" vertical="top" wrapText="1"/>
    </xf>
    <xf numFmtId="0" fontId="13" fillId="6" borderId="0" xfId="1" applyFont="1" applyFill="1"/>
    <xf numFmtId="0" fontId="16" fillId="6" borderId="0" xfId="0" applyFont="1" applyFill="1" applyAlignment="1">
      <alignment horizontal="left" vertical="top"/>
    </xf>
    <xf numFmtId="49" fontId="10" fillId="0" borderId="0" xfId="0" applyNumberFormat="1" applyFont="1"/>
    <xf numFmtId="15" fontId="10" fillId="0" borderId="0" xfId="0" applyNumberFormat="1" applyFont="1" applyAlignment="1">
      <alignment horizontal="center"/>
    </xf>
    <xf numFmtId="2" fontId="10" fillId="0" borderId="0" xfId="0" applyNumberFormat="1" applyFont="1" applyAlignment="1">
      <alignment horizontal="center"/>
    </xf>
    <xf numFmtId="0" fontId="10" fillId="0" borderId="0" xfId="1" applyFont="1"/>
    <xf numFmtId="0" fontId="17" fillId="0" borderId="0" xfId="1" applyFont="1"/>
    <xf numFmtId="0" fontId="18" fillId="0" borderId="0" xfId="1" applyFont="1"/>
    <xf numFmtId="14" fontId="18" fillId="0" borderId="0" xfId="1" applyNumberFormat="1" applyFont="1" applyAlignment="1">
      <alignment horizontal="left"/>
    </xf>
    <xf numFmtId="0" fontId="18" fillId="14" borderId="0" xfId="1" applyFont="1" applyFill="1"/>
    <xf numFmtId="0" fontId="18" fillId="0" borderId="0" xfId="1" applyFont="1" applyAlignment="1">
      <alignment horizontal="center"/>
    </xf>
    <xf numFmtId="0" fontId="18" fillId="14" borderId="18" xfId="1" applyFont="1" applyFill="1" applyBorder="1"/>
    <xf numFmtId="0" fontId="11" fillId="0" borderId="42" xfId="1" applyFont="1" applyBorder="1"/>
    <xf numFmtId="0" fontId="11" fillId="0" borderId="42" xfId="1" applyFont="1" applyBorder="1" applyAlignment="1">
      <alignment horizontal="center"/>
    </xf>
    <xf numFmtId="0" fontId="13" fillId="0" borderId="42" xfId="1" applyFont="1" applyBorder="1" applyAlignment="1">
      <alignment horizontal="center"/>
    </xf>
    <xf numFmtId="0" fontId="15" fillId="0" borderId="42" xfId="1" applyFont="1" applyBorder="1" applyAlignment="1">
      <alignment horizontal="center"/>
    </xf>
    <xf numFmtId="0" fontId="10" fillId="0" borderId="0" xfId="1" applyFont="1" applyAlignment="1">
      <alignment horizontal="center"/>
    </xf>
    <xf numFmtId="0" fontId="10" fillId="14" borderId="0" xfId="1" applyFont="1" applyFill="1" applyAlignment="1">
      <alignment horizontal="center"/>
    </xf>
    <xf numFmtId="0" fontId="10" fillId="14" borderId="0" xfId="1" applyFont="1" applyFill="1"/>
    <xf numFmtId="0" fontId="19" fillId="0" borderId="43" xfId="1" applyFont="1" applyBorder="1"/>
    <xf numFmtId="2" fontId="12" fillId="0" borderId="45" xfId="0" applyNumberFormat="1" applyFont="1" applyBorder="1" applyAlignment="1">
      <alignment horizontal="center" wrapText="1"/>
    </xf>
    <xf numFmtId="2" fontId="10" fillId="0" borderId="43" xfId="1" applyNumberFormat="1" applyFont="1" applyBorder="1" applyAlignment="1" applyProtection="1">
      <alignment horizontal="center"/>
      <protection locked="0"/>
    </xf>
    <xf numFmtId="0" fontId="15" fillId="0" borderId="0" xfId="1" applyFont="1" applyAlignment="1">
      <alignment horizontal="center"/>
    </xf>
    <xf numFmtId="0" fontId="15" fillId="0" borderId="43" xfId="1" applyFont="1" applyBorder="1" applyAlignment="1">
      <alignment horizontal="center"/>
    </xf>
    <xf numFmtId="2" fontId="10" fillId="0" borderId="0" xfId="1" applyNumberFormat="1" applyFont="1" applyAlignment="1">
      <alignment horizontal="center"/>
    </xf>
    <xf numFmtId="2" fontId="10" fillId="0" borderId="0" xfId="1" applyNumberFormat="1" applyFont="1"/>
    <xf numFmtId="0" fontId="19" fillId="0" borderId="0" xfId="1" applyFont="1"/>
    <xf numFmtId="2" fontId="10" fillId="0" borderId="0" xfId="1" applyNumberFormat="1" applyFont="1" applyAlignment="1" applyProtection="1">
      <alignment horizontal="center"/>
      <protection locked="0"/>
    </xf>
    <xf numFmtId="0" fontId="19" fillId="0" borderId="40" xfId="1" applyFont="1" applyBorder="1"/>
    <xf numFmtId="2" fontId="12" fillId="0" borderId="46" xfId="0" applyNumberFormat="1" applyFont="1" applyBorder="1" applyAlignment="1">
      <alignment horizontal="center" wrapText="1"/>
    </xf>
    <xf numFmtId="0" fontId="15" fillId="0" borderId="40" xfId="1" applyFont="1" applyBorder="1" applyAlignment="1">
      <alignment horizontal="center"/>
    </xf>
    <xf numFmtId="0" fontId="20" fillId="0" borderId="44" xfId="1" applyFont="1" applyBorder="1"/>
    <xf numFmtId="2" fontId="10" fillId="0" borderId="75" xfId="1" applyNumberFormat="1" applyFont="1" applyBorder="1" applyAlignment="1" applyProtection="1">
      <alignment horizontal="center"/>
      <protection locked="0"/>
    </xf>
    <xf numFmtId="0" fontId="15" fillId="0" borderId="44" xfId="1" applyFont="1" applyBorder="1" applyAlignment="1">
      <alignment horizontal="center"/>
    </xf>
    <xf numFmtId="0" fontId="20" fillId="0" borderId="0" xfId="1" applyFont="1"/>
    <xf numFmtId="0" fontId="20" fillId="0" borderId="40" xfId="1" applyFont="1" applyBorder="1"/>
    <xf numFmtId="0" fontId="21" fillId="0" borderId="0" xfId="1" applyFont="1"/>
    <xf numFmtId="2" fontId="10" fillId="0" borderId="76" xfId="1" applyNumberFormat="1" applyFont="1" applyBorder="1" applyAlignment="1" applyProtection="1">
      <alignment horizontal="center"/>
      <protection locked="0"/>
    </xf>
    <xf numFmtId="0" fontId="22" fillId="0" borderId="44" xfId="1" applyFont="1" applyBorder="1"/>
    <xf numFmtId="0" fontId="22" fillId="0" borderId="0" xfId="1" applyFont="1"/>
    <xf numFmtId="0" fontId="22" fillId="0" borderId="40" xfId="1" applyFont="1" applyBorder="1"/>
    <xf numFmtId="0" fontId="23" fillId="0" borderId="44" xfId="1" applyFont="1" applyBorder="1"/>
    <xf numFmtId="0" fontId="23" fillId="0" borderId="0" xfId="1" applyFont="1"/>
    <xf numFmtId="0" fontId="23" fillId="0" borderId="18" xfId="1" applyFont="1" applyBorder="1"/>
    <xf numFmtId="2" fontId="12" fillId="0" borderId="47" xfId="0" applyNumberFormat="1" applyFont="1" applyBorder="1" applyAlignment="1">
      <alignment horizontal="center" wrapText="1"/>
    </xf>
    <xf numFmtId="0" fontId="15" fillId="0" borderId="18" xfId="1" applyFont="1" applyBorder="1" applyAlignment="1">
      <alignment horizontal="center"/>
    </xf>
    <xf numFmtId="0" fontId="24" fillId="0" borderId="0" xfId="1" applyFont="1" applyAlignment="1">
      <alignment horizontal="right"/>
    </xf>
    <xf numFmtId="9" fontId="10" fillId="0" borderId="0" xfId="2" applyFont="1"/>
    <xf numFmtId="9" fontId="10" fillId="0" borderId="0" xfId="2" applyFont="1" applyAlignment="1">
      <alignment horizontal="center"/>
    </xf>
    <xf numFmtId="0" fontId="10" fillId="0" borderId="43" xfId="1" applyFont="1" applyBorder="1"/>
    <xf numFmtId="0" fontId="10" fillId="0" borderId="43" xfId="1" applyFont="1" applyBorder="1" applyAlignment="1">
      <alignment horizontal="center"/>
    </xf>
    <xf numFmtId="0" fontId="10" fillId="0" borderId="18" xfId="1" applyFont="1" applyBorder="1"/>
    <xf numFmtId="0" fontId="10" fillId="0" borderId="18" xfId="1" applyFont="1" applyBorder="1" applyAlignment="1">
      <alignment horizontal="center"/>
    </xf>
    <xf numFmtId="0" fontId="25" fillId="0" borderId="0" xfId="0" applyFont="1" applyAlignment="1">
      <alignment horizontal="center" vertical="center"/>
    </xf>
    <xf numFmtId="0" fontId="26" fillId="0" borderId="0" xfId="0" applyFont="1" applyAlignment="1">
      <alignment horizontal="center" vertical="center" wrapText="1"/>
    </xf>
    <xf numFmtId="0" fontId="25" fillId="0" borderId="0" xfId="0" applyFont="1" applyAlignment="1">
      <alignment vertical="center"/>
    </xf>
    <xf numFmtId="0" fontId="25" fillId="0" borderId="0" xfId="0" applyFont="1" applyAlignment="1">
      <alignment vertical="center" wrapText="1"/>
    </xf>
    <xf numFmtId="0" fontId="25" fillId="0" borderId="0" xfId="0" applyFont="1" applyAlignment="1">
      <alignment horizontal="center" vertical="center" wrapText="1"/>
    </xf>
    <xf numFmtId="0" fontId="27" fillId="0" borderId="0" xfId="0" applyFont="1" applyAlignment="1">
      <alignment horizontal="center" vertical="center"/>
    </xf>
    <xf numFmtId="164" fontId="25" fillId="0" borderId="0" xfId="0" applyNumberFormat="1" applyFont="1" applyAlignment="1">
      <alignment horizontal="center" vertical="center"/>
    </xf>
    <xf numFmtId="0" fontId="26" fillId="0" borderId="0" xfId="0" applyFont="1" applyAlignment="1">
      <alignment horizontal="left" vertical="center" wrapText="1"/>
    </xf>
    <xf numFmtId="0" fontId="28" fillId="0" borderId="0" xfId="0" applyFont="1" applyAlignment="1">
      <alignment vertical="center" wrapText="1"/>
    </xf>
    <xf numFmtId="0" fontId="28" fillId="0" borderId="0" xfId="0" applyFont="1" applyAlignment="1">
      <alignment horizontal="center" vertical="center" wrapText="1"/>
    </xf>
    <xf numFmtId="164" fontId="28" fillId="0" borderId="0" xfId="0" applyNumberFormat="1" applyFont="1" applyAlignment="1">
      <alignment horizontal="center" vertical="center" wrapText="1"/>
    </xf>
    <xf numFmtId="0" fontId="28" fillId="0" borderId="0" xfId="0" applyFont="1" applyAlignment="1">
      <alignment vertical="center"/>
    </xf>
    <xf numFmtId="0" fontId="28" fillId="0" borderId="22" xfId="0" applyFont="1" applyBorder="1" applyAlignment="1">
      <alignment vertical="center" wrapText="1"/>
    </xf>
    <xf numFmtId="0" fontId="28" fillId="0" borderId="24" xfId="0" applyFont="1" applyBorder="1" applyAlignment="1">
      <alignment vertical="center" wrapText="1"/>
    </xf>
    <xf numFmtId="15" fontId="28" fillId="0" borderId="24" xfId="0" applyNumberFormat="1" applyFont="1" applyBorder="1" applyAlignment="1">
      <alignment horizontal="left" vertical="center" wrapText="1"/>
    </xf>
    <xf numFmtId="15" fontId="28" fillId="0" borderId="0" xfId="0" applyNumberFormat="1" applyFont="1" applyAlignment="1">
      <alignment horizontal="center" vertical="center" wrapText="1"/>
    </xf>
    <xf numFmtId="0" fontId="27" fillId="0" borderId="0" xfId="0" applyFont="1" applyAlignment="1">
      <alignment vertical="center"/>
    </xf>
    <xf numFmtId="0" fontId="28" fillId="0" borderId="26" xfId="0" applyFont="1" applyBorder="1" applyAlignment="1">
      <alignment vertical="center" wrapText="1"/>
    </xf>
    <xf numFmtId="0" fontId="30" fillId="19" borderId="11" xfId="0" applyFont="1" applyFill="1" applyBorder="1" applyAlignment="1">
      <alignment vertical="center" wrapText="1"/>
    </xf>
    <xf numFmtId="0" fontId="30" fillId="19" borderId="11" xfId="0" applyFont="1" applyFill="1" applyBorder="1" applyAlignment="1">
      <alignment horizontal="center" vertical="center" wrapText="1"/>
    </xf>
    <xf numFmtId="0" fontId="30" fillId="19" borderId="12" xfId="0" applyFont="1" applyFill="1" applyBorder="1" applyAlignment="1">
      <alignment horizontal="center" vertical="center" wrapText="1"/>
    </xf>
    <xf numFmtId="0" fontId="30" fillId="19" borderId="2" xfId="0" applyFont="1" applyFill="1" applyBorder="1" applyAlignment="1">
      <alignment horizontal="center" vertical="center" wrapText="1"/>
    </xf>
    <xf numFmtId="164" fontId="26" fillId="7" borderId="2" xfId="0" applyNumberFormat="1" applyFont="1" applyFill="1" applyBorder="1" applyAlignment="1">
      <alignment horizontal="center" vertical="center" wrapText="1"/>
    </xf>
    <xf numFmtId="0" fontId="30" fillId="19" borderId="2" xfId="0" applyFont="1" applyFill="1" applyBorder="1" applyAlignment="1">
      <alignment horizontal="center" vertical="center"/>
    </xf>
    <xf numFmtId="0" fontId="30" fillId="19" borderId="56" xfId="0" applyFont="1" applyFill="1" applyBorder="1" applyAlignment="1">
      <alignment horizontal="center" vertical="center" wrapText="1"/>
    </xf>
    <xf numFmtId="0" fontId="26" fillId="0" borderId="14" xfId="0" applyFont="1" applyBorder="1" applyAlignment="1">
      <alignment vertical="center" wrapText="1"/>
    </xf>
    <xf numFmtId="0" fontId="26" fillId="0" borderId="14" xfId="0" applyFont="1" applyBorder="1" applyAlignment="1">
      <alignment horizontal="center" vertical="center" wrapText="1"/>
    </xf>
    <xf numFmtId="0" fontId="26" fillId="0" borderId="4" xfId="0" applyFont="1" applyBorder="1" applyAlignment="1">
      <alignment horizontal="center" vertical="center" wrapText="1"/>
    </xf>
    <xf numFmtId="164" fontId="28" fillId="0" borderId="4" xfId="0" applyNumberFormat="1" applyFont="1" applyBorder="1" applyAlignment="1">
      <alignment horizontal="center" vertical="center"/>
    </xf>
    <xf numFmtId="0" fontId="28" fillId="3" borderId="49" xfId="0" applyFont="1" applyFill="1" applyBorder="1" applyAlignment="1">
      <alignment horizontal="center" vertical="center" wrapText="1"/>
    </xf>
    <xf numFmtId="164" fontId="28" fillId="3" borderId="51" xfId="0" applyNumberFormat="1" applyFont="1" applyFill="1" applyBorder="1" applyAlignment="1">
      <alignment horizontal="center" vertical="center"/>
    </xf>
    <xf numFmtId="0" fontId="26" fillId="0" borderId="6" xfId="0" applyFont="1" applyBorder="1" applyAlignment="1">
      <alignment horizontal="center" vertical="center" wrapText="1"/>
    </xf>
    <xf numFmtId="0" fontId="28" fillId="0" borderId="6" xfId="0" applyFont="1" applyBorder="1" applyAlignment="1">
      <alignment horizontal="center" vertical="center"/>
    </xf>
    <xf numFmtId="164" fontId="28" fillId="0" borderId="6" xfId="0" applyNumberFormat="1" applyFont="1" applyBorder="1" applyAlignment="1">
      <alignment horizontal="center" vertical="center" wrapText="1"/>
    </xf>
    <xf numFmtId="0" fontId="26" fillId="0" borderId="3" xfId="0" applyFont="1" applyBorder="1" applyAlignment="1">
      <alignment horizontal="left" vertical="center" wrapText="1"/>
    </xf>
    <xf numFmtId="164" fontId="28" fillId="3" borderId="51" xfId="0" applyNumberFormat="1" applyFont="1" applyFill="1" applyBorder="1" applyAlignment="1">
      <alignment horizontal="center" vertical="center" wrapText="1"/>
    </xf>
    <xf numFmtId="0" fontId="28" fillId="4" borderId="10" xfId="0" applyFont="1" applyFill="1" applyBorder="1" applyAlignment="1">
      <alignment vertical="center" wrapText="1"/>
    </xf>
    <xf numFmtId="0" fontId="28" fillId="4" borderId="38" xfId="0" applyFont="1" applyFill="1" applyBorder="1" applyAlignment="1">
      <alignment vertical="center" wrapText="1"/>
    </xf>
    <xf numFmtId="0" fontId="28" fillId="4" borderId="1" xfId="0" applyFont="1" applyFill="1" applyBorder="1" applyAlignment="1">
      <alignment vertical="center" wrapText="1"/>
    </xf>
    <xf numFmtId="0" fontId="28" fillId="4" borderId="9" xfId="0" applyFont="1" applyFill="1" applyBorder="1" applyAlignment="1">
      <alignment vertical="center" wrapText="1"/>
    </xf>
    <xf numFmtId="164" fontId="32" fillId="0" borderId="57" xfId="0" applyNumberFormat="1" applyFont="1" applyBorder="1" applyAlignment="1">
      <alignment horizontal="center" vertical="center"/>
    </xf>
    <xf numFmtId="0" fontId="26" fillId="7" borderId="9" xfId="0" applyFont="1" applyFill="1" applyBorder="1" applyAlignment="1">
      <alignment horizontal="center" vertical="center" wrapText="1"/>
    </xf>
    <xf numFmtId="0" fontId="26" fillId="7" borderId="8" xfId="0" applyFont="1" applyFill="1" applyBorder="1" applyAlignment="1">
      <alignment horizontal="center" vertical="center" wrapText="1"/>
    </xf>
    <xf numFmtId="164" fontId="26" fillId="7" borderId="8" xfId="0" applyNumberFormat="1" applyFont="1" applyFill="1" applyBorder="1" applyAlignment="1">
      <alignment horizontal="center" vertical="center" wrapText="1"/>
    </xf>
    <xf numFmtId="0" fontId="26" fillId="0" borderId="7" xfId="0" applyFont="1" applyBorder="1" applyAlignment="1">
      <alignment vertical="center" wrapText="1"/>
    </xf>
    <xf numFmtId="0" fontId="28" fillId="4" borderId="37" xfId="0" applyFont="1" applyFill="1" applyBorder="1" applyAlignment="1">
      <alignment vertical="center" wrapText="1"/>
    </xf>
    <xf numFmtId="0" fontId="28" fillId="4" borderId="39" xfId="0" applyFont="1" applyFill="1" applyBorder="1" applyAlignment="1">
      <alignment vertical="center" wrapText="1"/>
    </xf>
    <xf numFmtId="0" fontId="26" fillId="0" borderId="92" xfId="0" applyFont="1" applyBorder="1" applyAlignment="1">
      <alignment horizontal="center" vertical="center" wrapText="1"/>
    </xf>
    <xf numFmtId="0" fontId="28" fillId="0" borderId="91" xfId="0" applyFont="1" applyBorder="1" applyAlignment="1">
      <alignment horizontal="center" vertical="center"/>
    </xf>
    <xf numFmtId="164" fontId="32" fillId="0" borderId="100" xfId="0" applyNumberFormat="1" applyFont="1" applyBorder="1" applyAlignment="1">
      <alignment horizontal="center" vertical="center"/>
    </xf>
    <xf numFmtId="0" fontId="28" fillId="3" borderId="35" xfId="0" applyFont="1" applyFill="1" applyBorder="1" applyAlignment="1">
      <alignment horizontal="center" vertical="center" wrapText="1"/>
    </xf>
    <xf numFmtId="164" fontId="28" fillId="3" borderId="36" xfId="0" applyNumberFormat="1" applyFont="1" applyFill="1" applyBorder="1" applyAlignment="1">
      <alignment horizontal="center" vertical="center" wrapText="1"/>
    </xf>
    <xf numFmtId="164" fontId="32" fillId="16" borderId="59" xfId="0" applyNumberFormat="1" applyFont="1" applyFill="1" applyBorder="1" applyAlignment="1">
      <alignment horizontal="center" vertical="center"/>
    </xf>
    <xf numFmtId="164" fontId="32" fillId="0" borderId="58" xfId="0" applyNumberFormat="1" applyFont="1" applyBorder="1" applyAlignment="1">
      <alignment horizontal="center" vertical="center" wrapText="1"/>
    </xf>
    <xf numFmtId="0" fontId="33" fillId="0" borderId="0" xfId="0" applyFont="1" applyAlignment="1">
      <alignment horizontal="left" vertical="center" wrapText="1"/>
    </xf>
    <xf numFmtId="164" fontId="32" fillId="16" borderId="59" xfId="0" applyNumberFormat="1" applyFont="1" applyFill="1" applyBorder="1" applyAlignment="1">
      <alignment horizontal="center" vertical="center" wrapText="1"/>
    </xf>
    <xf numFmtId="0" fontId="28" fillId="3" borderId="33" xfId="0" applyFont="1" applyFill="1" applyBorder="1" applyAlignment="1">
      <alignment horizontal="center" vertical="center" wrapText="1"/>
    </xf>
    <xf numFmtId="164" fontId="28" fillId="3" borderId="34" xfId="0" applyNumberFormat="1" applyFont="1" applyFill="1" applyBorder="1" applyAlignment="1">
      <alignment horizontal="center" vertical="center" wrapText="1"/>
    </xf>
    <xf numFmtId="0" fontId="30" fillId="24" borderId="96" xfId="0" applyFont="1" applyFill="1" applyBorder="1" applyAlignment="1">
      <alignment horizontal="center" vertical="center" wrapText="1"/>
    </xf>
    <xf numFmtId="0" fontId="30" fillId="24" borderId="95" xfId="0" applyFont="1" applyFill="1" applyBorder="1" applyAlignment="1">
      <alignment horizontal="center" vertical="center" wrapText="1"/>
    </xf>
    <xf numFmtId="164" fontId="30" fillId="24" borderId="96" xfId="0" applyNumberFormat="1" applyFont="1" applyFill="1" applyBorder="1" applyAlignment="1">
      <alignment horizontal="center" vertical="center" wrapText="1"/>
    </xf>
    <xf numFmtId="0" fontId="30" fillId="24" borderId="96" xfId="0" applyFont="1" applyFill="1" applyBorder="1" applyAlignment="1">
      <alignment horizontal="center" vertical="center"/>
    </xf>
    <xf numFmtId="0" fontId="30" fillId="24" borderId="56" xfId="0" applyFont="1" applyFill="1" applyBorder="1" applyAlignment="1">
      <alignment horizontal="center" vertical="center" wrapText="1"/>
    </xf>
    <xf numFmtId="0" fontId="26" fillId="0" borderId="52" xfId="0" applyFont="1" applyBorder="1" applyAlignment="1">
      <alignment horizontal="center" vertical="center" wrapText="1"/>
    </xf>
    <xf numFmtId="0" fontId="26" fillId="0" borderId="93" xfId="0" applyFont="1" applyBorder="1" applyAlignment="1">
      <alignment horizontal="center" vertical="center" wrapText="1"/>
    </xf>
    <xf numFmtId="0" fontId="28" fillId="0" borderId="55" xfId="0" applyFont="1" applyBorder="1" applyAlignment="1">
      <alignment horizontal="center" vertical="center"/>
    </xf>
    <xf numFmtId="0" fontId="28" fillId="4" borderId="0" xfId="0" applyFont="1" applyFill="1" applyAlignment="1">
      <alignment vertical="center" wrapText="1"/>
    </xf>
    <xf numFmtId="0" fontId="30" fillId="24" borderId="46" xfId="0" applyFont="1" applyFill="1" applyBorder="1" applyAlignment="1">
      <alignment horizontal="center" vertical="center" wrapText="1"/>
    </xf>
    <xf numFmtId="164" fontId="32" fillId="0" borderId="98" xfId="0" applyNumberFormat="1" applyFont="1" applyBorder="1" applyAlignment="1">
      <alignment horizontal="center" vertical="center"/>
    </xf>
    <xf numFmtId="164" fontId="28" fillId="3" borderId="97" xfId="0" applyNumberFormat="1" applyFont="1" applyFill="1" applyBorder="1" applyAlignment="1">
      <alignment horizontal="center" vertical="center" wrapText="1"/>
    </xf>
    <xf numFmtId="0" fontId="26" fillId="9" borderId="9" xfId="0" applyFont="1" applyFill="1" applyBorder="1" applyAlignment="1">
      <alignment horizontal="center" vertical="center" wrapText="1"/>
    </xf>
    <xf numFmtId="0" fontId="30" fillId="24" borderId="8" xfId="0" applyFont="1" applyFill="1" applyBorder="1" applyAlignment="1">
      <alignment horizontal="center" vertical="center" wrapText="1"/>
    </xf>
    <xf numFmtId="0" fontId="30" fillId="9" borderId="6" xfId="0" applyFont="1" applyFill="1" applyBorder="1" applyAlignment="1">
      <alignment horizontal="center" vertical="center" wrapText="1"/>
    </xf>
    <xf numFmtId="164" fontId="30" fillId="9" borderId="8" xfId="0" applyNumberFormat="1" applyFont="1" applyFill="1" applyBorder="1" applyAlignment="1">
      <alignment horizontal="center" vertical="center" wrapText="1"/>
    </xf>
    <xf numFmtId="0" fontId="30" fillId="24" borderId="2" xfId="0" applyFont="1" applyFill="1" applyBorder="1" applyAlignment="1">
      <alignment horizontal="center" vertical="center"/>
    </xf>
    <xf numFmtId="0" fontId="30" fillId="24" borderId="70" xfId="0" applyFont="1" applyFill="1" applyBorder="1" applyAlignment="1">
      <alignment horizontal="center" vertical="center" wrapText="1"/>
    </xf>
    <xf numFmtId="0" fontId="26" fillId="0" borderId="53" xfId="0" applyFont="1" applyBorder="1" applyAlignment="1">
      <alignment horizontal="center" vertical="center" wrapText="1"/>
    </xf>
    <xf numFmtId="0" fontId="28" fillId="4" borderId="11" xfId="0" applyFont="1" applyFill="1" applyBorder="1" applyAlignment="1">
      <alignment vertical="center" wrapText="1"/>
    </xf>
    <xf numFmtId="0" fontId="28" fillId="4" borderId="12" xfId="0" applyFont="1" applyFill="1" applyBorder="1" applyAlignment="1">
      <alignment vertical="center" wrapText="1"/>
    </xf>
    <xf numFmtId="0" fontId="28" fillId="3" borderId="6" xfId="0" applyFont="1" applyFill="1" applyBorder="1" applyAlignment="1">
      <alignment horizontal="center" vertical="center" wrapText="1"/>
    </xf>
    <xf numFmtId="0" fontId="30" fillId="26" borderId="96" xfId="0" applyFont="1" applyFill="1" applyBorder="1" applyAlignment="1">
      <alignment horizontal="center" vertical="center" wrapText="1"/>
    </xf>
    <xf numFmtId="0" fontId="30" fillId="26" borderId="95" xfId="0" applyFont="1" applyFill="1" applyBorder="1" applyAlignment="1">
      <alignment horizontal="center" vertical="center" wrapText="1"/>
    </xf>
    <xf numFmtId="0" fontId="30" fillId="26" borderId="6" xfId="0" applyFont="1" applyFill="1" applyBorder="1" applyAlignment="1">
      <alignment horizontal="center" vertical="center" wrapText="1"/>
    </xf>
    <xf numFmtId="164" fontId="30" fillId="26" borderId="96" xfId="0" applyNumberFormat="1" applyFont="1" applyFill="1" applyBorder="1" applyAlignment="1">
      <alignment horizontal="center" vertical="center" wrapText="1"/>
    </xf>
    <xf numFmtId="0" fontId="30" fillId="26" borderId="96" xfId="0" applyFont="1" applyFill="1" applyBorder="1" applyAlignment="1">
      <alignment horizontal="center" vertical="center"/>
    </xf>
    <xf numFmtId="0" fontId="30" fillId="26" borderId="56" xfId="0" applyFont="1" applyFill="1" applyBorder="1" applyAlignment="1">
      <alignment horizontal="center" vertical="center" wrapText="1"/>
    </xf>
    <xf numFmtId="0" fontId="30" fillId="26" borderId="46" xfId="0" applyFont="1" applyFill="1" applyBorder="1" applyAlignment="1">
      <alignment horizontal="center" vertical="center" wrapText="1"/>
    </xf>
    <xf numFmtId="0" fontId="28" fillId="3" borderId="91" xfId="0" applyFont="1" applyFill="1" applyBorder="1" applyAlignment="1">
      <alignment horizontal="center" vertical="center" wrapText="1"/>
    </xf>
    <xf numFmtId="0" fontId="30" fillId="26" borderId="9" xfId="0" applyFont="1" applyFill="1" applyBorder="1" applyAlignment="1">
      <alignment horizontal="center" vertical="center" wrapText="1"/>
    </xf>
    <xf numFmtId="0" fontId="30" fillId="26" borderId="8" xfId="0" applyFont="1" applyFill="1" applyBorder="1" applyAlignment="1">
      <alignment horizontal="center" vertical="center" wrapText="1"/>
    </xf>
    <xf numFmtId="164" fontId="30" fillId="26" borderId="8" xfId="0" applyNumberFormat="1" applyFont="1" applyFill="1" applyBorder="1" applyAlignment="1">
      <alignment horizontal="center" vertical="center" wrapText="1"/>
    </xf>
    <xf numFmtId="0" fontId="30" fillId="26" borderId="2" xfId="0" applyFont="1" applyFill="1" applyBorder="1" applyAlignment="1">
      <alignment horizontal="center" vertical="center"/>
    </xf>
    <xf numFmtId="0" fontId="30" fillId="26" borderId="70" xfId="0" applyFont="1" applyFill="1" applyBorder="1" applyAlignment="1">
      <alignment horizontal="center" vertical="center" wrapText="1"/>
    </xf>
    <xf numFmtId="0" fontId="26" fillId="26" borderId="9" xfId="0" applyFont="1" applyFill="1" applyBorder="1" applyAlignment="1">
      <alignment horizontal="center" vertical="center" wrapText="1"/>
    </xf>
    <xf numFmtId="0" fontId="30" fillId="27" borderId="96" xfId="0" applyFont="1" applyFill="1" applyBorder="1" applyAlignment="1">
      <alignment horizontal="center" vertical="center" wrapText="1"/>
    </xf>
    <xf numFmtId="0" fontId="30" fillId="27" borderId="95" xfId="0" applyFont="1" applyFill="1" applyBorder="1" applyAlignment="1">
      <alignment horizontal="center" vertical="center" wrapText="1"/>
    </xf>
    <xf numFmtId="164" fontId="30" fillId="27" borderId="96" xfId="0" applyNumberFormat="1" applyFont="1" applyFill="1" applyBorder="1" applyAlignment="1">
      <alignment horizontal="center" vertical="center" wrapText="1"/>
    </xf>
    <xf numFmtId="0" fontId="30" fillId="27" borderId="96" xfId="0" applyFont="1" applyFill="1" applyBorder="1" applyAlignment="1">
      <alignment horizontal="center" vertical="center"/>
    </xf>
    <xf numFmtId="0" fontId="30" fillId="27" borderId="56" xfId="0" applyFont="1" applyFill="1" applyBorder="1" applyAlignment="1">
      <alignment horizontal="center" vertical="center" wrapText="1"/>
    </xf>
    <xf numFmtId="0" fontId="30" fillId="27" borderId="70" xfId="0" applyFont="1" applyFill="1" applyBorder="1" applyAlignment="1">
      <alignment horizontal="center" vertical="center" wrapText="1"/>
    </xf>
    <xf numFmtId="0" fontId="30" fillId="27" borderId="9" xfId="0" applyFont="1" applyFill="1" applyBorder="1" applyAlignment="1">
      <alignment horizontal="center" vertical="center" wrapText="1"/>
    </xf>
    <xf numFmtId="0" fontId="30" fillId="27" borderId="8" xfId="0" applyFont="1" applyFill="1" applyBorder="1" applyAlignment="1">
      <alignment horizontal="center" vertical="center" wrapText="1"/>
    </xf>
    <xf numFmtId="164" fontId="30" fillId="27" borderId="8" xfId="0" applyNumberFormat="1" applyFont="1" applyFill="1" applyBorder="1" applyAlignment="1">
      <alignment horizontal="center" vertical="center" wrapText="1"/>
    </xf>
    <xf numFmtId="0" fontId="30" fillId="27" borderId="2" xfId="0" applyFont="1" applyFill="1" applyBorder="1" applyAlignment="1">
      <alignment horizontal="center" vertical="center"/>
    </xf>
    <xf numFmtId="0" fontId="26" fillId="0" borderId="55" xfId="0" applyFont="1" applyBorder="1" applyAlignment="1">
      <alignment horizontal="center" vertical="center" wrapText="1"/>
    </xf>
    <xf numFmtId="0" fontId="30" fillId="28" borderId="2" xfId="0" applyFont="1" applyFill="1" applyBorder="1" applyAlignment="1">
      <alignment horizontal="center" vertical="center" wrapText="1"/>
    </xf>
    <xf numFmtId="0" fontId="30" fillId="28" borderId="12" xfId="0" applyFont="1" applyFill="1" applyBorder="1" applyAlignment="1">
      <alignment horizontal="center" vertical="center" wrapText="1"/>
    </xf>
    <xf numFmtId="164" fontId="30" fillId="28" borderId="2" xfId="0" applyNumberFormat="1" applyFont="1" applyFill="1" applyBorder="1" applyAlignment="1">
      <alignment horizontal="center" vertical="center" wrapText="1"/>
    </xf>
    <xf numFmtId="0" fontId="30" fillId="28" borderId="2" xfId="0" applyFont="1" applyFill="1" applyBorder="1" applyAlignment="1">
      <alignment horizontal="center" vertical="center"/>
    </xf>
    <xf numFmtId="0" fontId="30" fillId="28" borderId="56" xfId="0" applyFont="1" applyFill="1" applyBorder="1" applyAlignment="1">
      <alignment horizontal="center" vertical="center" wrapText="1"/>
    </xf>
    <xf numFmtId="164" fontId="32" fillId="16" borderId="39" xfId="0" applyNumberFormat="1" applyFont="1" applyFill="1" applyBorder="1" applyAlignment="1">
      <alignment horizontal="center" vertical="center" wrapText="1"/>
    </xf>
    <xf numFmtId="0" fontId="30" fillId="28" borderId="70" xfId="0" applyFont="1" applyFill="1" applyBorder="1" applyAlignment="1">
      <alignment horizontal="center" vertical="center" wrapText="1"/>
    </xf>
    <xf numFmtId="0" fontId="30" fillId="28" borderId="9" xfId="0" applyFont="1" applyFill="1" applyBorder="1" applyAlignment="1">
      <alignment horizontal="center" vertical="center" wrapText="1"/>
    </xf>
    <xf numFmtId="0" fontId="30" fillId="28" borderId="8" xfId="0" applyFont="1" applyFill="1" applyBorder="1" applyAlignment="1">
      <alignment horizontal="center" vertical="center" wrapText="1"/>
    </xf>
    <xf numFmtId="164" fontId="30" fillId="28" borderId="8" xfId="0" applyNumberFormat="1" applyFont="1" applyFill="1" applyBorder="1" applyAlignment="1">
      <alignment horizontal="center" vertical="center" wrapText="1"/>
    </xf>
    <xf numFmtId="0" fontId="28" fillId="4" borderId="101" xfId="0" applyFont="1" applyFill="1" applyBorder="1" applyAlignment="1">
      <alignment vertical="center" wrapText="1"/>
    </xf>
    <xf numFmtId="0" fontId="27" fillId="0" borderId="0" xfId="0" applyFont="1" applyAlignment="1">
      <alignment horizontal="left" vertical="center"/>
    </xf>
    <xf numFmtId="0" fontId="25" fillId="0" borderId="0" xfId="0" applyFont="1"/>
    <xf numFmtId="0" fontId="28" fillId="0" borderId="0" xfId="0" applyFont="1" applyAlignment="1">
      <alignment wrapText="1"/>
    </xf>
    <xf numFmtId="0" fontId="28" fillId="0" borderId="1" xfId="0" applyFont="1" applyBorder="1" applyAlignment="1">
      <alignment wrapText="1"/>
    </xf>
    <xf numFmtId="0" fontId="28" fillId="0" borderId="5" xfId="0" applyFont="1" applyBorder="1" applyAlignment="1">
      <alignment wrapText="1"/>
    </xf>
    <xf numFmtId="0" fontId="26" fillId="0" borderId="0" xfId="0" applyFont="1" applyAlignment="1">
      <alignment horizontal="right" wrapText="1"/>
    </xf>
    <xf numFmtId="0" fontId="26" fillId="2" borderId="2" xfId="0" applyFont="1" applyFill="1" applyBorder="1" applyAlignment="1">
      <alignment horizontal="center" vertical="center" wrapText="1"/>
    </xf>
    <xf numFmtId="0" fontId="26" fillId="2" borderId="8" xfId="0" applyFont="1" applyFill="1" applyBorder="1" applyAlignment="1">
      <alignment horizontal="center" vertical="center" wrapText="1"/>
    </xf>
    <xf numFmtId="0" fontId="26" fillId="0" borderId="3" xfId="0" applyFont="1" applyBorder="1" applyAlignment="1">
      <alignment horizontal="center" vertical="center" wrapText="1"/>
    </xf>
    <xf numFmtId="0" fontId="29" fillId="19" borderId="2" xfId="0" applyFont="1" applyFill="1" applyBorder="1" applyAlignment="1">
      <alignment horizontal="center" vertical="center" wrapText="1"/>
    </xf>
    <xf numFmtId="2" fontId="26" fillId="0" borderId="2" xfId="0" applyNumberFormat="1" applyFont="1" applyBorder="1" applyAlignment="1">
      <alignment horizontal="center" vertical="center" wrapText="1"/>
    </xf>
    <xf numFmtId="0" fontId="28" fillId="0" borderId="6" xfId="0" applyFont="1" applyBorder="1" applyAlignment="1">
      <alignment horizontal="center" wrapText="1"/>
    </xf>
    <xf numFmtId="0" fontId="28" fillId="0" borderId="3" xfId="0" applyFont="1" applyBorder="1" applyAlignment="1">
      <alignment wrapText="1"/>
    </xf>
    <xf numFmtId="0" fontId="29" fillId="30" borderId="2" xfId="0" applyFont="1" applyFill="1" applyBorder="1" applyAlignment="1">
      <alignment horizontal="center" vertical="center" wrapText="1"/>
    </xf>
    <xf numFmtId="0" fontId="29" fillId="17" borderId="2" xfId="0" applyFont="1" applyFill="1" applyBorder="1" applyAlignment="1">
      <alignment horizontal="center" vertical="center" wrapText="1"/>
    </xf>
    <xf numFmtId="0" fontId="29" fillId="31" borderId="2" xfId="0" applyFont="1" applyFill="1" applyBorder="1" applyAlignment="1">
      <alignment horizontal="center" vertical="center" wrapText="1"/>
    </xf>
    <xf numFmtId="0" fontId="29" fillId="27" borderId="2" xfId="0" applyFont="1" applyFill="1" applyBorder="1" applyAlignment="1">
      <alignment horizontal="center" vertical="center" wrapText="1"/>
    </xf>
    <xf numFmtId="0" fontId="29" fillId="28" borderId="2" xfId="0" applyFont="1" applyFill="1" applyBorder="1" applyAlignment="1">
      <alignment horizontal="center" vertical="center" wrapText="1"/>
    </xf>
    <xf numFmtId="0" fontId="34" fillId="0" borderId="2" xfId="0" applyFont="1" applyBorder="1" applyAlignment="1">
      <alignment horizontal="left" vertical="center" wrapText="1"/>
    </xf>
    <xf numFmtId="0" fontId="35" fillId="0" borderId="2" xfId="0" applyFont="1" applyBorder="1" applyAlignment="1">
      <alignment vertical="center" wrapText="1"/>
    </xf>
    <xf numFmtId="0" fontId="36" fillId="0" borderId="2" xfId="0" applyFont="1" applyBorder="1" applyAlignment="1">
      <alignment vertical="center" wrapText="1"/>
    </xf>
    <xf numFmtId="0" fontId="37" fillId="0" borderId="2" xfId="0" applyFont="1" applyBorder="1" applyAlignment="1">
      <alignment horizontal="left" vertical="center" wrapText="1"/>
    </xf>
    <xf numFmtId="0" fontId="38" fillId="0" borderId="2" xfId="0" applyFont="1" applyBorder="1" applyAlignment="1">
      <alignment vertical="center" wrapText="1"/>
    </xf>
    <xf numFmtId="2" fontId="12" fillId="0" borderId="160" xfId="0" applyNumberFormat="1" applyFont="1" applyBorder="1" applyAlignment="1">
      <alignment horizontal="center" wrapText="1"/>
    </xf>
    <xf numFmtId="2" fontId="12" fillId="0" borderId="18" xfId="0" applyNumberFormat="1" applyFont="1" applyBorder="1" applyAlignment="1">
      <alignment horizontal="center" wrapText="1"/>
    </xf>
    <xf numFmtId="0" fontId="26" fillId="13" borderId="28" xfId="0" applyFont="1" applyFill="1" applyBorder="1" applyAlignment="1">
      <alignment horizontal="center" vertical="center" wrapText="1"/>
    </xf>
    <xf numFmtId="0" fontId="28" fillId="12" borderId="131" xfId="0" applyFont="1" applyFill="1" applyBorder="1" applyAlignment="1">
      <alignment horizontal="center" vertical="center" wrapText="1"/>
    </xf>
    <xf numFmtId="0" fontId="28" fillId="12" borderId="0" xfId="0" applyFont="1" applyFill="1" applyAlignment="1">
      <alignment horizontal="center" vertical="center" wrapText="1"/>
    </xf>
    <xf numFmtId="0" fontId="28" fillId="12" borderId="18" xfId="0" applyFont="1" applyFill="1" applyBorder="1" applyAlignment="1">
      <alignment horizontal="center" vertical="center" wrapText="1"/>
    </xf>
    <xf numFmtId="0" fontId="30" fillId="21" borderId="11" xfId="0" applyFont="1" applyFill="1" applyBorder="1" applyAlignment="1">
      <alignment horizontal="center" vertical="center" wrapText="1"/>
    </xf>
    <xf numFmtId="0" fontId="30" fillId="21" borderId="13" xfId="0" applyFont="1" applyFill="1" applyBorder="1" applyAlignment="1">
      <alignment horizontal="center" vertical="center" wrapText="1"/>
    </xf>
    <xf numFmtId="0" fontId="30" fillId="21" borderId="56" xfId="0" applyFont="1" applyFill="1" applyBorder="1" applyAlignment="1">
      <alignment horizontal="center" vertical="center" wrapText="1"/>
    </xf>
    <xf numFmtId="0" fontId="28" fillId="4" borderId="10" xfId="0" applyFont="1" applyFill="1" applyBorder="1" applyAlignment="1">
      <alignment horizontal="center" vertical="center" wrapText="1"/>
    </xf>
    <xf numFmtId="0" fontId="28" fillId="4" borderId="1" xfId="0" applyFont="1" applyFill="1" applyBorder="1" applyAlignment="1">
      <alignment horizontal="center" vertical="center" wrapText="1"/>
    </xf>
    <xf numFmtId="0" fontId="28" fillId="4" borderId="37" xfId="0" applyFont="1" applyFill="1" applyBorder="1" applyAlignment="1">
      <alignment horizontal="center" vertical="center" wrapText="1"/>
    </xf>
    <xf numFmtId="0" fontId="28" fillId="4" borderId="38" xfId="0" applyFont="1" applyFill="1" applyBorder="1" applyAlignment="1">
      <alignment horizontal="center" vertical="center" wrapText="1"/>
    </xf>
    <xf numFmtId="0" fontId="30" fillId="32" borderId="11" xfId="0" applyFont="1" applyFill="1" applyBorder="1" applyAlignment="1">
      <alignment horizontal="center" vertical="center" wrapText="1"/>
    </xf>
    <xf numFmtId="0" fontId="30" fillId="32" borderId="13" xfId="0" applyFont="1" applyFill="1" applyBorder="1" applyAlignment="1">
      <alignment horizontal="center" vertical="center" wrapText="1"/>
    </xf>
    <xf numFmtId="0" fontId="30" fillId="32" borderId="56" xfId="0" applyFont="1" applyFill="1" applyBorder="1" applyAlignment="1">
      <alignment horizontal="center" vertical="center" wrapText="1"/>
    </xf>
    <xf numFmtId="0" fontId="28" fillId="4" borderId="11" xfId="0" applyFont="1" applyFill="1" applyBorder="1" applyAlignment="1">
      <alignment horizontal="center" vertical="center" wrapText="1"/>
    </xf>
    <xf numFmtId="0" fontId="30" fillId="34" borderId="11" xfId="0" applyFont="1" applyFill="1" applyBorder="1" applyAlignment="1">
      <alignment horizontal="center" vertical="center" wrapText="1"/>
    </xf>
    <xf numFmtId="0" fontId="30" fillId="34" borderId="56" xfId="0" applyFont="1" applyFill="1" applyBorder="1" applyAlignment="1">
      <alignment horizontal="center" vertical="center" wrapText="1"/>
    </xf>
    <xf numFmtId="0" fontId="30" fillId="34" borderId="10" xfId="0" applyFont="1" applyFill="1" applyBorder="1" applyAlignment="1">
      <alignment horizontal="center" vertical="center" wrapText="1"/>
    </xf>
    <xf numFmtId="0" fontId="30" fillId="36" borderId="11" xfId="0" applyFont="1" applyFill="1" applyBorder="1" applyAlignment="1">
      <alignment horizontal="center" vertical="center" wrapText="1"/>
    </xf>
    <xf numFmtId="0" fontId="30" fillId="36" borderId="11" xfId="0" applyFont="1" applyFill="1" applyBorder="1" applyAlignment="1">
      <alignment horizontal="left" vertical="center" wrapText="1"/>
    </xf>
    <xf numFmtId="0" fontId="30" fillId="36" borderId="56" xfId="0" applyFont="1" applyFill="1" applyBorder="1" applyAlignment="1">
      <alignment horizontal="center" vertical="center" wrapText="1"/>
    </xf>
    <xf numFmtId="0" fontId="30" fillId="36" borderId="10" xfId="0" applyFont="1" applyFill="1" applyBorder="1" applyAlignment="1">
      <alignment horizontal="left" vertical="center" wrapText="1"/>
    </xf>
    <xf numFmtId="0" fontId="30" fillId="38" borderId="11" xfId="0" applyFont="1" applyFill="1" applyBorder="1" applyAlignment="1">
      <alignment horizontal="center" vertical="center" wrapText="1"/>
    </xf>
    <xf numFmtId="0" fontId="30" fillId="38" borderId="11" xfId="0" applyFont="1" applyFill="1" applyBorder="1" applyAlignment="1">
      <alignment horizontal="left" vertical="center" wrapText="1"/>
    </xf>
    <xf numFmtId="0" fontId="30" fillId="38" borderId="56" xfId="0" applyFont="1" applyFill="1" applyBorder="1" applyAlignment="1">
      <alignment horizontal="center" vertical="center" wrapText="1"/>
    </xf>
    <xf numFmtId="0" fontId="30" fillId="38" borderId="10" xfId="0" applyFont="1" applyFill="1" applyBorder="1" applyAlignment="1">
      <alignment horizontal="left" vertical="center" wrapText="1"/>
    </xf>
    <xf numFmtId="0" fontId="26" fillId="0" borderId="0" xfId="0" applyFont="1" applyAlignment="1">
      <alignment horizontal="left" vertical="center"/>
    </xf>
    <xf numFmtId="0" fontId="26" fillId="0" borderId="0" xfId="0" applyFont="1" applyAlignment="1">
      <alignment vertical="center" wrapText="1"/>
    </xf>
    <xf numFmtId="0" fontId="28" fillId="0" borderId="0" xfId="0" applyFont="1" applyAlignment="1">
      <alignment horizontal="left" vertical="center"/>
    </xf>
    <xf numFmtId="0" fontId="26" fillId="13" borderId="27" xfId="0" applyFont="1" applyFill="1" applyBorder="1" applyAlignment="1">
      <alignment horizontal="left" vertical="center"/>
    </xf>
    <xf numFmtId="0" fontId="26" fillId="13" borderId="28" xfId="0" applyFont="1" applyFill="1" applyBorder="1" applyAlignment="1">
      <alignment vertical="center" wrapText="1"/>
    </xf>
    <xf numFmtId="0" fontId="26" fillId="13" borderId="29" xfId="0" applyFont="1" applyFill="1" applyBorder="1" applyAlignment="1">
      <alignment vertical="center" wrapText="1"/>
    </xf>
    <xf numFmtId="0" fontId="28" fillId="12" borderId="150" xfId="0" applyFont="1" applyFill="1" applyBorder="1" applyAlignment="1">
      <alignment horizontal="left" vertical="center"/>
    </xf>
    <xf numFmtId="0" fontId="28" fillId="12" borderId="131" xfId="0" applyFont="1" applyFill="1" applyBorder="1" applyAlignment="1">
      <alignment vertical="center" wrapText="1"/>
    </xf>
    <xf numFmtId="0" fontId="28" fillId="12" borderId="151" xfId="0" applyFont="1" applyFill="1" applyBorder="1" applyAlignment="1">
      <alignment vertical="center" wrapText="1"/>
    </xf>
    <xf numFmtId="0" fontId="28" fillId="12" borderId="15" xfId="0" applyFont="1" applyFill="1" applyBorder="1" applyAlignment="1">
      <alignment horizontal="left" vertical="center"/>
    </xf>
    <xf numFmtId="0" fontId="28" fillId="12" borderId="0" xfId="0" applyFont="1" applyFill="1" applyAlignment="1">
      <alignment vertical="center" wrapText="1"/>
    </xf>
    <xf numFmtId="0" fontId="28" fillId="12" borderId="16" xfId="0" applyFont="1" applyFill="1" applyBorder="1" applyAlignment="1">
      <alignment vertical="center" wrapText="1"/>
    </xf>
    <xf numFmtId="0" fontId="28" fillId="12" borderId="17" xfId="0" applyFont="1" applyFill="1" applyBorder="1" applyAlignment="1">
      <alignment horizontal="left" vertical="center"/>
    </xf>
    <xf numFmtId="0" fontId="28" fillId="12" borderId="18" xfId="0" applyFont="1" applyFill="1" applyBorder="1" applyAlignment="1">
      <alignment vertical="center" wrapText="1"/>
    </xf>
    <xf numFmtId="0" fontId="28" fillId="12" borderId="19" xfId="0" applyFont="1" applyFill="1" applyBorder="1" applyAlignment="1">
      <alignment vertical="center" wrapText="1"/>
    </xf>
    <xf numFmtId="0" fontId="28" fillId="0" borderId="154" xfId="0" applyFont="1" applyBorder="1" applyAlignment="1">
      <alignment horizontal="left" vertical="center" wrapText="1"/>
    </xf>
    <xf numFmtId="0" fontId="28" fillId="0" borderId="156" xfId="0" applyFont="1" applyBorder="1" applyAlignment="1">
      <alignment horizontal="left" vertical="center" wrapText="1"/>
    </xf>
    <xf numFmtId="14" fontId="28" fillId="0" borderId="156" xfId="0" applyNumberFormat="1" applyFont="1" applyBorder="1" applyAlignment="1">
      <alignment horizontal="left" vertical="center" wrapText="1"/>
    </xf>
    <xf numFmtId="0" fontId="28" fillId="0" borderId="158" xfId="0" applyFont="1" applyBorder="1" applyAlignment="1">
      <alignment horizontal="left" vertical="center" wrapText="1"/>
    </xf>
    <xf numFmtId="0" fontId="29" fillId="21" borderId="74" xfId="0" applyFont="1" applyFill="1" applyBorder="1" applyAlignment="1">
      <alignment vertical="center" wrapText="1"/>
    </xf>
    <xf numFmtId="0" fontId="30" fillId="21" borderId="106" xfId="0" applyFont="1" applyFill="1" applyBorder="1" applyAlignment="1">
      <alignment horizontal="center" vertical="center" wrapText="1"/>
    </xf>
    <xf numFmtId="0" fontId="30" fillId="21" borderId="4" xfId="0" applyFont="1" applyFill="1" applyBorder="1" applyAlignment="1">
      <alignment horizontal="center" vertical="center" wrapText="1"/>
    </xf>
    <xf numFmtId="0" fontId="30" fillId="21" borderId="115" xfId="0" applyFont="1" applyFill="1" applyBorder="1" applyAlignment="1">
      <alignment horizontal="center" vertical="center" wrapText="1"/>
    </xf>
    <xf numFmtId="164" fontId="30" fillId="21" borderId="115" xfId="0" applyNumberFormat="1" applyFont="1" applyFill="1" applyBorder="1" applyAlignment="1">
      <alignment horizontal="center" vertical="center" wrapText="1"/>
    </xf>
    <xf numFmtId="0" fontId="30" fillId="21" borderId="2" xfId="0" applyFont="1" applyFill="1" applyBorder="1" applyAlignment="1">
      <alignment horizontal="center" vertical="center"/>
    </xf>
    <xf numFmtId="0" fontId="30" fillId="21" borderId="2" xfId="0" applyFont="1" applyFill="1" applyBorder="1" applyAlignment="1">
      <alignment horizontal="center" vertical="center" wrapText="1"/>
    </xf>
    <xf numFmtId="0" fontId="30" fillId="21" borderId="123" xfId="0" applyFont="1" applyFill="1" applyBorder="1" applyAlignment="1">
      <alignment horizontal="center" vertical="center" wrapText="1"/>
    </xf>
    <xf numFmtId="164" fontId="30" fillId="21" borderId="123" xfId="0" applyNumberFormat="1" applyFont="1" applyFill="1" applyBorder="1" applyAlignment="1">
      <alignment horizontal="center" vertical="center" wrapText="1"/>
    </xf>
    <xf numFmtId="0" fontId="26" fillId="0" borderId="103" xfId="0" applyFont="1" applyBorder="1" applyAlignment="1">
      <alignment vertical="center" wrapText="1"/>
    </xf>
    <xf numFmtId="0" fontId="26" fillId="0" borderId="102" xfId="0" applyFont="1" applyBorder="1" applyAlignment="1">
      <alignment horizontal="center" vertical="center" wrapText="1"/>
    </xf>
    <xf numFmtId="0" fontId="26" fillId="0" borderId="101" xfId="0" applyFont="1" applyBorder="1" applyAlignment="1">
      <alignment horizontal="center" vertical="center" wrapText="1"/>
    </xf>
    <xf numFmtId="0" fontId="28" fillId="0" borderId="102" xfId="0" applyFont="1" applyBorder="1" applyAlignment="1">
      <alignment horizontal="center" vertical="center"/>
    </xf>
    <xf numFmtId="164" fontId="28" fillId="0" borderId="102" xfId="0" applyNumberFormat="1" applyFont="1" applyBorder="1" applyAlignment="1">
      <alignment horizontal="center" vertical="center"/>
    </xf>
    <xf numFmtId="0" fontId="26" fillId="0" borderId="116" xfId="0" applyFont="1" applyBorder="1" applyAlignment="1">
      <alignment horizontal="center" vertical="center" wrapText="1"/>
    </xf>
    <xf numFmtId="0" fontId="28" fillId="0" borderId="112" xfId="0" applyFont="1" applyBorder="1" applyAlignment="1">
      <alignment horizontal="center" vertical="center"/>
    </xf>
    <xf numFmtId="164" fontId="28" fillId="0" borderId="91" xfId="0" applyNumberFormat="1" applyFont="1" applyBorder="1" applyAlignment="1">
      <alignment horizontal="center" vertical="center"/>
    </xf>
    <xf numFmtId="0" fontId="28" fillId="0" borderId="145" xfId="0" applyFont="1" applyBorder="1" applyAlignment="1">
      <alignment horizontal="center" vertical="center"/>
    </xf>
    <xf numFmtId="164" fontId="28" fillId="0" borderId="102" xfId="0" applyNumberFormat="1" applyFont="1" applyBorder="1" applyAlignment="1">
      <alignment horizontal="center" vertical="center" wrapText="1"/>
    </xf>
    <xf numFmtId="0" fontId="28" fillId="0" borderId="132" xfId="0" applyFont="1" applyBorder="1" applyAlignment="1">
      <alignment horizontal="center" vertical="center"/>
    </xf>
    <xf numFmtId="164" fontId="28" fillId="0" borderId="91" xfId="0" applyNumberFormat="1" applyFont="1" applyBorder="1" applyAlignment="1">
      <alignment horizontal="center" vertical="center" wrapText="1"/>
    </xf>
    <xf numFmtId="164" fontId="28" fillId="0" borderId="141" xfId="0" applyNumberFormat="1" applyFont="1" applyBorder="1" applyAlignment="1">
      <alignment horizontal="center" vertical="center" wrapText="1"/>
    </xf>
    <xf numFmtId="0" fontId="28" fillId="0" borderId="146" xfId="0" applyFont="1" applyBorder="1" applyAlignment="1">
      <alignment horizontal="center" vertical="center"/>
    </xf>
    <xf numFmtId="0" fontId="26" fillId="0" borderId="104" xfId="0" applyFont="1" applyBorder="1" applyAlignment="1">
      <alignment vertical="center" wrapText="1"/>
    </xf>
    <xf numFmtId="0" fontId="26" fillId="0" borderId="114" xfId="0" applyFont="1" applyBorder="1" applyAlignment="1">
      <alignment horizontal="center" vertical="center" wrapText="1"/>
    </xf>
    <xf numFmtId="0" fontId="28" fillId="0" borderId="133" xfId="0" applyFont="1" applyBorder="1" applyAlignment="1">
      <alignment horizontal="center" vertical="center"/>
    </xf>
    <xf numFmtId="0" fontId="28" fillId="0" borderId="104" xfId="0" applyFont="1" applyBorder="1" applyAlignment="1">
      <alignment horizontal="center" vertical="center"/>
    </xf>
    <xf numFmtId="0" fontId="26" fillId="0" borderId="131" xfId="0" applyFont="1" applyBorder="1" applyAlignment="1">
      <alignment vertical="center" wrapText="1"/>
    </xf>
    <xf numFmtId="0" fontId="26" fillId="0" borderId="112" xfId="0" applyFont="1" applyBorder="1" applyAlignment="1">
      <alignment horizontal="center" vertical="center" wrapText="1"/>
    </xf>
    <xf numFmtId="0" fontId="28" fillId="0" borderId="113" xfId="0" applyFont="1" applyBorder="1" applyAlignment="1">
      <alignment horizontal="center" vertical="center"/>
    </xf>
    <xf numFmtId="164" fontId="28" fillId="0" borderId="112" xfId="0" applyNumberFormat="1" applyFont="1" applyBorder="1" applyAlignment="1">
      <alignment horizontal="center" vertical="center"/>
    </xf>
    <xf numFmtId="0" fontId="26" fillId="0" borderId="71" xfId="0" applyFont="1" applyBorder="1" applyAlignment="1">
      <alignment horizontal="center" vertical="center" wrapText="1"/>
    </xf>
    <xf numFmtId="0" fontId="28" fillId="0" borderId="143" xfId="0" applyFont="1" applyBorder="1" applyAlignment="1">
      <alignment horizontal="center" vertical="center"/>
    </xf>
    <xf numFmtId="164" fontId="28" fillId="0" borderId="147" xfId="0" applyNumberFormat="1" applyFont="1" applyBorder="1" applyAlignment="1">
      <alignment horizontal="center" vertical="center"/>
    </xf>
    <xf numFmtId="0" fontId="26" fillId="0" borderId="132" xfId="0" applyFont="1" applyBorder="1" applyAlignment="1">
      <alignment horizontal="center" vertical="center" wrapText="1"/>
    </xf>
    <xf numFmtId="164" fontId="28" fillId="0" borderId="69" xfId="0" applyNumberFormat="1" applyFont="1" applyBorder="1" applyAlignment="1">
      <alignment horizontal="center" vertical="center" wrapText="1"/>
    </xf>
    <xf numFmtId="164" fontId="28" fillId="0" borderId="109" xfId="0" applyNumberFormat="1" applyFont="1" applyBorder="1" applyAlignment="1">
      <alignment horizontal="center" vertical="center" wrapText="1"/>
    </xf>
    <xf numFmtId="0" fontId="26" fillId="0" borderId="133" xfId="0" applyFont="1" applyBorder="1" applyAlignment="1">
      <alignment horizontal="center" vertical="center" wrapText="1"/>
    </xf>
    <xf numFmtId="164" fontId="28" fillId="0" borderId="70" xfId="0" applyNumberFormat="1" applyFont="1" applyBorder="1" applyAlignment="1">
      <alignment horizontal="center" vertical="center" wrapText="1"/>
    </xf>
    <xf numFmtId="164" fontId="28" fillId="0" borderId="142" xfId="0" applyNumberFormat="1" applyFont="1" applyBorder="1" applyAlignment="1">
      <alignment horizontal="center" vertical="center" wrapText="1"/>
    </xf>
    <xf numFmtId="0" fontId="28" fillId="4" borderId="94" xfId="0" applyFont="1" applyFill="1" applyBorder="1" applyAlignment="1">
      <alignment vertical="center" wrapText="1"/>
    </xf>
    <xf numFmtId="0" fontId="30" fillId="21" borderId="10" xfId="0" applyFont="1" applyFill="1" applyBorder="1" applyAlignment="1">
      <alignment horizontal="center" vertical="center" wrapText="1"/>
    </xf>
    <xf numFmtId="0" fontId="30" fillId="21" borderId="9" xfId="0" applyFont="1" applyFill="1" applyBorder="1" applyAlignment="1">
      <alignment horizontal="center" vertical="center" wrapText="1"/>
    </xf>
    <xf numFmtId="0" fontId="30" fillId="21" borderId="8" xfId="0" applyFont="1" applyFill="1" applyBorder="1" applyAlignment="1">
      <alignment horizontal="center" vertical="center" wrapText="1"/>
    </xf>
    <xf numFmtId="0" fontId="30" fillId="21" borderId="6" xfId="0" applyFont="1" applyFill="1" applyBorder="1" applyAlignment="1">
      <alignment horizontal="center" vertical="center" wrapText="1"/>
    </xf>
    <xf numFmtId="164" fontId="30" fillId="21" borderId="6" xfId="0" applyNumberFormat="1" applyFont="1" applyFill="1" applyBorder="1" applyAlignment="1">
      <alignment horizontal="center" vertical="center" wrapText="1"/>
    </xf>
    <xf numFmtId="164" fontId="28" fillId="0" borderId="141" xfId="0" applyNumberFormat="1" applyFont="1" applyBorder="1" applyAlignment="1">
      <alignment horizontal="center" vertical="center"/>
    </xf>
    <xf numFmtId="0" fontId="28" fillId="4" borderId="44" xfId="0" applyFont="1" applyFill="1" applyBorder="1" applyAlignment="1">
      <alignment vertical="center" wrapText="1"/>
    </xf>
    <xf numFmtId="0" fontId="28" fillId="4" borderId="40" xfId="0" applyFont="1" applyFill="1" applyBorder="1" applyAlignment="1">
      <alignment vertical="center" wrapText="1"/>
    </xf>
    <xf numFmtId="0" fontId="28" fillId="0" borderId="111" xfId="0" applyFont="1" applyBorder="1" applyAlignment="1">
      <alignment horizontal="center" vertical="center"/>
    </xf>
    <xf numFmtId="164" fontId="28" fillId="0" borderId="112" xfId="0" applyNumberFormat="1" applyFont="1" applyBorder="1" applyAlignment="1">
      <alignment horizontal="center" vertical="center" wrapText="1"/>
    </xf>
    <xf numFmtId="0" fontId="28" fillId="0" borderId="4" xfId="0" applyFont="1" applyBorder="1" applyAlignment="1">
      <alignment horizontal="center" vertical="center"/>
    </xf>
    <xf numFmtId="164" fontId="28" fillId="0" borderId="53" xfId="0" applyNumberFormat="1" applyFont="1" applyBorder="1" applyAlignment="1">
      <alignment horizontal="center" vertical="center" wrapText="1"/>
    </xf>
    <xf numFmtId="164" fontId="28" fillId="0" borderId="147" xfId="0" applyNumberFormat="1" applyFont="1" applyBorder="1" applyAlignment="1">
      <alignment horizontal="center" vertical="center" wrapText="1"/>
    </xf>
    <xf numFmtId="0" fontId="30" fillId="21" borderId="7" xfId="0" applyFont="1" applyFill="1" applyBorder="1" applyAlignment="1">
      <alignment horizontal="center" vertical="center" wrapText="1"/>
    </xf>
    <xf numFmtId="164" fontId="30" fillId="21" borderId="8" xfId="0" applyNumberFormat="1" applyFont="1" applyFill="1" applyBorder="1" applyAlignment="1">
      <alignment horizontal="center" vertical="center" wrapText="1"/>
    </xf>
    <xf numFmtId="0" fontId="26" fillId="0" borderId="91" xfId="0" applyFont="1" applyBorder="1" applyAlignment="1">
      <alignment horizontal="center" vertical="center" wrapText="1"/>
    </xf>
    <xf numFmtId="0" fontId="26" fillId="0" borderId="134" xfId="0" applyFont="1" applyBorder="1" applyAlignment="1">
      <alignment horizontal="center" vertical="center" wrapText="1"/>
    </xf>
    <xf numFmtId="164" fontId="32" fillId="0" borderId="68" xfId="0" applyNumberFormat="1" applyFont="1" applyBorder="1" applyAlignment="1">
      <alignment horizontal="center" vertical="center"/>
    </xf>
    <xf numFmtId="0" fontId="28" fillId="0" borderId="139" xfId="0" applyFont="1" applyBorder="1" applyAlignment="1">
      <alignment horizontal="center" vertical="center"/>
    </xf>
    <xf numFmtId="164" fontId="32" fillId="0" borderId="91" xfId="0" applyNumberFormat="1" applyFont="1" applyBorder="1" applyAlignment="1">
      <alignment horizontal="center" vertical="center"/>
    </xf>
    <xf numFmtId="164" fontId="32" fillId="0" borderId="141" xfId="0" applyNumberFormat="1" applyFont="1" applyBorder="1" applyAlignment="1">
      <alignment horizontal="center" vertical="center"/>
    </xf>
    <xf numFmtId="0" fontId="26" fillId="0" borderId="105" xfId="0" applyFont="1" applyBorder="1" applyAlignment="1">
      <alignment horizontal="center" vertical="center" wrapText="1"/>
    </xf>
    <xf numFmtId="164" fontId="32" fillId="0" borderId="67" xfId="0" applyNumberFormat="1" applyFont="1" applyBorder="1" applyAlignment="1">
      <alignment horizontal="center" vertical="center" wrapText="1"/>
    </xf>
    <xf numFmtId="164" fontId="32" fillId="0" borderId="91" xfId="0" applyNumberFormat="1" applyFont="1" applyBorder="1" applyAlignment="1">
      <alignment horizontal="center" vertical="center" wrapText="1"/>
    </xf>
    <xf numFmtId="164" fontId="32" fillId="0" borderId="141" xfId="0" applyNumberFormat="1" applyFont="1" applyBorder="1" applyAlignment="1">
      <alignment horizontal="center" vertical="center" wrapText="1"/>
    </xf>
    <xf numFmtId="0" fontId="28" fillId="0" borderId="107" xfId="0" applyFont="1" applyBorder="1" applyAlignment="1">
      <alignment horizontal="center" vertical="center"/>
    </xf>
    <xf numFmtId="164" fontId="28" fillId="0" borderId="3" xfId="0" applyNumberFormat="1" applyFont="1" applyBorder="1" applyAlignment="1">
      <alignment horizontal="center" vertical="center" wrapText="1"/>
    </xf>
    <xf numFmtId="0" fontId="28" fillId="0" borderId="138" xfId="0" applyFont="1" applyBorder="1" applyAlignment="1">
      <alignment horizontal="center" vertical="center"/>
    </xf>
    <xf numFmtId="164" fontId="28" fillId="0" borderId="130" xfId="0" applyNumberFormat="1" applyFont="1" applyBorder="1" applyAlignment="1">
      <alignment horizontal="center" vertical="center" wrapText="1"/>
    </xf>
    <xf numFmtId="0" fontId="28" fillId="0" borderId="129" xfId="0" applyFont="1" applyBorder="1" applyAlignment="1">
      <alignment horizontal="center" vertical="center"/>
    </xf>
    <xf numFmtId="0" fontId="28" fillId="0" borderId="123" xfId="0" applyFont="1" applyBorder="1" applyAlignment="1">
      <alignment horizontal="center" vertical="center"/>
    </xf>
    <xf numFmtId="164" fontId="28" fillId="0" borderId="63" xfId="0" applyNumberFormat="1" applyFont="1" applyBorder="1" applyAlignment="1">
      <alignment horizontal="center" vertical="center" wrapText="1"/>
    </xf>
    <xf numFmtId="0" fontId="28" fillId="0" borderId="120" xfId="0" applyFont="1" applyBorder="1" applyAlignment="1">
      <alignment horizontal="center" vertical="center"/>
    </xf>
    <xf numFmtId="0" fontId="28" fillId="0" borderId="140" xfId="0" applyFont="1" applyBorder="1" applyAlignment="1">
      <alignment horizontal="center" vertical="center"/>
    </xf>
    <xf numFmtId="164" fontId="28" fillId="0" borderId="65" xfId="0" applyNumberFormat="1" applyFont="1" applyBorder="1" applyAlignment="1">
      <alignment horizontal="center" vertical="center" wrapText="1"/>
    </xf>
    <xf numFmtId="0" fontId="28" fillId="0" borderId="127" xfId="0" applyFont="1" applyBorder="1" applyAlignment="1">
      <alignment horizontal="center" vertical="center"/>
    </xf>
    <xf numFmtId="0" fontId="29" fillId="32" borderId="1" xfId="0" applyFont="1" applyFill="1" applyBorder="1" applyAlignment="1">
      <alignment vertical="center" wrapText="1"/>
    </xf>
    <xf numFmtId="0" fontId="30" fillId="32" borderId="135" xfId="0" applyFont="1" applyFill="1" applyBorder="1" applyAlignment="1">
      <alignment horizontal="center" vertical="center" wrapText="1"/>
    </xf>
    <xf numFmtId="0" fontId="30" fillId="32" borderId="2" xfId="0" applyFont="1" applyFill="1" applyBorder="1" applyAlignment="1">
      <alignment horizontal="center" vertical="center" wrapText="1"/>
    </xf>
    <xf numFmtId="164" fontId="30" fillId="32" borderId="2" xfId="0" applyNumberFormat="1" applyFont="1" applyFill="1" applyBorder="1" applyAlignment="1">
      <alignment horizontal="center" vertical="center" wrapText="1"/>
    </xf>
    <xf numFmtId="0" fontId="30" fillId="32" borderId="2" xfId="0" applyFont="1" applyFill="1" applyBorder="1" applyAlignment="1">
      <alignment horizontal="center" vertical="center"/>
    </xf>
    <xf numFmtId="0" fontId="30" fillId="32" borderId="123" xfId="0" applyFont="1" applyFill="1" applyBorder="1" applyAlignment="1">
      <alignment horizontal="center" vertical="center" wrapText="1"/>
    </xf>
    <xf numFmtId="164" fontId="30" fillId="32" borderId="123" xfId="0" applyNumberFormat="1" applyFont="1" applyFill="1" applyBorder="1" applyAlignment="1">
      <alignment horizontal="center" vertical="center" wrapText="1"/>
    </xf>
    <xf numFmtId="0" fontId="26" fillId="0" borderId="135" xfId="0" applyFont="1" applyBorder="1" applyAlignment="1">
      <alignment horizontal="center" vertical="center" wrapText="1"/>
    </xf>
    <xf numFmtId="164" fontId="32" fillId="0" borderId="125" xfId="0" applyNumberFormat="1" applyFont="1" applyBorder="1" applyAlignment="1">
      <alignment horizontal="center" vertical="center"/>
    </xf>
    <xf numFmtId="164" fontId="32" fillId="0" borderId="147" xfId="0" applyNumberFormat="1" applyFont="1" applyBorder="1" applyAlignment="1">
      <alignment horizontal="center" vertical="center"/>
    </xf>
    <xf numFmtId="164" fontId="32" fillId="0" borderId="126" xfId="0" applyNumberFormat="1" applyFont="1" applyBorder="1" applyAlignment="1">
      <alignment horizontal="center" vertical="center"/>
    </xf>
    <xf numFmtId="164" fontId="32" fillId="0" borderId="148" xfId="0" applyNumberFormat="1" applyFont="1" applyBorder="1" applyAlignment="1">
      <alignment horizontal="center" vertical="center"/>
    </xf>
    <xf numFmtId="0" fontId="28" fillId="0" borderId="100" xfId="0" applyFont="1" applyBorder="1" applyAlignment="1">
      <alignment horizontal="center" vertical="center"/>
    </xf>
    <xf numFmtId="164" fontId="32" fillId="0" borderId="118" xfId="0" applyNumberFormat="1" applyFont="1" applyBorder="1" applyAlignment="1">
      <alignment horizontal="center" vertical="center"/>
    </xf>
    <xf numFmtId="164" fontId="32" fillId="0" borderId="128" xfId="0" applyNumberFormat="1" applyFont="1" applyBorder="1" applyAlignment="1">
      <alignment horizontal="center" vertical="center"/>
    </xf>
    <xf numFmtId="164" fontId="32" fillId="0" borderId="149" xfId="0" applyNumberFormat="1" applyFont="1" applyBorder="1" applyAlignment="1">
      <alignment horizontal="center" vertical="center"/>
    </xf>
    <xf numFmtId="0" fontId="28" fillId="0" borderId="119" xfId="0" applyFont="1" applyBorder="1" applyAlignment="1">
      <alignment horizontal="center" vertical="center"/>
    </xf>
    <xf numFmtId="164" fontId="28" fillId="0" borderId="64" xfId="0" applyNumberFormat="1" applyFont="1" applyBorder="1" applyAlignment="1">
      <alignment horizontal="center" vertical="center" wrapText="1"/>
    </xf>
    <xf numFmtId="0" fontId="26" fillId="0" borderId="136" xfId="0" applyFont="1" applyBorder="1" applyAlignment="1">
      <alignment horizontal="center" vertical="center" wrapText="1"/>
    </xf>
    <xf numFmtId="0" fontId="28" fillId="0" borderId="121" xfId="0" applyFont="1" applyBorder="1" applyAlignment="1">
      <alignment horizontal="center" vertical="center"/>
    </xf>
    <xf numFmtId="0" fontId="30" fillId="32" borderId="10" xfId="0" applyFont="1" applyFill="1" applyBorder="1" applyAlignment="1">
      <alignment horizontal="center" vertical="center" wrapText="1"/>
    </xf>
    <xf numFmtId="0" fontId="30" fillId="32" borderId="7" xfId="0" applyFont="1" applyFill="1" applyBorder="1" applyAlignment="1">
      <alignment horizontal="center" vertical="center" wrapText="1"/>
    </xf>
    <xf numFmtId="0" fontId="30" fillId="32" borderId="8" xfId="0" applyFont="1" applyFill="1" applyBorder="1" applyAlignment="1">
      <alignment horizontal="center" vertical="center" wrapText="1"/>
    </xf>
    <xf numFmtId="0" fontId="30" fillId="32" borderId="6" xfId="0" applyFont="1" applyFill="1" applyBorder="1" applyAlignment="1">
      <alignment horizontal="center" vertical="center" wrapText="1"/>
    </xf>
    <xf numFmtId="164" fontId="30" fillId="32" borderId="6" xfId="0" applyNumberFormat="1" applyFont="1" applyFill="1" applyBorder="1" applyAlignment="1">
      <alignment horizontal="center" vertical="center" wrapText="1"/>
    </xf>
    <xf numFmtId="164" fontId="28" fillId="0" borderId="124" xfId="0" applyNumberFormat="1" applyFont="1" applyBorder="1" applyAlignment="1">
      <alignment horizontal="center" vertical="center" wrapText="1"/>
    </xf>
    <xf numFmtId="0" fontId="28" fillId="4" borderId="114" xfId="0" applyFont="1" applyFill="1" applyBorder="1" applyAlignment="1">
      <alignment vertical="center" wrapText="1"/>
    </xf>
    <xf numFmtId="0" fontId="28" fillId="4" borderId="142" xfId="0" applyFont="1" applyFill="1" applyBorder="1" applyAlignment="1">
      <alignment vertical="center" wrapText="1"/>
    </xf>
    <xf numFmtId="0" fontId="28" fillId="0" borderId="137" xfId="0" applyFont="1" applyBorder="1" applyAlignment="1">
      <alignment horizontal="center" vertical="center"/>
    </xf>
    <xf numFmtId="0" fontId="28" fillId="0" borderId="135" xfId="0" applyFont="1" applyBorder="1" applyAlignment="1">
      <alignment horizontal="center" vertical="center"/>
    </xf>
    <xf numFmtId="0" fontId="28" fillId="0" borderId="134" xfId="0" applyFont="1" applyBorder="1" applyAlignment="1">
      <alignment horizontal="center" vertical="center"/>
    </xf>
    <xf numFmtId="0" fontId="30" fillId="34" borderId="1" xfId="0" applyFont="1" applyFill="1" applyBorder="1" applyAlignment="1">
      <alignment vertical="center" wrapText="1"/>
    </xf>
    <xf numFmtId="0" fontId="30" fillId="34" borderId="135" xfId="0" applyFont="1" applyFill="1" applyBorder="1" applyAlignment="1">
      <alignment horizontal="center" vertical="center" wrapText="1"/>
    </xf>
    <xf numFmtId="0" fontId="30" fillId="34" borderId="2" xfId="0" applyFont="1" applyFill="1" applyBorder="1" applyAlignment="1">
      <alignment horizontal="center" vertical="center" wrapText="1"/>
    </xf>
    <xf numFmtId="0" fontId="30" fillId="34" borderId="123" xfId="0" applyFont="1" applyFill="1" applyBorder="1" applyAlignment="1">
      <alignment horizontal="center" vertical="center" wrapText="1"/>
    </xf>
    <xf numFmtId="164" fontId="30" fillId="34" borderId="123" xfId="0" applyNumberFormat="1" applyFont="1" applyFill="1" applyBorder="1" applyAlignment="1">
      <alignment horizontal="center" vertical="center" wrapText="1"/>
    </xf>
    <xf numFmtId="0" fontId="30" fillId="34" borderId="2" xfId="0" applyFont="1" applyFill="1" applyBorder="1" applyAlignment="1">
      <alignment horizontal="center" vertical="center"/>
    </xf>
    <xf numFmtId="0" fontId="26" fillId="0" borderId="122" xfId="0" applyFont="1" applyBorder="1" applyAlignment="1">
      <alignment horizontal="center" vertical="center" wrapText="1"/>
    </xf>
    <xf numFmtId="0" fontId="30" fillId="34" borderId="7" xfId="0" applyFont="1" applyFill="1" applyBorder="1" applyAlignment="1">
      <alignment horizontal="center" vertical="center" wrapText="1"/>
    </xf>
    <xf numFmtId="0" fontId="30" fillId="34" borderId="8" xfId="0" applyFont="1" applyFill="1" applyBorder="1" applyAlignment="1">
      <alignment horizontal="center" vertical="center" wrapText="1"/>
    </xf>
    <xf numFmtId="0" fontId="30" fillId="34" borderId="6" xfId="0" applyFont="1" applyFill="1" applyBorder="1" applyAlignment="1">
      <alignment horizontal="center" vertical="center" wrapText="1"/>
    </xf>
    <xf numFmtId="164" fontId="30" fillId="34" borderId="6" xfId="0" applyNumberFormat="1" applyFont="1" applyFill="1" applyBorder="1" applyAlignment="1">
      <alignment horizontal="center" vertical="center" wrapText="1"/>
    </xf>
    <xf numFmtId="164" fontId="30" fillId="34" borderId="8" xfId="0" applyNumberFormat="1" applyFont="1" applyFill="1" applyBorder="1" applyAlignment="1">
      <alignment horizontal="center" vertical="center" wrapText="1"/>
    </xf>
    <xf numFmtId="0" fontId="29" fillId="36" borderId="1" xfId="0" applyFont="1" applyFill="1" applyBorder="1" applyAlignment="1">
      <alignment vertical="center" wrapText="1"/>
    </xf>
    <xf numFmtId="0" fontId="30" fillId="36" borderId="135" xfId="0" applyFont="1" applyFill="1" applyBorder="1" applyAlignment="1">
      <alignment horizontal="center" vertical="center" wrapText="1"/>
    </xf>
    <xf numFmtId="0" fontId="30" fillId="36" borderId="2" xfId="0" applyFont="1" applyFill="1" applyBorder="1" applyAlignment="1">
      <alignment horizontal="center" vertical="center" wrapText="1"/>
    </xf>
    <xf numFmtId="0" fontId="30" fillId="36" borderId="123" xfId="0" applyFont="1" applyFill="1" applyBorder="1" applyAlignment="1">
      <alignment horizontal="center" vertical="center" wrapText="1"/>
    </xf>
    <xf numFmtId="164" fontId="30" fillId="36" borderId="123" xfId="0" applyNumberFormat="1" applyFont="1" applyFill="1" applyBorder="1" applyAlignment="1">
      <alignment horizontal="center" vertical="center" wrapText="1"/>
    </xf>
    <xf numFmtId="0" fontId="30" fillId="36" borderId="2" xfId="0" applyFont="1" applyFill="1" applyBorder="1" applyAlignment="1">
      <alignment horizontal="center" vertical="center"/>
    </xf>
    <xf numFmtId="0" fontId="30" fillId="36" borderId="7" xfId="0" applyFont="1" applyFill="1" applyBorder="1" applyAlignment="1">
      <alignment horizontal="center" vertical="center" wrapText="1"/>
    </xf>
    <xf numFmtId="0" fontId="30" fillId="36" borderId="8" xfId="0" applyFont="1" applyFill="1" applyBorder="1" applyAlignment="1">
      <alignment horizontal="center" vertical="center" wrapText="1"/>
    </xf>
    <xf numFmtId="0" fontId="30" fillId="36" borderId="6" xfId="0" applyFont="1" applyFill="1" applyBorder="1" applyAlignment="1">
      <alignment horizontal="center" vertical="center" wrapText="1"/>
    </xf>
    <xf numFmtId="164" fontId="30" fillId="36" borderId="6" xfId="0" applyNumberFormat="1" applyFont="1" applyFill="1" applyBorder="1" applyAlignment="1">
      <alignment horizontal="center" vertical="center" wrapText="1"/>
    </xf>
    <xf numFmtId="0" fontId="29" fillId="38" borderId="1" xfId="0" applyFont="1" applyFill="1" applyBorder="1" applyAlignment="1">
      <alignment vertical="center" wrapText="1"/>
    </xf>
    <xf numFmtId="0" fontId="26" fillId="38" borderId="135" xfId="0" applyFont="1" applyFill="1" applyBorder="1" applyAlignment="1">
      <alignment horizontal="center" vertical="center" wrapText="1"/>
    </xf>
    <xf numFmtId="0" fontId="30" fillId="38" borderId="2" xfId="0" applyFont="1" applyFill="1" applyBorder="1" applyAlignment="1">
      <alignment horizontal="center" vertical="center" wrapText="1"/>
    </xf>
    <xf numFmtId="0" fontId="26" fillId="38" borderId="123" xfId="0" applyFont="1" applyFill="1" applyBorder="1" applyAlignment="1">
      <alignment horizontal="center" vertical="center" wrapText="1"/>
    </xf>
    <xf numFmtId="164" fontId="26" fillId="38" borderId="123" xfId="0" applyNumberFormat="1" applyFont="1" applyFill="1" applyBorder="1" applyAlignment="1">
      <alignment horizontal="center" vertical="center" wrapText="1"/>
    </xf>
    <xf numFmtId="0" fontId="30" fillId="38" borderId="2" xfId="0" applyFont="1" applyFill="1" applyBorder="1" applyAlignment="1">
      <alignment horizontal="center" vertical="center"/>
    </xf>
    <xf numFmtId="0" fontId="30" fillId="38" borderId="7" xfId="0" applyFont="1" applyFill="1" applyBorder="1" applyAlignment="1">
      <alignment horizontal="center" vertical="center" wrapText="1"/>
    </xf>
    <xf numFmtId="0" fontId="30" fillId="38" borderId="8" xfId="0" applyFont="1" applyFill="1" applyBorder="1" applyAlignment="1">
      <alignment horizontal="center" vertical="center" wrapText="1"/>
    </xf>
    <xf numFmtId="0" fontId="30" fillId="38" borderId="6" xfId="0" applyFont="1" applyFill="1" applyBorder="1" applyAlignment="1">
      <alignment horizontal="center" vertical="center" wrapText="1"/>
    </xf>
    <xf numFmtId="164" fontId="30" fillId="38" borderId="6" xfId="0" applyNumberFormat="1" applyFont="1" applyFill="1" applyBorder="1" applyAlignment="1">
      <alignment horizontal="center" vertical="center" wrapText="1"/>
    </xf>
    <xf numFmtId="164" fontId="30" fillId="38" borderId="8" xfId="0" applyNumberFormat="1" applyFont="1" applyFill="1" applyBorder="1" applyAlignment="1">
      <alignment horizontal="center" vertical="center" wrapText="1"/>
    </xf>
    <xf numFmtId="164" fontId="32" fillId="0" borderId="117" xfId="0" applyNumberFormat="1" applyFont="1" applyBorder="1" applyAlignment="1">
      <alignment horizontal="center" vertical="center"/>
    </xf>
    <xf numFmtId="0" fontId="28" fillId="0" borderId="108" xfId="0" applyFont="1" applyBorder="1" applyAlignment="1">
      <alignment horizontal="center" vertical="center"/>
    </xf>
    <xf numFmtId="0" fontId="30" fillId="34" borderId="159" xfId="0" applyFont="1" applyFill="1" applyBorder="1" applyAlignment="1">
      <alignment horizontal="center" vertical="center" wrapText="1"/>
    </xf>
    <xf numFmtId="0" fontId="30" fillId="36" borderId="159" xfId="0" applyFont="1" applyFill="1" applyBorder="1" applyAlignment="1">
      <alignment horizontal="center" vertical="center" wrapText="1"/>
    </xf>
    <xf numFmtId="0" fontId="30" fillId="38" borderId="159" xfId="0" applyFont="1" applyFill="1" applyBorder="1" applyAlignment="1">
      <alignment horizontal="center" vertical="center" wrapText="1"/>
    </xf>
    <xf numFmtId="0" fontId="31" fillId="40" borderId="31" xfId="0" applyFont="1" applyFill="1" applyBorder="1" applyAlignment="1">
      <alignment horizontal="right" vertical="center" wrapText="1"/>
    </xf>
    <xf numFmtId="0" fontId="28" fillId="40" borderId="50" xfId="0" applyFont="1" applyFill="1" applyBorder="1" applyAlignment="1">
      <alignment vertical="center" wrapText="1"/>
    </xf>
    <xf numFmtId="0" fontId="28" fillId="40" borderId="50" xfId="0" applyFont="1" applyFill="1" applyBorder="1" applyAlignment="1">
      <alignment horizontal="center" vertical="center" wrapText="1"/>
    </xf>
    <xf numFmtId="0" fontId="26" fillId="40" borderId="33" xfId="0" applyFont="1" applyFill="1" applyBorder="1" applyAlignment="1">
      <alignment horizontal="center" vertical="center" wrapText="1"/>
    </xf>
    <xf numFmtId="0" fontId="26" fillId="40" borderId="35" xfId="0" applyFont="1" applyFill="1" applyBorder="1" applyAlignment="1">
      <alignment horizontal="center" vertical="center" wrapText="1"/>
    </xf>
    <xf numFmtId="0" fontId="28" fillId="40" borderId="32" xfId="0" applyFont="1" applyFill="1" applyBorder="1" applyAlignment="1">
      <alignment vertical="center" wrapText="1"/>
    </xf>
    <xf numFmtId="0" fontId="28" fillId="40" borderId="32" xfId="0" applyFont="1" applyFill="1" applyBorder="1" applyAlignment="1">
      <alignment horizontal="center" vertical="center" wrapText="1"/>
    </xf>
    <xf numFmtId="0" fontId="26" fillId="40" borderId="6" xfId="0" applyFont="1" applyFill="1" applyBorder="1" applyAlignment="1">
      <alignment horizontal="center" vertical="center" wrapText="1"/>
    </xf>
    <xf numFmtId="0" fontId="31" fillId="41" borderId="31" xfId="0" applyFont="1" applyFill="1" applyBorder="1" applyAlignment="1">
      <alignment horizontal="right" vertical="center" wrapText="1"/>
    </xf>
    <xf numFmtId="0" fontId="28" fillId="41" borderId="50" xfId="0" applyFont="1" applyFill="1" applyBorder="1" applyAlignment="1">
      <alignment vertical="center" wrapText="1"/>
    </xf>
    <xf numFmtId="0" fontId="28" fillId="41" borderId="50" xfId="0" applyFont="1" applyFill="1" applyBorder="1" applyAlignment="1">
      <alignment horizontal="center" vertical="center" wrapText="1"/>
    </xf>
    <xf numFmtId="0" fontId="26" fillId="41" borderId="35" xfId="0" applyFont="1" applyFill="1" applyBorder="1" applyAlignment="1">
      <alignment horizontal="center" vertical="center" wrapText="1"/>
    </xf>
    <xf numFmtId="0" fontId="28" fillId="41" borderId="32" xfId="0" applyFont="1" applyFill="1" applyBorder="1" applyAlignment="1">
      <alignment vertical="center" wrapText="1"/>
    </xf>
    <xf numFmtId="0" fontId="28" fillId="41" borderId="32" xfId="0" applyFont="1" applyFill="1" applyBorder="1" applyAlignment="1">
      <alignment horizontal="center" vertical="center" wrapText="1"/>
    </xf>
    <xf numFmtId="0" fontId="26" fillId="41" borderId="6" xfId="0" applyFont="1" applyFill="1" applyBorder="1" applyAlignment="1">
      <alignment horizontal="center" vertical="center" wrapText="1"/>
    </xf>
    <xf numFmtId="0" fontId="31" fillId="42" borderId="31" xfId="0" applyFont="1" applyFill="1" applyBorder="1" applyAlignment="1">
      <alignment horizontal="right" vertical="center" wrapText="1"/>
    </xf>
    <xf numFmtId="0" fontId="28" fillId="42" borderId="50" xfId="0" applyFont="1" applyFill="1" applyBorder="1" applyAlignment="1">
      <alignment vertical="center" wrapText="1"/>
    </xf>
    <xf numFmtId="0" fontId="28" fillId="42" borderId="50" xfId="0" applyFont="1" applyFill="1" applyBorder="1" applyAlignment="1">
      <alignment horizontal="center" vertical="center" wrapText="1"/>
    </xf>
    <xf numFmtId="0" fontId="28" fillId="42" borderId="49" xfId="0" applyFont="1" applyFill="1" applyBorder="1" applyAlignment="1">
      <alignment vertical="center" wrapText="1"/>
    </xf>
    <xf numFmtId="0" fontId="26" fillId="42" borderId="49" xfId="0" applyFont="1" applyFill="1" applyBorder="1" applyAlignment="1">
      <alignment horizontal="center" vertical="center" wrapText="1"/>
    </xf>
    <xf numFmtId="0" fontId="28" fillId="42" borderId="32" xfId="0" applyFont="1" applyFill="1" applyBorder="1" applyAlignment="1">
      <alignment vertical="center" wrapText="1"/>
    </xf>
    <xf numFmtId="0" fontId="26" fillId="42" borderId="35" xfId="0" applyFont="1" applyFill="1" applyBorder="1" applyAlignment="1">
      <alignment horizontal="center" vertical="center" wrapText="1"/>
    </xf>
    <xf numFmtId="0" fontId="28" fillId="42" borderId="32" xfId="0" applyFont="1" applyFill="1" applyBorder="1" applyAlignment="1">
      <alignment horizontal="center" vertical="center" wrapText="1"/>
    </xf>
    <xf numFmtId="0" fontId="26" fillId="42" borderId="33" xfId="0" applyFont="1" applyFill="1" applyBorder="1" applyAlignment="1">
      <alignment horizontal="center" vertical="center" wrapText="1"/>
    </xf>
    <xf numFmtId="0" fontId="31" fillId="43" borderId="31" xfId="0" applyFont="1" applyFill="1" applyBorder="1" applyAlignment="1">
      <alignment horizontal="right" vertical="center" wrapText="1"/>
    </xf>
    <xf numFmtId="0" fontId="28" fillId="43" borderId="50" xfId="0" applyFont="1" applyFill="1" applyBorder="1" applyAlignment="1">
      <alignment vertical="center" wrapText="1"/>
    </xf>
    <xf numFmtId="0" fontId="28" fillId="43" borderId="50" xfId="0" applyFont="1" applyFill="1" applyBorder="1" applyAlignment="1">
      <alignment horizontal="center" vertical="center" wrapText="1"/>
    </xf>
    <xf numFmtId="0" fontId="26" fillId="43" borderId="35" xfId="0" applyFont="1" applyFill="1" applyBorder="1" applyAlignment="1">
      <alignment horizontal="center" vertical="center" wrapText="1"/>
    </xf>
    <xf numFmtId="0" fontId="28" fillId="43" borderId="32" xfId="0" applyFont="1" applyFill="1" applyBorder="1" applyAlignment="1">
      <alignment vertical="center" wrapText="1"/>
    </xf>
    <xf numFmtId="0" fontId="31" fillId="44" borderId="31" xfId="0" applyFont="1" applyFill="1" applyBorder="1" applyAlignment="1">
      <alignment horizontal="right" vertical="center" wrapText="1"/>
    </xf>
    <xf numFmtId="0" fontId="28" fillId="44" borderId="50" xfId="0" applyFont="1" applyFill="1" applyBorder="1" applyAlignment="1">
      <alignment vertical="center" wrapText="1"/>
    </xf>
    <xf numFmtId="0" fontId="28" fillId="44" borderId="50" xfId="0" applyFont="1" applyFill="1" applyBorder="1" applyAlignment="1">
      <alignment horizontal="center" vertical="center" wrapText="1"/>
    </xf>
    <xf numFmtId="0" fontId="26" fillId="44" borderId="49" xfId="0" applyFont="1" applyFill="1" applyBorder="1" applyAlignment="1">
      <alignment horizontal="center" vertical="center" wrapText="1"/>
    </xf>
    <xf numFmtId="0" fontId="26" fillId="44" borderId="33" xfId="0" applyFont="1" applyFill="1" applyBorder="1" applyAlignment="1">
      <alignment horizontal="center" vertical="center" wrapText="1"/>
    </xf>
    <xf numFmtId="0" fontId="28" fillId="44" borderId="32" xfId="0" applyFont="1" applyFill="1" applyBorder="1" applyAlignment="1">
      <alignment vertical="center" wrapText="1"/>
    </xf>
    <xf numFmtId="0" fontId="31" fillId="44" borderId="54" xfId="0" applyFont="1" applyFill="1" applyBorder="1" applyAlignment="1">
      <alignment horizontal="right" vertical="center" wrapText="1"/>
    </xf>
    <xf numFmtId="2" fontId="26" fillId="0" borderId="0" xfId="0" applyNumberFormat="1" applyFont="1" applyAlignment="1">
      <alignment horizontal="center" vertical="center" wrapText="1"/>
    </xf>
    <xf numFmtId="164" fontId="32" fillId="16" borderId="163" xfId="0" applyNumberFormat="1" applyFont="1" applyFill="1" applyBorder="1" applyAlignment="1">
      <alignment horizontal="center" vertical="center" wrapText="1"/>
    </xf>
    <xf numFmtId="164" fontId="32" fillId="0" borderId="113" xfId="0" applyNumberFormat="1" applyFont="1" applyBorder="1" applyAlignment="1">
      <alignment horizontal="center" vertical="center"/>
    </xf>
    <xf numFmtId="164" fontId="28" fillId="3" borderId="3" xfId="0" applyNumberFormat="1" applyFont="1" applyFill="1" applyBorder="1" applyAlignment="1">
      <alignment horizontal="center" vertical="center" wrapText="1"/>
    </xf>
    <xf numFmtId="0" fontId="28" fillId="4" borderId="7" xfId="0" applyFont="1" applyFill="1" applyBorder="1" applyAlignment="1">
      <alignment vertical="center" wrapText="1"/>
    </xf>
    <xf numFmtId="164" fontId="28" fillId="3" borderId="165" xfId="0" applyNumberFormat="1" applyFont="1" applyFill="1" applyBorder="1" applyAlignment="1">
      <alignment horizontal="center" vertical="center" wrapText="1"/>
    </xf>
    <xf numFmtId="164" fontId="32" fillId="16" borderId="163" xfId="0" applyNumberFormat="1" applyFont="1" applyFill="1" applyBorder="1" applyAlignment="1">
      <alignment horizontal="center" vertical="center"/>
    </xf>
    <xf numFmtId="0" fontId="30" fillId="24" borderId="6" xfId="0" applyFont="1" applyFill="1" applyBorder="1" applyAlignment="1">
      <alignment horizontal="center" vertical="center"/>
    </xf>
    <xf numFmtId="0" fontId="28" fillId="4" borderId="95" xfId="0" applyFont="1" applyFill="1" applyBorder="1" applyAlignment="1">
      <alignment vertical="center" wrapText="1"/>
    </xf>
    <xf numFmtId="0" fontId="30" fillId="24" borderId="168" xfId="0" applyFont="1" applyFill="1" applyBorder="1" applyAlignment="1">
      <alignment horizontal="center" vertical="center"/>
    </xf>
    <xf numFmtId="164" fontId="28" fillId="3" borderId="113" xfId="0" applyNumberFormat="1" applyFont="1" applyFill="1" applyBorder="1" applyAlignment="1">
      <alignment horizontal="center" vertical="center" wrapText="1"/>
    </xf>
    <xf numFmtId="0" fontId="30" fillId="26" borderId="6" xfId="0" applyFont="1" applyFill="1" applyBorder="1" applyAlignment="1">
      <alignment horizontal="center" vertical="center"/>
    </xf>
    <xf numFmtId="0" fontId="30" fillId="26" borderId="166" xfId="0" applyFont="1" applyFill="1" applyBorder="1" applyAlignment="1">
      <alignment horizontal="center" vertical="center"/>
    </xf>
    <xf numFmtId="0" fontId="11" fillId="18" borderId="0" xfId="0" applyFont="1" applyFill="1" applyAlignment="1">
      <alignment horizontal="center" vertical="center" wrapText="1"/>
    </xf>
    <xf numFmtId="0" fontId="10" fillId="0" borderId="0" xfId="0" applyFont="1" applyAlignment="1">
      <alignment horizontal="center"/>
    </xf>
    <xf numFmtId="0" fontId="32" fillId="0" borderId="152" xfId="0" applyFont="1" applyBorder="1" applyAlignment="1">
      <alignment horizontal="left" vertical="center"/>
    </xf>
    <xf numFmtId="0" fontId="0" fillId="0" borderId="70" xfId="0" applyBorder="1"/>
    <xf numFmtId="0" fontId="28" fillId="0" borderId="166" xfId="0" applyFont="1" applyBorder="1" applyAlignment="1">
      <alignment horizontal="left" vertical="center"/>
    </xf>
    <xf numFmtId="0" fontId="0" fillId="0" borderId="166" xfId="0" applyBorder="1"/>
    <xf numFmtId="0" fontId="30" fillId="21" borderId="122" xfId="0" applyFont="1" applyFill="1" applyBorder="1" applyAlignment="1">
      <alignment horizontal="center" vertical="center" wrapText="1"/>
    </xf>
    <xf numFmtId="0" fontId="0" fillId="0" borderId="3" xfId="0" applyBorder="1"/>
    <xf numFmtId="0" fontId="0" fillId="0" borderId="53" xfId="0" applyBorder="1"/>
    <xf numFmtId="0" fontId="32" fillId="0" borderId="79" xfId="0" applyFont="1" applyBorder="1" applyAlignment="1">
      <alignment horizontal="left" vertical="center"/>
    </xf>
    <xf numFmtId="0" fontId="0" fillId="0" borderId="60" xfId="0" applyBorder="1"/>
    <xf numFmtId="0" fontId="32" fillId="0" borderId="77" xfId="0" applyFont="1" applyBorder="1" applyAlignment="1">
      <alignment horizontal="left" vertical="center"/>
    </xf>
    <xf numFmtId="0" fontId="0" fillId="0" borderId="61" xfId="0" applyBorder="1"/>
    <xf numFmtId="0" fontId="40" fillId="24" borderId="38" xfId="0" applyFont="1" applyFill="1" applyBorder="1" applyAlignment="1">
      <alignment horizontal="center" vertical="center" wrapText="1"/>
    </xf>
    <xf numFmtId="0" fontId="0" fillId="0" borderId="38" xfId="0" applyBorder="1"/>
    <xf numFmtId="2" fontId="39" fillId="19" borderId="168" xfId="0" applyNumberFormat="1" applyFont="1" applyFill="1" applyBorder="1" applyAlignment="1">
      <alignment horizontal="center" vertical="center"/>
    </xf>
    <xf numFmtId="0" fontId="0" fillId="0" borderId="6" xfId="0" applyBorder="1"/>
    <xf numFmtId="0" fontId="28" fillId="0" borderId="168" xfId="0" applyFont="1" applyBorder="1" applyAlignment="1">
      <alignment horizontal="left" vertical="center"/>
    </xf>
    <xf numFmtId="0" fontId="28" fillId="0" borderId="140" xfId="0" applyFont="1" applyBorder="1" applyAlignment="1">
      <alignment horizontal="left" vertical="center"/>
    </xf>
    <xf numFmtId="0" fontId="0" fillId="0" borderId="55" xfId="0" applyBorder="1"/>
    <xf numFmtId="0" fontId="32" fillId="0" borderId="78" xfId="0" applyFont="1" applyBorder="1" applyAlignment="1">
      <alignment horizontal="left" vertical="center"/>
    </xf>
    <xf numFmtId="0" fontId="30" fillId="24" borderId="53" xfId="0" applyFont="1" applyFill="1" applyBorder="1" applyAlignment="1">
      <alignment horizontal="center" vertical="center" wrapText="1"/>
    </xf>
    <xf numFmtId="0" fontId="30" fillId="24" borderId="122" xfId="0" applyFont="1" applyFill="1" applyBorder="1" applyAlignment="1">
      <alignment horizontal="center" vertical="center" wrapText="1"/>
    </xf>
    <xf numFmtId="2" fontId="41" fillId="19" borderId="168" xfId="0" applyNumberFormat="1" applyFont="1" applyFill="1" applyBorder="1" applyAlignment="1">
      <alignment horizontal="center" vertical="center"/>
    </xf>
    <xf numFmtId="0" fontId="28" fillId="0" borderId="152" xfId="0" applyFont="1" applyBorder="1" applyAlignment="1">
      <alignment horizontal="left" vertical="center"/>
    </xf>
    <xf numFmtId="0" fontId="30" fillId="26" borderId="53" xfId="0" applyFont="1" applyFill="1" applyBorder="1" applyAlignment="1">
      <alignment horizontal="center" vertical="center" wrapText="1"/>
    </xf>
    <xf numFmtId="0" fontId="28" fillId="0" borderId="12" xfId="0" applyFont="1" applyBorder="1" applyAlignment="1">
      <alignment horizontal="left" vertical="center"/>
    </xf>
    <xf numFmtId="0" fontId="0" fillId="0" borderId="95" xfId="0" applyBorder="1"/>
    <xf numFmtId="0" fontId="28" fillId="0" borderId="159" xfId="0" applyFont="1" applyBorder="1" applyAlignment="1">
      <alignment horizontal="left" vertical="center"/>
    </xf>
    <xf numFmtId="0" fontId="30" fillId="19" borderId="49" xfId="0" applyFont="1" applyFill="1" applyBorder="1" applyAlignment="1">
      <alignment horizontal="center" vertical="center" wrapText="1"/>
    </xf>
    <xf numFmtId="0" fontId="0" fillId="0" borderId="136" xfId="0" applyBorder="1"/>
    <xf numFmtId="0" fontId="0" fillId="0" borderId="50" xfId="0" applyBorder="1"/>
    <xf numFmtId="0" fontId="30" fillId="26" borderId="122" xfId="0" applyFont="1" applyFill="1" applyBorder="1" applyAlignment="1">
      <alignment horizontal="center" vertical="center" wrapText="1"/>
    </xf>
    <xf numFmtId="0" fontId="32" fillId="0" borderId="61" xfId="0" applyFont="1" applyBorder="1" applyAlignment="1">
      <alignment horizontal="left" vertical="center"/>
    </xf>
    <xf numFmtId="0" fontId="26" fillId="0" borderId="0" xfId="0" applyFont="1" applyAlignment="1">
      <alignment horizontal="center" vertical="center" wrapText="1"/>
    </xf>
    <xf numFmtId="0" fontId="25" fillId="0" borderId="0" xfId="0" applyFont="1" applyAlignment="1">
      <alignment vertical="center"/>
    </xf>
    <xf numFmtId="0" fontId="25" fillId="0" borderId="0" xfId="0" applyFont="1" applyAlignment="1">
      <alignment vertical="center" wrapText="1"/>
    </xf>
    <xf numFmtId="0" fontId="25" fillId="0" borderId="0" xfId="0" applyFont="1" applyAlignment="1">
      <alignment horizontal="center" vertical="center" wrapText="1"/>
    </xf>
    <xf numFmtId="0" fontId="27" fillId="0" borderId="0" xfId="0" applyFont="1" applyAlignment="1">
      <alignment horizontal="center" vertical="center"/>
    </xf>
    <xf numFmtId="0" fontId="25" fillId="0" borderId="0" xfId="0" applyFont="1" applyAlignment="1">
      <alignment horizontal="center" vertical="center"/>
    </xf>
    <xf numFmtId="164" fontId="25" fillId="0" borderId="0" xfId="0" applyNumberFormat="1" applyFont="1" applyAlignment="1">
      <alignment horizontal="center" vertical="center"/>
    </xf>
    <xf numFmtId="0" fontId="26" fillId="22" borderId="80" xfId="0" applyFont="1" applyFill="1" applyBorder="1" applyAlignment="1">
      <alignment horizontal="left" vertical="center" wrapText="1"/>
    </xf>
    <xf numFmtId="0" fontId="0" fillId="0" borderId="28" xfId="0" applyBorder="1"/>
    <xf numFmtId="0" fontId="0" fillId="0" borderId="29" xfId="0" applyBorder="1"/>
    <xf numFmtId="0" fontId="28" fillId="23" borderId="81" xfId="0" applyFont="1" applyFill="1" applyBorder="1" applyAlignment="1">
      <alignment vertical="center" wrapText="1"/>
    </xf>
    <xf numFmtId="0" fontId="0" fillId="0" borderId="131" xfId="0" applyBorder="1"/>
    <xf numFmtId="0" fontId="0" fillId="0" borderId="30" xfId="0" applyBorder="1"/>
    <xf numFmtId="0" fontId="28" fillId="23" borderId="82" xfId="0" applyFont="1" applyFill="1" applyBorder="1" applyAlignment="1">
      <alignment vertical="center" wrapText="1"/>
    </xf>
    <xf numFmtId="0" fontId="0" fillId="0" borderId="16" xfId="0" applyBorder="1"/>
    <xf numFmtId="0" fontId="26" fillId="0" borderId="23" xfId="0" applyFont="1" applyBorder="1" applyAlignment="1">
      <alignment horizontal="right" vertical="center" wrapText="1"/>
    </xf>
    <xf numFmtId="0" fontId="0" fillId="0" borderId="39" xfId="0" applyBorder="1"/>
    <xf numFmtId="0" fontId="26" fillId="0" borderId="25" xfId="0" applyFont="1" applyBorder="1" applyAlignment="1">
      <alignment horizontal="right" vertical="center" wrapText="1"/>
    </xf>
    <xf numFmtId="0" fontId="0" fillId="0" borderId="83" xfId="0" applyBorder="1"/>
    <xf numFmtId="0" fontId="28" fillId="23" borderId="84" xfId="0" applyFont="1" applyFill="1" applyBorder="1" applyAlignment="1">
      <alignment vertical="center" wrapText="1"/>
    </xf>
    <xf numFmtId="0" fontId="0" fillId="0" borderId="18" xfId="0" applyBorder="1"/>
    <xf numFmtId="0" fontId="0" fillId="0" borderId="19" xfId="0" applyBorder="1"/>
    <xf numFmtId="0" fontId="26" fillId="0" borderId="21" xfId="0" applyFont="1" applyBorder="1" applyAlignment="1">
      <alignment horizontal="right" vertical="center" wrapText="1"/>
    </xf>
    <xf numFmtId="0" fontId="0" fillId="0" borderId="85" xfId="0" applyBorder="1"/>
    <xf numFmtId="0" fontId="40" fillId="19" borderId="172" xfId="0" applyFont="1" applyFill="1" applyBorder="1" applyAlignment="1">
      <alignment horizontal="center" vertical="center" wrapText="1"/>
    </xf>
    <xf numFmtId="0" fontId="0" fillId="0" borderId="172" xfId="0" applyBorder="1"/>
    <xf numFmtId="0" fontId="30" fillId="27" borderId="122" xfId="0" applyFont="1" applyFill="1" applyBorder="1" applyAlignment="1">
      <alignment horizontal="center" vertical="center" wrapText="1"/>
    </xf>
    <xf numFmtId="0" fontId="30" fillId="27" borderId="53" xfId="0" applyFont="1" applyFill="1" applyBorder="1" applyAlignment="1">
      <alignment horizontal="center" vertical="center" wrapText="1"/>
    </xf>
    <xf numFmtId="0" fontId="30" fillId="27" borderId="49" xfId="0" applyFont="1" applyFill="1" applyBorder="1" applyAlignment="1">
      <alignment horizontal="center" vertical="center" wrapText="1"/>
    </xf>
    <xf numFmtId="0" fontId="40" fillId="27" borderId="38" xfId="0" applyFont="1" applyFill="1" applyBorder="1" applyAlignment="1">
      <alignment horizontal="center" vertical="center" wrapText="1"/>
    </xf>
    <xf numFmtId="2" fontId="41" fillId="27" borderId="169" xfId="0" applyNumberFormat="1" applyFont="1" applyFill="1" applyBorder="1" applyAlignment="1">
      <alignment horizontal="center" vertical="center"/>
    </xf>
    <xf numFmtId="0" fontId="0" fillId="0" borderId="58" xfId="0" applyBorder="1"/>
    <xf numFmtId="0" fontId="30" fillId="28" borderId="159" xfId="0" applyFont="1" applyFill="1" applyBorder="1" applyAlignment="1">
      <alignment horizontal="center" vertical="center" wrapText="1"/>
    </xf>
    <xf numFmtId="0" fontId="0" fillId="0" borderId="162" xfId="0" applyBorder="1"/>
    <xf numFmtId="0" fontId="0" fillId="0" borderId="12" xfId="0" applyBorder="1"/>
    <xf numFmtId="2" fontId="41" fillId="29" borderId="169" xfId="0" applyNumberFormat="1" applyFont="1" applyFill="1" applyBorder="1" applyAlignment="1">
      <alignment horizontal="center" vertical="center"/>
    </xf>
    <xf numFmtId="2" fontId="41" fillId="26" borderId="169" xfId="0" applyNumberFormat="1" applyFont="1" applyFill="1" applyBorder="1" applyAlignment="1">
      <alignment horizontal="center" vertical="center"/>
    </xf>
    <xf numFmtId="2" fontId="41" fillId="25" borderId="167" xfId="0" applyNumberFormat="1" applyFont="1" applyFill="1" applyBorder="1" applyAlignment="1">
      <alignment horizontal="center" vertical="center"/>
    </xf>
    <xf numFmtId="0" fontId="0" fillId="0" borderId="164" xfId="0" applyBorder="1"/>
    <xf numFmtId="2" fontId="41" fillId="26" borderId="167" xfId="0" applyNumberFormat="1" applyFont="1" applyFill="1" applyBorder="1" applyAlignment="1">
      <alignment horizontal="center" vertical="center"/>
    </xf>
    <xf numFmtId="0" fontId="40" fillId="28" borderId="172" xfId="0" applyFont="1" applyFill="1" applyBorder="1" applyAlignment="1">
      <alignment horizontal="center" vertical="center" wrapText="1"/>
    </xf>
    <xf numFmtId="0" fontId="30" fillId="26" borderId="99" xfId="0" applyFont="1" applyFill="1" applyBorder="1" applyAlignment="1">
      <alignment horizontal="center" vertical="center" wrapText="1"/>
    </xf>
    <xf numFmtId="0" fontId="0" fillId="0" borderId="101" xfId="0" applyBorder="1"/>
    <xf numFmtId="0" fontId="0" fillId="0" borderId="105" xfId="0" applyBorder="1"/>
    <xf numFmtId="0" fontId="30" fillId="26" borderId="49" xfId="0" applyFont="1" applyFill="1" applyBorder="1" applyAlignment="1">
      <alignment horizontal="center" vertical="center" wrapText="1"/>
    </xf>
    <xf numFmtId="0" fontId="30" fillId="28" borderId="122" xfId="0" applyFont="1" applyFill="1" applyBorder="1" applyAlignment="1">
      <alignment horizontal="center" vertical="center" wrapText="1"/>
    </xf>
    <xf numFmtId="0" fontId="30" fillId="28" borderId="53" xfId="0" applyFont="1" applyFill="1" applyBorder="1" applyAlignment="1">
      <alignment horizontal="center" vertical="center" wrapText="1"/>
    </xf>
    <xf numFmtId="0" fontId="30" fillId="28" borderId="99" xfId="0" applyFont="1" applyFill="1" applyBorder="1" applyAlignment="1">
      <alignment horizontal="center" vertical="center" wrapText="1"/>
    </xf>
    <xf numFmtId="2" fontId="39" fillId="20" borderId="169" xfId="0" applyNumberFormat="1" applyFont="1" applyFill="1" applyBorder="1" applyAlignment="1">
      <alignment horizontal="center" vertical="center"/>
    </xf>
    <xf numFmtId="2" fontId="41" fillId="25" borderId="169" xfId="0" applyNumberFormat="1" applyFont="1" applyFill="1" applyBorder="1" applyAlignment="1">
      <alignment horizontal="center" vertical="center"/>
    </xf>
    <xf numFmtId="0" fontId="30" fillId="27" borderId="166" xfId="0" applyFont="1" applyFill="1" applyBorder="1" applyAlignment="1">
      <alignment horizontal="center" vertical="center" wrapText="1"/>
    </xf>
    <xf numFmtId="0" fontId="30" fillId="24" borderId="49" xfId="0" applyFont="1" applyFill="1" applyBorder="1" applyAlignment="1">
      <alignment horizontal="center" vertical="center" wrapText="1"/>
    </xf>
    <xf numFmtId="0" fontId="30" fillId="24" borderId="166" xfId="0" applyFont="1" applyFill="1" applyBorder="1" applyAlignment="1">
      <alignment horizontal="center" vertical="center" wrapText="1"/>
    </xf>
    <xf numFmtId="0" fontId="30" fillId="24" borderId="173" xfId="0" applyFont="1" applyFill="1" applyBorder="1" applyAlignment="1">
      <alignment horizontal="center" vertical="center" wrapText="1"/>
    </xf>
    <xf numFmtId="0" fontId="0" fillId="0" borderId="97" xfId="0" applyBorder="1"/>
    <xf numFmtId="0" fontId="0" fillId="0" borderId="174" xfId="0" applyBorder="1"/>
    <xf numFmtId="0" fontId="42" fillId="26" borderId="38" xfId="0" applyFont="1" applyFill="1" applyBorder="1" applyAlignment="1">
      <alignment horizontal="center" vertical="center" wrapText="1"/>
    </xf>
    <xf numFmtId="0" fontId="30" fillId="26" borderId="166" xfId="0" applyFont="1" applyFill="1" applyBorder="1" applyAlignment="1">
      <alignment horizontal="center" vertical="center" wrapText="1"/>
    </xf>
    <xf numFmtId="0" fontId="26" fillId="2" borderId="46" xfId="0" applyFont="1" applyFill="1" applyBorder="1" applyAlignment="1">
      <alignment horizontal="center" vertical="center" wrapText="1"/>
    </xf>
    <xf numFmtId="0" fontId="0" fillId="0" borderId="40" xfId="0" applyBorder="1"/>
    <xf numFmtId="0" fontId="0" fillId="0" borderId="41" xfId="0" applyBorder="1"/>
    <xf numFmtId="0" fontId="26" fillId="4" borderId="86" xfId="0" applyFont="1" applyFill="1" applyBorder="1" applyAlignment="1">
      <alignment horizontal="center" vertical="center" wrapText="1"/>
    </xf>
    <xf numFmtId="0" fontId="0" fillId="0" borderId="42" xfId="0" applyBorder="1"/>
    <xf numFmtId="0" fontId="0" fillId="0" borderId="48" xfId="0" applyBorder="1"/>
    <xf numFmtId="0" fontId="27" fillId="4" borderId="86" xfId="0" applyFont="1" applyFill="1" applyBorder="1" applyAlignment="1">
      <alignment horizontal="center" vertical="center"/>
    </xf>
    <xf numFmtId="0" fontId="25" fillId="0" borderId="0" xfId="0" applyFont="1"/>
    <xf numFmtId="0" fontId="26" fillId="0" borderId="0" xfId="0" applyFont="1" applyAlignment="1">
      <alignment horizontal="right" wrapText="1"/>
    </xf>
    <xf numFmtId="14" fontId="28" fillId="0" borderId="0" xfId="0" applyNumberFormat="1" applyFont="1" applyAlignment="1">
      <alignment horizontal="left" wrapText="1"/>
    </xf>
    <xf numFmtId="0" fontId="28" fillId="0" borderId="0" xfId="0" applyFont="1" applyAlignment="1">
      <alignment wrapText="1"/>
    </xf>
    <xf numFmtId="0" fontId="27" fillId="12" borderId="86" xfId="1" applyFont="1" applyFill="1" applyBorder="1" applyAlignment="1">
      <alignment horizontal="left" vertical="center" wrapText="1"/>
    </xf>
    <xf numFmtId="0" fontId="28" fillId="0" borderId="0" xfId="0" applyFont="1" applyAlignment="1">
      <alignment horizontal="left" wrapText="1"/>
    </xf>
    <xf numFmtId="0" fontId="29" fillId="21" borderId="171" xfId="0" applyFont="1" applyFill="1" applyBorder="1" applyAlignment="1">
      <alignment horizontal="center" vertical="center" wrapText="1"/>
    </xf>
    <xf numFmtId="2" fontId="41" fillId="37" borderId="90" xfId="0" applyNumberFormat="1" applyFont="1" applyFill="1" applyBorder="1" applyAlignment="1">
      <alignment horizontal="center" vertical="center"/>
    </xf>
    <xf numFmtId="0" fontId="0" fillId="0" borderId="69" xfId="0" applyBorder="1"/>
    <xf numFmtId="0" fontId="0" fillId="0" borderId="72" xfId="0" applyBorder="1"/>
    <xf numFmtId="2" fontId="41" fillId="37" borderId="133" xfId="0" applyNumberFormat="1" applyFont="1" applyFill="1" applyBorder="1" applyAlignment="1">
      <alignment horizontal="center" vertical="center"/>
    </xf>
    <xf numFmtId="2" fontId="41" fillId="39" borderId="90" xfId="0" applyNumberFormat="1" applyFont="1" applyFill="1" applyBorder="1" applyAlignment="1">
      <alignment horizontal="center" vertical="center"/>
    </xf>
    <xf numFmtId="2" fontId="41" fillId="39" borderId="132" xfId="0" applyNumberFormat="1" applyFont="1" applyFill="1" applyBorder="1" applyAlignment="1">
      <alignment horizontal="center" vertical="center"/>
    </xf>
    <xf numFmtId="0" fontId="29" fillId="38" borderId="170" xfId="0" applyFont="1" applyFill="1" applyBorder="1" applyAlignment="1">
      <alignment horizontal="center" vertical="center" wrapText="1"/>
    </xf>
    <xf numFmtId="0" fontId="29" fillId="36" borderId="171" xfId="0" applyFont="1" applyFill="1" applyBorder="1" applyAlignment="1">
      <alignment horizontal="center" vertical="center" wrapText="1"/>
    </xf>
    <xf numFmtId="2" fontId="41" fillId="21" borderId="144" xfId="0" applyNumberFormat="1" applyFont="1" applyFill="1" applyBorder="1" applyAlignment="1">
      <alignment horizontal="center" vertical="center"/>
    </xf>
    <xf numFmtId="0" fontId="0" fillId="0" borderId="109" xfId="0" applyBorder="1"/>
    <xf numFmtId="0" fontId="0" fillId="0" borderId="110" xfId="0" applyBorder="1"/>
    <xf numFmtId="2" fontId="41" fillId="21" borderId="90" xfId="0" applyNumberFormat="1" applyFont="1" applyFill="1" applyBorder="1" applyAlignment="1">
      <alignment horizontal="center" vertical="center"/>
    </xf>
    <xf numFmtId="2" fontId="41" fillId="21" borderId="133" xfId="0" applyNumberFormat="1" applyFont="1" applyFill="1" applyBorder="1" applyAlignment="1">
      <alignment horizontal="center" vertical="center"/>
    </xf>
    <xf numFmtId="2" fontId="41" fillId="33" borderId="90" xfId="0" applyNumberFormat="1" applyFont="1" applyFill="1" applyBorder="1" applyAlignment="1">
      <alignment horizontal="center" vertical="center"/>
    </xf>
    <xf numFmtId="2" fontId="41" fillId="32" borderId="133" xfId="0" applyNumberFormat="1" applyFont="1" applyFill="1" applyBorder="1" applyAlignment="1">
      <alignment horizontal="center" vertical="center"/>
    </xf>
    <xf numFmtId="2" fontId="41" fillId="35" borderId="90" xfId="0" applyNumberFormat="1" applyFont="1" applyFill="1" applyBorder="1" applyAlignment="1">
      <alignment horizontal="center" vertical="center"/>
    </xf>
    <xf numFmtId="2" fontId="41" fillId="35" borderId="133" xfId="0" applyNumberFormat="1" applyFont="1" applyFill="1" applyBorder="1" applyAlignment="1">
      <alignment horizontal="center" vertical="center"/>
    </xf>
    <xf numFmtId="0" fontId="30" fillId="34" borderId="170" xfId="0" applyFont="1" applyFill="1" applyBorder="1" applyAlignment="1">
      <alignment horizontal="center" vertical="center" wrapText="1"/>
    </xf>
    <xf numFmtId="0" fontId="29" fillId="32" borderId="171" xfId="0" applyFont="1" applyFill="1" applyBorder="1" applyAlignment="1">
      <alignment horizontal="center" vertical="center" wrapText="1"/>
    </xf>
    <xf numFmtId="0" fontId="29" fillId="32" borderId="90" xfId="0" applyFont="1" applyFill="1" applyBorder="1" applyAlignment="1">
      <alignment horizontal="center" vertical="center" wrapText="1"/>
    </xf>
    <xf numFmtId="0" fontId="0" fillId="0" borderId="144" xfId="0" applyBorder="1"/>
    <xf numFmtId="0" fontId="29" fillId="38" borderId="90" xfId="0" applyFont="1" applyFill="1" applyBorder="1" applyAlignment="1">
      <alignment horizontal="center" vertical="center" wrapText="1"/>
    </xf>
    <xf numFmtId="0" fontId="29" fillId="36" borderId="90" xfId="0" applyFont="1" applyFill="1" applyBorder="1" applyAlignment="1">
      <alignment horizontal="center" vertical="center" wrapText="1"/>
    </xf>
    <xf numFmtId="0" fontId="30" fillId="34" borderId="90" xfId="0" applyFont="1" applyFill="1" applyBorder="1" applyAlignment="1">
      <alignment horizontal="center" vertical="center" wrapText="1"/>
    </xf>
    <xf numFmtId="0" fontId="29" fillId="36" borderId="162" xfId="0" applyFont="1" applyFill="1" applyBorder="1" applyAlignment="1">
      <alignment horizontal="center" vertical="center" wrapText="1"/>
    </xf>
    <xf numFmtId="0" fontId="29" fillId="38" borderId="162" xfId="0" applyFont="1" applyFill="1" applyBorder="1" applyAlignment="1">
      <alignment horizontal="center" vertical="center" wrapText="1"/>
    </xf>
    <xf numFmtId="0" fontId="30" fillId="38" borderId="89" xfId="0" applyFont="1" applyFill="1" applyBorder="1" applyAlignment="1">
      <alignment horizontal="center" vertical="center" wrapText="1"/>
    </xf>
    <xf numFmtId="0" fontId="0" fillId="0" borderId="63" xfId="0" applyBorder="1"/>
    <xf numFmtId="0" fontId="0" fillId="0" borderId="66" xfId="0" applyBorder="1"/>
    <xf numFmtId="0" fontId="30" fillId="38" borderId="62" xfId="0" applyFont="1" applyFill="1" applyBorder="1" applyAlignment="1">
      <alignment horizontal="center" vertical="center" wrapText="1"/>
    </xf>
    <xf numFmtId="0" fontId="30" fillId="34" borderId="88" xfId="0" applyFont="1" applyFill="1" applyBorder="1" applyAlignment="1">
      <alignment horizontal="center" vertical="center" wrapText="1"/>
    </xf>
    <xf numFmtId="0" fontId="0" fillId="0" borderId="65" xfId="0" applyBorder="1"/>
    <xf numFmtId="0" fontId="30" fillId="38" borderId="88" xfId="0" applyFont="1" applyFill="1" applyBorder="1" applyAlignment="1">
      <alignment horizontal="center" vertical="center" wrapText="1"/>
    </xf>
    <xf numFmtId="0" fontId="30" fillId="36" borderId="88" xfId="0" applyFont="1" applyFill="1" applyBorder="1" applyAlignment="1">
      <alignment horizontal="center" vertical="center" wrapText="1"/>
    </xf>
    <xf numFmtId="0" fontId="30" fillId="32" borderId="88" xfId="0" applyFont="1" applyFill="1" applyBorder="1" applyAlignment="1">
      <alignment horizontal="center" vertical="center" wrapText="1"/>
    </xf>
    <xf numFmtId="0" fontId="30" fillId="32" borderId="89" xfId="0" applyFont="1" applyFill="1" applyBorder="1" applyAlignment="1">
      <alignment horizontal="center" vertical="center" wrapText="1"/>
    </xf>
    <xf numFmtId="0" fontId="30" fillId="32" borderId="62" xfId="0" applyFont="1" applyFill="1" applyBorder="1" applyAlignment="1">
      <alignment horizontal="center" vertical="center" wrapText="1"/>
    </xf>
    <xf numFmtId="0" fontId="26" fillId="0" borderId="153" xfId="0" applyFont="1" applyBorder="1" applyAlignment="1">
      <alignment horizontal="right" vertical="center"/>
    </xf>
    <xf numFmtId="0" fontId="0" fillId="0" borderId="175" xfId="0" applyBorder="1"/>
    <xf numFmtId="0" fontId="26" fillId="0" borderId="155" xfId="0" applyFont="1" applyBorder="1" applyAlignment="1">
      <alignment horizontal="right" vertical="center"/>
    </xf>
    <xf numFmtId="0" fontId="0" fillId="0" borderId="141" xfId="0" applyBorder="1"/>
    <xf numFmtId="0" fontId="26" fillId="0" borderId="157" xfId="0" applyFont="1" applyBorder="1" applyAlignment="1">
      <alignment horizontal="right" vertical="center"/>
    </xf>
    <xf numFmtId="0" fontId="0" fillId="0" borderId="176" xfId="0" applyBorder="1"/>
    <xf numFmtId="0" fontId="29" fillId="21" borderId="87" xfId="0" applyFont="1" applyFill="1" applyBorder="1" applyAlignment="1">
      <alignment horizontal="center" vertical="center" wrapText="1"/>
    </xf>
    <xf numFmtId="0" fontId="0" fillId="0" borderId="161" xfId="0" applyBorder="1"/>
    <xf numFmtId="0" fontId="0" fillId="0" borderId="73" xfId="0" applyBorder="1"/>
    <xf numFmtId="0" fontId="30" fillId="21" borderId="88" xfId="0" applyFont="1" applyFill="1" applyBorder="1" applyAlignment="1">
      <alignment horizontal="center" vertical="center" wrapText="1"/>
    </xf>
    <xf numFmtId="0" fontId="42" fillId="34" borderId="162" xfId="0" applyFont="1" applyFill="1" applyBorder="1" applyAlignment="1">
      <alignment horizontal="left" vertical="center" wrapText="1"/>
    </xf>
    <xf numFmtId="0" fontId="40" fillId="21" borderId="161" xfId="0" applyFont="1" applyFill="1" applyBorder="1" applyAlignment="1">
      <alignment horizontal="left" vertical="center" wrapText="1"/>
    </xf>
    <xf numFmtId="0" fontId="40" fillId="32" borderId="162" xfId="0" applyFont="1" applyFill="1" applyBorder="1" applyAlignment="1">
      <alignment horizontal="left" vertical="center" wrapText="1"/>
    </xf>
    <xf numFmtId="0" fontId="40" fillId="36" borderId="162" xfId="0" applyFont="1" applyFill="1" applyBorder="1" applyAlignment="1">
      <alignment horizontal="left" vertical="center" wrapText="1"/>
    </xf>
    <xf numFmtId="0" fontId="40" fillId="38" borderId="162" xfId="0" applyFont="1" applyFill="1" applyBorder="1" applyAlignment="1">
      <alignment horizontal="left" vertical="center" wrapText="1"/>
    </xf>
    <xf numFmtId="0" fontId="29" fillId="32" borderId="162" xfId="0" applyFont="1" applyFill="1" applyBorder="1" applyAlignment="1">
      <alignment horizontal="center" vertical="center" wrapText="1"/>
    </xf>
    <xf numFmtId="0" fontId="30" fillId="34" borderId="162" xfId="0" applyFont="1" applyFill="1" applyBorder="1" applyAlignment="1">
      <alignment horizontal="center" vertical="center" wrapText="1"/>
    </xf>
    <xf numFmtId="0" fontId="11" fillId="23" borderId="152" xfId="1" applyFont="1" applyFill="1" applyBorder="1" applyAlignment="1">
      <alignment horizontal="left" vertical="center" wrapText="1"/>
    </xf>
    <xf numFmtId="0" fontId="18" fillId="14" borderId="18" xfId="1" applyFont="1" applyFill="1" applyBorder="1" applyAlignment="1">
      <alignment horizontal="center"/>
    </xf>
    <xf numFmtId="0" fontId="18" fillId="0" borderId="0" xfId="1" applyFont="1" applyAlignment="1" applyProtection="1">
      <alignment horizontal="left"/>
      <protection locked="0"/>
    </xf>
    <xf numFmtId="0" fontId="18" fillId="0" borderId="0" xfId="1" applyFont="1"/>
    <xf numFmtId="14" fontId="18" fillId="0" borderId="0" xfId="1" applyNumberFormat="1" applyFont="1" applyAlignment="1" applyProtection="1">
      <alignment horizontal="left"/>
      <protection locked="0"/>
    </xf>
    <xf numFmtId="0" fontId="10" fillId="14" borderId="0" xfId="1" applyFont="1" applyFill="1" applyAlignment="1">
      <alignment horizontal="center"/>
    </xf>
    <xf numFmtId="0" fontId="10" fillId="0" borderId="0" xfId="1" applyFont="1"/>
    <xf numFmtId="0" fontId="18" fillId="14" borderId="0" xfId="1" applyFont="1" applyFill="1" applyAlignment="1">
      <alignment horizontal="center"/>
    </xf>
    <xf numFmtId="0" fontId="0" fillId="3" borderId="0" xfId="0" applyFill="1" applyAlignment="1">
      <alignment horizontal="center" vertical="center"/>
    </xf>
    <xf numFmtId="0" fontId="0" fillId="0" borderId="0" xfId="0"/>
    <xf numFmtId="0" fontId="6" fillId="12" borderId="86" xfId="1" applyFont="1" applyFill="1" applyBorder="1" applyAlignment="1">
      <alignment horizontal="left" vertical="center" wrapText="1"/>
    </xf>
    <xf numFmtId="0" fontId="2" fillId="0" borderId="20" xfId="0" applyFont="1" applyBorder="1" applyAlignment="1">
      <alignment horizontal="center"/>
    </xf>
    <xf numFmtId="0" fontId="46" fillId="0" borderId="0" xfId="6" applyAlignment="1">
      <alignment vertical="top" wrapText="1"/>
    </xf>
    <xf numFmtId="0" fontId="47" fillId="0" borderId="0" xfId="6" applyFont="1" applyAlignment="1">
      <alignment vertical="top" wrapText="1"/>
    </xf>
    <xf numFmtId="0" fontId="46" fillId="0" borderId="0" xfId="6" applyAlignment="1">
      <alignment horizontal="left" vertical="top" wrapText="1"/>
    </xf>
    <xf numFmtId="0" fontId="43" fillId="22" borderId="0" xfId="6" applyFont="1" applyFill="1" applyBorder="1" applyAlignment="1">
      <alignment horizontal="left" vertical="top" wrapText="1"/>
    </xf>
    <xf numFmtId="0" fontId="43" fillId="22" borderId="43" xfId="6" applyFont="1" applyFill="1" applyBorder="1" applyAlignment="1">
      <alignment horizontal="left" vertical="top" wrapText="1"/>
    </xf>
    <xf numFmtId="0" fontId="43" fillId="22" borderId="18" xfId="6" applyFont="1" applyFill="1" applyBorder="1" applyAlignment="1">
      <alignment horizontal="left" vertical="top" wrapText="1"/>
    </xf>
    <xf numFmtId="0" fontId="43" fillId="22" borderId="179" xfId="6" applyFont="1" applyFill="1" applyBorder="1" applyAlignment="1">
      <alignment horizontal="left" vertical="top" wrapText="1"/>
    </xf>
    <xf numFmtId="0" fontId="43" fillId="22" borderId="42" xfId="6" applyFont="1" applyFill="1" applyBorder="1" applyAlignment="1">
      <alignment horizontal="left" vertical="top" wrapText="1"/>
    </xf>
    <xf numFmtId="0" fontId="48" fillId="22" borderId="48" xfId="6" applyFont="1" applyFill="1" applyBorder="1" applyAlignment="1">
      <alignment vertical="top" wrapText="1"/>
    </xf>
    <xf numFmtId="0" fontId="49" fillId="0" borderId="178" xfId="7" applyFont="1" applyBorder="1" applyAlignment="1" applyProtection="1">
      <alignment vertical="top" wrapText="1"/>
    </xf>
    <xf numFmtId="0" fontId="49" fillId="0" borderId="16" xfId="7" applyFont="1" applyBorder="1" applyAlignment="1" applyProtection="1">
      <alignment vertical="top" wrapText="1"/>
    </xf>
    <xf numFmtId="0" fontId="49" fillId="0" borderId="19" xfId="7" applyFont="1" applyBorder="1" applyAlignment="1" applyProtection="1">
      <alignment vertical="top" wrapText="1"/>
    </xf>
    <xf numFmtId="0" fontId="49" fillId="0" borderId="48" xfId="7" applyFont="1" applyBorder="1" applyAlignment="1" applyProtection="1">
      <alignment vertical="top" wrapText="1"/>
    </xf>
    <xf numFmtId="0" fontId="50" fillId="0" borderId="19" xfId="6" applyFont="1" applyBorder="1" applyAlignment="1">
      <alignment horizontal="left" vertical="top" wrapText="1"/>
    </xf>
    <xf numFmtId="0" fontId="51" fillId="0" borderId="0" xfId="6" applyFont="1" applyAlignment="1">
      <alignment vertical="top" wrapText="1"/>
    </xf>
    <xf numFmtId="0" fontId="43" fillId="22" borderId="86" xfId="6" applyFont="1" applyFill="1" applyBorder="1" applyAlignment="1">
      <alignment vertical="top" wrapText="1"/>
    </xf>
    <xf numFmtId="0" fontId="44" fillId="0" borderId="180" xfId="6" applyFont="1" applyBorder="1" applyAlignment="1">
      <alignment horizontal="left" vertical="top" wrapText="1"/>
    </xf>
    <xf numFmtId="0" fontId="44" fillId="0" borderId="82" xfId="6" applyFont="1" applyBorder="1" applyAlignment="1">
      <alignment horizontal="left" vertical="top" wrapText="1"/>
    </xf>
    <xf numFmtId="0" fontId="44" fillId="0" borderId="84" xfId="6" applyFont="1" applyBorder="1" applyAlignment="1">
      <alignment horizontal="left" vertical="top" wrapText="1"/>
    </xf>
    <xf numFmtId="0" fontId="44" fillId="0" borderId="86" xfId="6" applyFont="1" applyBorder="1" applyAlignment="1">
      <alignment vertical="top" wrapText="1"/>
    </xf>
    <xf numFmtId="0" fontId="43" fillId="22" borderId="177" xfId="6" applyFont="1" applyFill="1" applyBorder="1" applyAlignment="1">
      <alignment horizontal="left" vertical="top" wrapText="1"/>
    </xf>
    <xf numFmtId="0" fontId="43" fillId="22" borderId="15" xfId="6" applyFont="1" applyFill="1" applyBorder="1" applyAlignment="1">
      <alignment horizontal="left" vertical="top" wrapText="1"/>
    </xf>
    <xf numFmtId="0" fontId="43" fillId="22" borderId="17" xfId="6" applyFont="1" applyFill="1" applyBorder="1" applyAlignment="1">
      <alignment horizontal="left" vertical="top" wrapText="1"/>
    </xf>
    <xf numFmtId="0" fontId="43" fillId="22" borderId="179" xfId="6" applyFont="1" applyFill="1" applyBorder="1" applyAlignment="1">
      <alignment horizontal="left" vertical="top" wrapText="1"/>
    </xf>
    <xf numFmtId="0" fontId="43" fillId="22" borderId="48" xfId="6" applyFont="1" applyFill="1" applyBorder="1" applyAlignment="1">
      <alignment horizontal="left" vertical="top" wrapText="1"/>
    </xf>
  </cellXfs>
  <cellStyles count="8">
    <cellStyle name="Followed Hyperlink" xfId="4" builtinId="9" hidden="1"/>
    <cellStyle name="Hyperlink 2" xfId="3" xr:uid="{00000000-0005-0000-0000-000003000000}"/>
    <cellStyle name="Hyperlink 3" xfId="7" xr:uid="{DAEDC69B-0957-4217-B001-3C0B85F1BAF5}"/>
    <cellStyle name="Normal" xfId="0" builtinId="0"/>
    <cellStyle name="Normal 2" xfId="1" xr:uid="{00000000-0005-0000-0000-000001000000}"/>
    <cellStyle name="Normal 2 2" xfId="5" xr:uid="{00000000-0005-0000-0000-000005000000}"/>
    <cellStyle name="Normal 3" xfId="6" xr:uid="{85F0CD32-8017-4C91-8FB4-17894DF99FAF}"/>
    <cellStyle name="Percent 2" xfId="2" xr:uid="{00000000-0005-0000-0000-000002000000}"/>
  </cellStyles>
  <dxfs count="241">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D7D7DA"/>
        </patternFill>
      </fill>
    </dxf>
    <dxf>
      <font>
        <color theme="1"/>
      </font>
      <fill>
        <patternFill>
          <bgColor rgb="FFECE651"/>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ECE651"/>
        </patternFill>
      </fill>
    </dxf>
    <dxf>
      <font>
        <color theme="1"/>
      </font>
      <fill>
        <patternFill>
          <bgColor rgb="FFE2D0D6"/>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C5E2B6"/>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FED4B3"/>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ont>
        <color theme="1"/>
      </font>
      <fill>
        <patternFill>
          <bgColor rgb="FFCFD9E2"/>
        </patternFill>
      </fill>
    </dxf>
    <dxf>
      <font>
        <color theme="1"/>
      </font>
      <fill>
        <patternFill>
          <bgColor rgb="FFECE651"/>
        </patternFill>
      </fill>
    </dxf>
    <dxf>
      <fill>
        <gradientFill degree="180">
          <stop position="0">
            <color theme="0"/>
          </stop>
          <stop position="1">
            <color theme="4"/>
          </stop>
        </gradient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10000"/>
      <rgbColor rgb="00FFFFFF"/>
      <rgbColor rgb="0099CCFF"/>
      <rgbColor rgb="00B3D580"/>
      <rgbColor rgb="00339966"/>
      <rgbColor rgb="00FF0000"/>
      <rgbColor rgb="00003366"/>
      <rgbColor rgb="00FFCC99"/>
      <rgbColor rgb="00FF6600"/>
      <rgbColor rgb="00008000"/>
      <rgbColor rgb="00DDDDDD"/>
      <rgbColor rgb="00E69999"/>
      <rgbColor rgb="00CCFFCC"/>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CC"/>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SAMM Current Score</a:t>
            </a:r>
          </a:p>
        </c:rich>
      </c:tx>
      <c:layout>
        <c:manualLayout>
          <c:xMode val="edge"/>
          <c:yMode val="edge"/>
          <c:x val="0.68834891732283499"/>
          <c:y val="0.91054313099041495"/>
        </c:manualLayout>
      </c:layout>
      <c:overlay val="1"/>
      <c:spPr>
        <a:noFill/>
        <a:ln>
          <a:noFill/>
          <a:prstDash val="solid"/>
        </a:ln>
      </c:spPr>
    </c:title>
    <c:autoTitleDeleted val="0"/>
    <c:plotArea>
      <c:layout/>
      <c:radarChart>
        <c:radarStyle val="filled"/>
        <c:varyColors val="0"/>
        <c:ser>
          <c:idx val="0"/>
          <c:order val="0"/>
          <c:tx>
            <c:strRef>
              <c:f>Scorecard!$V$13</c:f>
              <c:strCache>
                <c:ptCount val="1"/>
                <c:pt idx="0">
                  <c:v>Governance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cat>
            <c:strRef>
              <c:f>Scorecard!$U$14:$U$28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Scorecard!$V$14:$V$28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74F4-004E-A0FA-1CD911B61DA6}"/>
            </c:ext>
          </c:extLst>
        </c:ser>
        <c:ser>
          <c:idx val="1"/>
          <c:order val="1"/>
          <c:tx>
            <c:strRef>
              <c:f>Scorecard!$W$13</c:f>
              <c:strCache>
                <c:ptCount val="1"/>
                <c:pt idx="0">
                  <c:v>Design</c:v>
                </c:pt>
              </c:strCache>
            </c:strRef>
          </c:tx>
          <c:spPr>
            <a:solidFill>
              <a:srgbClr val="B75727"/>
            </a:solidFill>
            <a:ln>
              <a:noFill/>
              <a:prstDash val="solid"/>
            </a:ln>
            <a:sp3d/>
          </c:spPr>
          <c:cat>
            <c:strRef>
              <c:f>Scorecard!$U$14:$U$28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Scorecard!$W$14:$W$28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74F4-004E-A0FA-1CD911B61DA6}"/>
            </c:ext>
          </c:extLst>
        </c:ser>
        <c:ser>
          <c:idx val="2"/>
          <c:order val="2"/>
          <c:tx>
            <c:strRef>
              <c:f>Scorecard!$X$13</c:f>
              <c:strCache>
                <c:ptCount val="1"/>
                <c:pt idx="0">
                  <c:v>Implementation</c:v>
                </c:pt>
              </c:strCache>
            </c:strRef>
          </c:tx>
          <c:spPr>
            <a:solidFill>
              <a:srgbClr val="FFC221"/>
            </a:solidFill>
            <a:ln w="25400">
              <a:noFill/>
              <a:prstDash val="solid"/>
            </a:ln>
            <a:sp3d/>
          </c:spPr>
          <c:cat>
            <c:strRef>
              <c:f>Scorecard!$U$14:$U$28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Scorecard!$X$14:$X$28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2-74F4-004E-A0FA-1CD911B61DA6}"/>
            </c:ext>
          </c:extLst>
        </c:ser>
        <c:ser>
          <c:idx val="3"/>
          <c:order val="3"/>
          <c:tx>
            <c:strRef>
              <c:f>Scorecard!$Y$13</c:f>
              <c:strCache>
                <c:ptCount val="1"/>
                <c:pt idx="0">
                  <c:v>Verification</c:v>
                </c:pt>
              </c:strCache>
            </c:strRef>
          </c:tx>
          <c:spPr>
            <a:solidFill>
              <a:srgbClr val="37793E"/>
            </a:solidFill>
            <a:ln>
              <a:noFill/>
              <a:prstDash val="solid"/>
            </a:ln>
            <a:sp3d/>
          </c:spPr>
          <c:cat>
            <c:strRef>
              <c:f>Scorecard!$U$14:$U$28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Scorecard!$Y$14:$Y$28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74F4-004E-A0FA-1CD911B61DA6}"/>
            </c:ext>
          </c:extLst>
        </c:ser>
        <c:ser>
          <c:idx val="4"/>
          <c:order val="4"/>
          <c:tx>
            <c:strRef>
              <c:f>Scorecard!$Z$13</c:f>
              <c:strCache>
                <c:ptCount val="1"/>
                <c:pt idx="0">
                  <c:v>Operations</c:v>
                </c:pt>
              </c:strCache>
            </c:strRef>
          </c:tx>
          <c:spPr>
            <a:gradFill rotWithShape="1">
              <a:gsLst>
                <a:gs pos="0">
                  <a:schemeClr val="accent2">
                    <a:shade val="51000"/>
                    <a:satMod val="130000"/>
                    <a:lumMod val="60000"/>
                  </a:schemeClr>
                </a:gs>
                <a:gs pos="80000">
                  <a:schemeClr val="accent2">
                    <a:shade val="93000"/>
                    <a:satMod val="130000"/>
                    <a:lumMod val="60000"/>
                  </a:schemeClr>
                </a:gs>
                <a:gs pos="100000">
                  <a:schemeClr val="accent2">
                    <a:shade val="94000"/>
                    <a:satMod val="135000"/>
                    <a:lumMod val="60000"/>
                  </a:schemeClr>
                </a:gs>
              </a:gsLst>
              <a:lin ang="16200000" scaled="0"/>
            </a:gradFill>
            <a:ln>
              <a:noFill/>
              <a:prstDash val="solid"/>
            </a:ln>
            <a:sp3d/>
          </c:spPr>
          <c:cat>
            <c:strRef>
              <c:f>Scorecard!$U$14:$U$28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Scorecard!$Z$14:$Z$28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74F4-004E-A0FA-1CD911B61DA6}"/>
            </c:ext>
          </c:extLst>
        </c:ser>
        <c:dLbls>
          <c:showLegendKey val="0"/>
          <c:showVal val="0"/>
          <c:showCatName val="0"/>
          <c:showSerName val="0"/>
          <c:showPercent val="0"/>
          <c:showBubbleSize val="0"/>
        </c:dLbls>
        <c:axId val="-1853951552"/>
        <c:axId val="-1733289472"/>
      </c:radarChart>
      <c:catAx>
        <c:axId val="-185395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33289472"/>
        <c:crosses val="autoZero"/>
        <c:auto val="1"/>
        <c:lblAlgn val="ctr"/>
        <c:lblOffset val="100"/>
        <c:noMultiLvlLbl val="0"/>
      </c:catAx>
      <c:valAx>
        <c:axId val="-1733289472"/>
        <c:scaling>
          <c:orientation val="minMax"/>
          <c:max val="3"/>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85395155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Phase II Score</a:t>
            </a:r>
          </a:p>
        </c:rich>
      </c:tx>
      <c:layout>
        <c:manualLayout>
          <c:xMode val="edge"/>
          <c:yMode val="edge"/>
          <c:x val="0.76723734622399797"/>
          <c:y val="0.91054322690624079"/>
        </c:manualLayout>
      </c:layout>
      <c:overlay val="1"/>
      <c:spPr>
        <a:noFill/>
        <a:ln>
          <a:noFill/>
          <a:prstDash val="solid"/>
        </a:ln>
      </c:spPr>
    </c:title>
    <c:autoTitleDeleted val="0"/>
    <c:plotArea>
      <c:layout/>
      <c:radarChart>
        <c:radarStyle val="filled"/>
        <c:varyColors val="0"/>
        <c:ser>
          <c:idx val="33"/>
          <c:order val="0"/>
          <c:tx>
            <c:strRef>
              <c:f>Scorecard!$V$53</c:f>
              <c:strCache>
                <c:ptCount val="1"/>
                <c:pt idx="0">
                  <c:v>Governance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cat>
            <c:strRef>
              <c:f>Scorecard!$U$54:$U$68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Scorecard!$V$54:$V$68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116E-8749-B21B-3FF5528123E9}"/>
            </c:ext>
          </c:extLst>
        </c:ser>
        <c:ser>
          <c:idx val="34"/>
          <c:order val="1"/>
          <c:tx>
            <c:strRef>
              <c:f>Scorecard!$W$53</c:f>
              <c:strCache>
                <c:ptCount val="1"/>
                <c:pt idx="0">
                  <c:v>Design</c:v>
                </c:pt>
              </c:strCache>
            </c:strRef>
          </c:tx>
          <c:spPr>
            <a:solidFill>
              <a:srgbClr val="B75727"/>
            </a:solidFill>
            <a:ln>
              <a:noFill/>
              <a:prstDash val="solid"/>
            </a:ln>
            <a:sp3d/>
          </c:spPr>
          <c:cat>
            <c:strRef>
              <c:f>Scorecard!$U$54:$U$68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Scorecard!$W$54:$W$68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116E-8749-B21B-3FF5528123E9}"/>
            </c:ext>
          </c:extLst>
        </c:ser>
        <c:ser>
          <c:idx val="35"/>
          <c:order val="2"/>
          <c:tx>
            <c:strRef>
              <c:f>Scorecard!$X$53</c:f>
              <c:strCache>
                <c:ptCount val="1"/>
                <c:pt idx="0">
                  <c:v>Implementation</c:v>
                </c:pt>
              </c:strCache>
            </c:strRef>
          </c:tx>
          <c:spPr>
            <a:solidFill>
              <a:srgbClr val="BDBF17"/>
            </a:solidFill>
            <a:ln w="25400">
              <a:noFill/>
              <a:prstDash val="solid"/>
            </a:ln>
            <a:sp3d/>
          </c:spPr>
          <c:cat>
            <c:strRef>
              <c:f>Scorecard!$U$54:$U$68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Scorecard!$X$54:$X$68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2-116E-8749-B21B-3FF5528123E9}"/>
            </c:ext>
          </c:extLst>
        </c:ser>
        <c:ser>
          <c:idx val="36"/>
          <c:order val="3"/>
          <c:tx>
            <c:strRef>
              <c:f>Scorecard!$Y$53</c:f>
              <c:strCache>
                <c:ptCount val="1"/>
                <c:pt idx="0">
                  <c:v>Verification</c:v>
                </c:pt>
              </c:strCache>
            </c:strRef>
          </c:tx>
          <c:spPr>
            <a:solidFill>
              <a:srgbClr val="37793E"/>
            </a:solidFill>
            <a:ln>
              <a:noFill/>
              <a:prstDash val="solid"/>
            </a:ln>
            <a:sp3d/>
          </c:spPr>
          <c:cat>
            <c:strRef>
              <c:f>Scorecard!$U$54:$U$68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Scorecard!$Y$54:$Y$68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116E-8749-B21B-3FF5528123E9}"/>
            </c:ext>
          </c:extLst>
        </c:ser>
        <c:ser>
          <c:idx val="37"/>
          <c:order val="4"/>
          <c:tx>
            <c:strRef>
              <c:f>Scorecard!$Z$53</c:f>
              <c:strCache>
                <c:ptCount val="1"/>
                <c:pt idx="0">
                  <c:v>Operations</c:v>
                </c:pt>
              </c:strCache>
            </c:strRef>
          </c:tx>
          <c:spPr>
            <a:gradFill rotWithShape="1">
              <a:gsLst>
                <a:gs pos="0">
                  <a:schemeClr val="accent2">
                    <a:shade val="51000"/>
                    <a:satMod val="130000"/>
                    <a:lumMod val="60000"/>
                  </a:schemeClr>
                </a:gs>
                <a:gs pos="80000">
                  <a:schemeClr val="accent2">
                    <a:shade val="93000"/>
                    <a:satMod val="130000"/>
                    <a:lumMod val="60000"/>
                  </a:schemeClr>
                </a:gs>
                <a:gs pos="100000">
                  <a:schemeClr val="accent2">
                    <a:shade val="94000"/>
                    <a:satMod val="135000"/>
                    <a:lumMod val="60000"/>
                  </a:schemeClr>
                </a:gs>
              </a:gsLst>
              <a:lin ang="16200000" scaled="0"/>
            </a:gradFill>
            <a:ln>
              <a:noFill/>
              <a:prstDash val="solid"/>
            </a:ln>
            <a:sp3d/>
          </c:spPr>
          <c:cat>
            <c:strRef>
              <c:f>Scorecard!$U$54:$U$68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Scorecard!$Z$54:$Z$68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116E-8749-B21B-3FF5528123E9}"/>
            </c:ext>
          </c:extLst>
        </c:ser>
        <c:dLbls>
          <c:showLegendKey val="0"/>
          <c:showVal val="0"/>
          <c:showCatName val="0"/>
          <c:showSerName val="0"/>
          <c:showPercent val="0"/>
          <c:showBubbleSize val="0"/>
        </c:dLbls>
        <c:axId val="-1853951552"/>
        <c:axId val="-1733289472"/>
      </c:radarChart>
      <c:catAx>
        <c:axId val="-185395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33289472"/>
        <c:crosses val="autoZero"/>
        <c:auto val="1"/>
        <c:lblAlgn val="ctr"/>
        <c:lblOffset val="100"/>
        <c:noMultiLvlLbl val="0"/>
      </c:catAx>
      <c:valAx>
        <c:axId val="-1733289472"/>
        <c:scaling>
          <c:orientation val="minMax"/>
          <c:max val="3"/>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85395155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Phase I Score</a:t>
            </a:r>
          </a:p>
        </c:rich>
      </c:tx>
      <c:layout>
        <c:manualLayout>
          <c:xMode val="edge"/>
          <c:yMode val="edge"/>
          <c:x val="0.76723734622399797"/>
          <c:y val="0.91054322690624079"/>
        </c:manualLayout>
      </c:layout>
      <c:overlay val="1"/>
      <c:spPr>
        <a:noFill/>
        <a:ln>
          <a:noFill/>
          <a:prstDash val="solid"/>
        </a:ln>
      </c:spPr>
    </c:title>
    <c:autoTitleDeleted val="0"/>
    <c:plotArea>
      <c:layout/>
      <c:radarChart>
        <c:radarStyle val="filled"/>
        <c:varyColors val="0"/>
        <c:ser>
          <c:idx val="0"/>
          <c:order val="0"/>
          <c:tx>
            <c:strRef>
              <c:f>Scorecard!$V$33</c:f>
              <c:strCache>
                <c:ptCount val="1"/>
                <c:pt idx="0">
                  <c:v>Governance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cat>
            <c:strRef>
              <c:f>Scorecard!$U$34:$U$48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Scorecard!$V$34:$V$48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D8E5-024D-8419-CA9435CACCAF}"/>
            </c:ext>
          </c:extLst>
        </c:ser>
        <c:ser>
          <c:idx val="1"/>
          <c:order val="1"/>
          <c:tx>
            <c:strRef>
              <c:f>Scorecard!$W$33</c:f>
              <c:strCache>
                <c:ptCount val="1"/>
                <c:pt idx="0">
                  <c:v>Design</c:v>
                </c:pt>
              </c:strCache>
            </c:strRef>
          </c:tx>
          <c:spPr>
            <a:solidFill>
              <a:srgbClr val="B75727"/>
            </a:solidFill>
            <a:ln>
              <a:noFill/>
              <a:prstDash val="solid"/>
            </a:ln>
            <a:sp3d/>
          </c:spPr>
          <c:cat>
            <c:strRef>
              <c:f>Scorecard!$U$34:$U$48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Scorecard!$W$34:$W$48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D8E5-024D-8419-CA9435CACCAF}"/>
            </c:ext>
          </c:extLst>
        </c:ser>
        <c:ser>
          <c:idx val="2"/>
          <c:order val="2"/>
          <c:tx>
            <c:strRef>
              <c:f>Scorecard!$X$33</c:f>
              <c:strCache>
                <c:ptCount val="1"/>
                <c:pt idx="0">
                  <c:v>Implementation</c:v>
                </c:pt>
              </c:strCache>
            </c:strRef>
          </c:tx>
          <c:spPr>
            <a:solidFill>
              <a:srgbClr val="BDBF17"/>
            </a:solidFill>
            <a:ln w="25400">
              <a:noFill/>
              <a:prstDash val="solid"/>
            </a:ln>
            <a:sp3d/>
          </c:spPr>
          <c:cat>
            <c:strRef>
              <c:f>Scorecard!$U$34:$U$48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Scorecard!$X$34:$X$48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2-D8E5-024D-8419-CA9435CACCAF}"/>
            </c:ext>
          </c:extLst>
        </c:ser>
        <c:ser>
          <c:idx val="3"/>
          <c:order val="3"/>
          <c:tx>
            <c:strRef>
              <c:f>Scorecard!$Y$33</c:f>
              <c:strCache>
                <c:ptCount val="1"/>
                <c:pt idx="0">
                  <c:v>Verification</c:v>
                </c:pt>
              </c:strCache>
            </c:strRef>
          </c:tx>
          <c:spPr>
            <a:solidFill>
              <a:srgbClr val="37793E"/>
            </a:solidFill>
            <a:ln>
              <a:noFill/>
              <a:prstDash val="solid"/>
            </a:ln>
            <a:sp3d/>
          </c:spPr>
          <c:cat>
            <c:strRef>
              <c:f>Scorecard!$U$34:$U$48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Scorecard!$Y$34:$Y$48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D8E5-024D-8419-CA9435CACCAF}"/>
            </c:ext>
          </c:extLst>
        </c:ser>
        <c:ser>
          <c:idx val="4"/>
          <c:order val="4"/>
          <c:tx>
            <c:strRef>
              <c:f>Scorecard!$Z$33</c:f>
              <c:strCache>
                <c:ptCount val="1"/>
                <c:pt idx="0">
                  <c:v>Operations</c:v>
                </c:pt>
              </c:strCache>
            </c:strRef>
          </c:tx>
          <c:spPr>
            <a:gradFill rotWithShape="1">
              <a:gsLst>
                <a:gs pos="0">
                  <a:schemeClr val="accent2">
                    <a:shade val="51000"/>
                    <a:satMod val="130000"/>
                    <a:lumMod val="60000"/>
                  </a:schemeClr>
                </a:gs>
                <a:gs pos="80000">
                  <a:schemeClr val="accent2">
                    <a:shade val="93000"/>
                    <a:satMod val="130000"/>
                    <a:lumMod val="60000"/>
                  </a:schemeClr>
                </a:gs>
                <a:gs pos="100000">
                  <a:schemeClr val="accent2">
                    <a:shade val="94000"/>
                    <a:satMod val="135000"/>
                    <a:lumMod val="60000"/>
                  </a:schemeClr>
                </a:gs>
              </a:gsLst>
              <a:lin ang="16200000" scaled="0"/>
            </a:gradFill>
            <a:ln>
              <a:noFill/>
              <a:prstDash val="solid"/>
            </a:ln>
            <a:sp3d/>
          </c:spPr>
          <c:cat>
            <c:strRef>
              <c:f>Scorecard!$U$34:$U$48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Scorecard!$Z$34:$Z$48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D8E5-024D-8419-CA9435CACCAF}"/>
            </c:ext>
          </c:extLst>
        </c:ser>
        <c:dLbls>
          <c:showLegendKey val="0"/>
          <c:showVal val="0"/>
          <c:showCatName val="0"/>
          <c:showSerName val="0"/>
          <c:showPercent val="0"/>
          <c:showBubbleSize val="0"/>
        </c:dLbls>
        <c:axId val="-1853951552"/>
        <c:axId val="-1733289472"/>
      </c:radarChart>
      <c:catAx>
        <c:axId val="-185395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33289472"/>
        <c:crosses val="autoZero"/>
        <c:auto val="1"/>
        <c:lblAlgn val="ctr"/>
        <c:lblOffset val="100"/>
        <c:noMultiLvlLbl val="0"/>
      </c:catAx>
      <c:valAx>
        <c:axId val="-1733289472"/>
        <c:scaling>
          <c:orientation val="minMax"/>
          <c:max val="3"/>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853951552"/>
        <c:crosses val="autoZero"/>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Phase IV Score</a:t>
            </a:r>
          </a:p>
        </c:rich>
      </c:tx>
      <c:layout>
        <c:manualLayout>
          <c:xMode val="edge"/>
          <c:yMode val="edge"/>
          <c:x val="0.76723734622399797"/>
          <c:y val="0.91054322690624079"/>
        </c:manualLayout>
      </c:layout>
      <c:overlay val="1"/>
      <c:spPr>
        <a:noFill/>
        <a:ln>
          <a:noFill/>
          <a:prstDash val="solid"/>
        </a:ln>
      </c:spPr>
    </c:title>
    <c:autoTitleDeleted val="0"/>
    <c:plotArea>
      <c:layout/>
      <c:radarChart>
        <c:radarStyle val="filled"/>
        <c:varyColors val="0"/>
        <c:ser>
          <c:idx val="33"/>
          <c:order val="0"/>
          <c:tx>
            <c:strRef>
              <c:f>Scorecard!$V$93</c:f>
              <c:strCache>
                <c:ptCount val="1"/>
                <c:pt idx="0">
                  <c:v>Governance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cat>
            <c:strRef>
              <c:f>Scorecard!$U$94:$U$108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Scorecard!$V$94:$V$108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3600-4546-84C6-C6D0DD926A7B}"/>
            </c:ext>
          </c:extLst>
        </c:ser>
        <c:ser>
          <c:idx val="34"/>
          <c:order val="1"/>
          <c:tx>
            <c:strRef>
              <c:f>Scorecard!$W$93</c:f>
              <c:strCache>
                <c:ptCount val="1"/>
                <c:pt idx="0">
                  <c:v>Design</c:v>
                </c:pt>
              </c:strCache>
            </c:strRef>
          </c:tx>
          <c:spPr>
            <a:solidFill>
              <a:srgbClr val="B75727"/>
            </a:solidFill>
            <a:ln>
              <a:noFill/>
              <a:prstDash val="solid"/>
            </a:ln>
            <a:sp3d/>
          </c:spPr>
          <c:cat>
            <c:strRef>
              <c:f>Scorecard!$U$94:$U$108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Scorecard!$W$94:$W$108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3600-4546-84C6-C6D0DD926A7B}"/>
            </c:ext>
          </c:extLst>
        </c:ser>
        <c:ser>
          <c:idx val="35"/>
          <c:order val="2"/>
          <c:tx>
            <c:strRef>
              <c:f>Scorecard!$X$93</c:f>
              <c:strCache>
                <c:ptCount val="1"/>
                <c:pt idx="0">
                  <c:v>Implementation</c:v>
                </c:pt>
              </c:strCache>
            </c:strRef>
          </c:tx>
          <c:spPr>
            <a:solidFill>
              <a:srgbClr val="BDBF17"/>
            </a:solidFill>
            <a:ln w="25400">
              <a:noFill/>
              <a:prstDash val="solid"/>
            </a:ln>
            <a:sp3d/>
          </c:spPr>
          <c:cat>
            <c:strRef>
              <c:f>Scorecard!$U$94:$U$108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Scorecard!$X$94:$X$108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2-3600-4546-84C6-C6D0DD926A7B}"/>
            </c:ext>
          </c:extLst>
        </c:ser>
        <c:ser>
          <c:idx val="36"/>
          <c:order val="3"/>
          <c:tx>
            <c:strRef>
              <c:f>Scorecard!$Y$93</c:f>
              <c:strCache>
                <c:ptCount val="1"/>
                <c:pt idx="0">
                  <c:v>Verification</c:v>
                </c:pt>
              </c:strCache>
            </c:strRef>
          </c:tx>
          <c:spPr>
            <a:solidFill>
              <a:srgbClr val="37793E"/>
            </a:solidFill>
            <a:ln>
              <a:noFill/>
              <a:prstDash val="solid"/>
            </a:ln>
            <a:sp3d/>
          </c:spPr>
          <c:cat>
            <c:strRef>
              <c:f>Scorecard!$U$94:$U$108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Scorecard!$Y$94:$Y$108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3600-4546-84C6-C6D0DD926A7B}"/>
            </c:ext>
          </c:extLst>
        </c:ser>
        <c:ser>
          <c:idx val="37"/>
          <c:order val="4"/>
          <c:tx>
            <c:strRef>
              <c:f>Scorecard!$Z$93</c:f>
              <c:strCache>
                <c:ptCount val="1"/>
                <c:pt idx="0">
                  <c:v>Operations</c:v>
                </c:pt>
              </c:strCache>
            </c:strRef>
          </c:tx>
          <c:spPr>
            <a:gradFill rotWithShape="1">
              <a:gsLst>
                <a:gs pos="0">
                  <a:schemeClr val="accent2">
                    <a:shade val="51000"/>
                    <a:satMod val="130000"/>
                    <a:lumMod val="60000"/>
                  </a:schemeClr>
                </a:gs>
                <a:gs pos="80000">
                  <a:schemeClr val="accent2">
                    <a:shade val="93000"/>
                    <a:satMod val="130000"/>
                    <a:lumMod val="60000"/>
                  </a:schemeClr>
                </a:gs>
                <a:gs pos="100000">
                  <a:schemeClr val="accent2">
                    <a:shade val="94000"/>
                    <a:satMod val="135000"/>
                    <a:lumMod val="60000"/>
                  </a:schemeClr>
                </a:gs>
              </a:gsLst>
              <a:lin ang="16200000" scaled="0"/>
            </a:gradFill>
            <a:ln>
              <a:noFill/>
              <a:prstDash val="solid"/>
            </a:ln>
            <a:sp3d/>
          </c:spPr>
          <c:cat>
            <c:strRef>
              <c:f>Scorecard!$U$94:$U$108</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Scorecard!$Z$94:$Z$108</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3600-4546-84C6-C6D0DD926A7B}"/>
            </c:ext>
          </c:extLst>
        </c:ser>
        <c:dLbls>
          <c:showLegendKey val="0"/>
          <c:showVal val="0"/>
          <c:showCatName val="0"/>
          <c:showSerName val="0"/>
          <c:showPercent val="0"/>
          <c:showBubbleSize val="0"/>
        </c:dLbls>
        <c:axId val="-1853951552"/>
        <c:axId val="-1733289472"/>
      </c:radarChart>
      <c:catAx>
        <c:axId val="-185395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33289472"/>
        <c:crosses val="autoZero"/>
        <c:auto val="1"/>
        <c:lblAlgn val="ctr"/>
        <c:lblOffset val="100"/>
        <c:noMultiLvlLbl val="0"/>
      </c:catAx>
      <c:valAx>
        <c:axId val="-1733289472"/>
        <c:scaling>
          <c:orientation val="minMax"/>
          <c:max val="3"/>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853951552"/>
        <c:crosses val="autoZero"/>
        <c:crossBetween val="between"/>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Phase III Score</a:t>
            </a:r>
          </a:p>
        </c:rich>
      </c:tx>
      <c:layout>
        <c:manualLayout>
          <c:xMode val="edge"/>
          <c:yMode val="edge"/>
          <c:x val="0.76723734622399797"/>
          <c:y val="0.91054322690624079"/>
        </c:manualLayout>
      </c:layout>
      <c:overlay val="1"/>
      <c:spPr>
        <a:noFill/>
        <a:ln>
          <a:noFill/>
          <a:prstDash val="solid"/>
        </a:ln>
      </c:spPr>
    </c:title>
    <c:autoTitleDeleted val="0"/>
    <c:plotArea>
      <c:layout/>
      <c:radarChart>
        <c:radarStyle val="filled"/>
        <c:varyColors val="0"/>
        <c:ser>
          <c:idx val="33"/>
          <c:order val="0"/>
          <c:tx>
            <c:strRef>
              <c:f>Scorecard!$V$72</c:f>
              <c:strCache>
                <c:ptCount val="1"/>
                <c:pt idx="0">
                  <c:v>Governance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prstDash val="solid"/>
            </a:ln>
            <a:sp3d/>
          </c:spPr>
          <c:cat>
            <c:strRef>
              <c:f>Scorecard!$U$73:$U$87</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Scorecard!$V$73:$V$87</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EC98-6A47-88D0-B45E31DC8C20}"/>
            </c:ext>
          </c:extLst>
        </c:ser>
        <c:ser>
          <c:idx val="34"/>
          <c:order val="1"/>
          <c:tx>
            <c:strRef>
              <c:f>Scorecard!$W$72</c:f>
              <c:strCache>
                <c:ptCount val="1"/>
                <c:pt idx="0">
                  <c:v>Design</c:v>
                </c:pt>
              </c:strCache>
            </c:strRef>
          </c:tx>
          <c:spPr>
            <a:solidFill>
              <a:srgbClr val="B75727"/>
            </a:solidFill>
            <a:ln>
              <a:noFill/>
              <a:prstDash val="solid"/>
            </a:ln>
            <a:sp3d/>
          </c:spPr>
          <c:cat>
            <c:strRef>
              <c:f>Scorecard!$U$73:$U$87</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Scorecard!$W$73:$W$87</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EC98-6A47-88D0-B45E31DC8C20}"/>
            </c:ext>
          </c:extLst>
        </c:ser>
        <c:ser>
          <c:idx val="35"/>
          <c:order val="2"/>
          <c:tx>
            <c:strRef>
              <c:f>Scorecard!$X$72</c:f>
              <c:strCache>
                <c:ptCount val="1"/>
                <c:pt idx="0">
                  <c:v>Implementation</c:v>
                </c:pt>
              </c:strCache>
            </c:strRef>
          </c:tx>
          <c:spPr>
            <a:solidFill>
              <a:srgbClr val="BDBF17"/>
            </a:solidFill>
            <a:ln w="25400">
              <a:noFill/>
              <a:prstDash val="solid"/>
            </a:ln>
            <a:sp3d/>
          </c:spPr>
          <c:cat>
            <c:strRef>
              <c:f>Scorecard!$U$73:$U$87</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Scorecard!$X$73:$X$87</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2-EC98-6A47-88D0-B45E31DC8C20}"/>
            </c:ext>
          </c:extLst>
        </c:ser>
        <c:ser>
          <c:idx val="36"/>
          <c:order val="3"/>
          <c:tx>
            <c:strRef>
              <c:f>Scorecard!$Y$72</c:f>
              <c:strCache>
                <c:ptCount val="1"/>
                <c:pt idx="0">
                  <c:v>Verification</c:v>
                </c:pt>
              </c:strCache>
            </c:strRef>
          </c:tx>
          <c:spPr>
            <a:solidFill>
              <a:srgbClr val="37793E"/>
            </a:solidFill>
            <a:ln>
              <a:noFill/>
              <a:prstDash val="solid"/>
            </a:ln>
            <a:sp3d/>
          </c:spPr>
          <c:cat>
            <c:strRef>
              <c:f>Scorecard!$U$73:$U$87</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Scorecard!$Y$73:$Y$87</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EC98-6A47-88D0-B45E31DC8C20}"/>
            </c:ext>
          </c:extLst>
        </c:ser>
        <c:ser>
          <c:idx val="37"/>
          <c:order val="4"/>
          <c:tx>
            <c:strRef>
              <c:f>Scorecard!$Z$72</c:f>
              <c:strCache>
                <c:ptCount val="1"/>
                <c:pt idx="0">
                  <c:v>Operations</c:v>
                </c:pt>
              </c:strCache>
            </c:strRef>
          </c:tx>
          <c:spPr>
            <a:gradFill rotWithShape="1">
              <a:gsLst>
                <a:gs pos="0">
                  <a:schemeClr val="accent2">
                    <a:shade val="51000"/>
                    <a:satMod val="130000"/>
                    <a:lumMod val="60000"/>
                  </a:schemeClr>
                </a:gs>
                <a:gs pos="80000">
                  <a:schemeClr val="accent2">
                    <a:shade val="93000"/>
                    <a:satMod val="130000"/>
                    <a:lumMod val="60000"/>
                  </a:schemeClr>
                </a:gs>
                <a:gs pos="100000">
                  <a:schemeClr val="accent2">
                    <a:shade val="94000"/>
                    <a:satMod val="135000"/>
                    <a:lumMod val="60000"/>
                  </a:schemeClr>
                </a:gs>
              </a:gsLst>
              <a:lin ang="16200000" scaled="0"/>
            </a:gradFill>
            <a:ln>
              <a:noFill/>
              <a:prstDash val="solid"/>
            </a:ln>
            <a:sp3d/>
          </c:spPr>
          <c:cat>
            <c:strRef>
              <c:f>Scorecard!$U$73:$U$87</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Scorecard!$Z$73:$Z$87</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EC98-6A47-88D0-B45E31DC8C20}"/>
            </c:ext>
          </c:extLst>
        </c:ser>
        <c:dLbls>
          <c:showLegendKey val="0"/>
          <c:showVal val="0"/>
          <c:showCatName val="0"/>
          <c:showSerName val="0"/>
          <c:showPercent val="0"/>
          <c:showBubbleSize val="0"/>
        </c:dLbls>
        <c:axId val="-1853951552"/>
        <c:axId val="-1733289472"/>
      </c:radarChart>
      <c:catAx>
        <c:axId val="-185395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33289472"/>
        <c:crosses val="autoZero"/>
        <c:auto val="1"/>
        <c:lblAlgn val="ctr"/>
        <c:lblOffset val="100"/>
        <c:noMultiLvlLbl val="0"/>
      </c:catAx>
      <c:valAx>
        <c:axId val="-1733289472"/>
        <c:scaling>
          <c:orientation val="minMax"/>
          <c:max val="3"/>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853951552"/>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6178055086399501E-2"/>
          <c:y val="7.9787234042553203E-3"/>
          <c:w val="0.94939079780008895"/>
          <c:h val="0.98457446808510596"/>
        </c:manualLayout>
      </c:layout>
      <c:areaChart>
        <c:grouping val="stacked"/>
        <c:varyColors val="0"/>
        <c:ser>
          <c:idx val="0"/>
          <c:order val="0"/>
          <c:spPr>
            <a:noFill/>
            <a:ln w="25400">
              <a:noFill/>
              <a:prstDash val="solid"/>
            </a:ln>
          </c:spPr>
          <c:val>
            <c:numRef>
              <c:f>'Roadmap Chart'!$Y$4:$AA$4</c:f>
              <c:numCache>
                <c:formatCode>General</c:formatCode>
                <c:ptCount val="3"/>
              </c:numCache>
            </c:numRef>
          </c:val>
          <c:extLst>
            <c:ext xmlns:c16="http://schemas.microsoft.com/office/drawing/2014/chart" uri="{C3380CC4-5D6E-409C-BE32-E72D297353CC}">
              <c16:uniqueId val="{00000000-4062-914F-825D-10BED99F40B9}"/>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General"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453555370854797E-2"/>
          <c:y val="0.16025741347038699"/>
          <c:w val="0.92047529424983898"/>
          <c:h val="0.64102965388154698"/>
        </c:manualLayout>
      </c:layout>
      <c:areaChart>
        <c:grouping val="standard"/>
        <c:varyColors val="0"/>
        <c:ser>
          <c:idx val="0"/>
          <c:order val="0"/>
          <c:spPr>
            <a:solidFill>
              <a:schemeClr val="accent2"/>
            </a:solidFill>
            <a:ln>
              <a:noFill/>
              <a:prstDash val="solid"/>
            </a:ln>
          </c:spPr>
          <c:val>
            <c:numRef>
              <c:f>'Roadmap Chart'!$B$12:$J$12</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2575-7346-8A41-B759D74B8A6E}"/>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8227848101266"/>
          <c:w val="0.92060886742575798"/>
          <c:h val="0.645569620253165"/>
        </c:manualLayout>
      </c:layout>
      <c:areaChart>
        <c:grouping val="standard"/>
        <c:varyColors val="0"/>
        <c:ser>
          <c:idx val="0"/>
          <c:order val="0"/>
          <c:spPr>
            <a:solidFill>
              <a:schemeClr val="accent2"/>
            </a:solidFill>
            <a:ln>
              <a:noFill/>
              <a:prstDash val="solid"/>
            </a:ln>
          </c:spPr>
          <c:val>
            <c:numRef>
              <c:f>'Roadmap Chart'!$B$13:$J$13</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8B7C-9144-B6E5-C4036000916A}"/>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276559865092699E-2"/>
          <c:y val="0.15723367011639"/>
          <c:w val="0.92074198988195599"/>
          <c:h val="0.64780272087952595"/>
        </c:manualLayout>
      </c:layout>
      <c:areaChart>
        <c:grouping val="standard"/>
        <c:varyColors val="0"/>
        <c:ser>
          <c:idx val="0"/>
          <c:order val="0"/>
          <c:spPr>
            <a:solidFill>
              <a:schemeClr val="accent2"/>
            </a:solidFill>
            <a:ln>
              <a:noFill/>
              <a:prstDash val="solid"/>
            </a:ln>
          </c:spPr>
          <c:val>
            <c:numRef>
              <c:f>'Roadmap Chart'!$B$14:$J$14</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6B4D-0A4F-AC02-D2FD040C46B2}"/>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453555370854797E-2"/>
          <c:y val="0.158227848101266"/>
          <c:w val="0.92047529424983898"/>
          <c:h val="0.645569620253165"/>
        </c:manualLayout>
      </c:layout>
      <c:areaChart>
        <c:grouping val="standard"/>
        <c:varyColors val="0"/>
        <c:ser>
          <c:idx val="0"/>
          <c:order val="0"/>
          <c:spPr>
            <a:solidFill>
              <a:schemeClr val="accent3"/>
            </a:solidFill>
            <a:ln>
              <a:noFill/>
              <a:prstDash val="solid"/>
            </a:ln>
          </c:spPr>
          <c:val>
            <c:numRef>
              <c:f>'Roadmap Chart'!$B$15:$J$15</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C413-0D47-B803-37E6F6243C58}"/>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453555370854797E-2"/>
          <c:y val="0.158227848101266"/>
          <c:w val="0.92047529424983898"/>
          <c:h val="0.645569620253165"/>
        </c:manualLayout>
      </c:layout>
      <c:areaChart>
        <c:grouping val="standard"/>
        <c:varyColors val="0"/>
        <c:ser>
          <c:idx val="0"/>
          <c:order val="0"/>
          <c:spPr>
            <a:solidFill>
              <a:schemeClr val="accent3"/>
            </a:solidFill>
            <a:ln>
              <a:noFill/>
              <a:prstDash val="solid"/>
            </a:ln>
          </c:spPr>
          <c:val>
            <c:numRef>
              <c:f>'Roadmap Chart'!$B$16:$J$16</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A23A-414B-8FEA-C178E7F4842B}"/>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723367011639"/>
          <c:w val="0.92060886742575798"/>
          <c:h val="0.64780272087952595"/>
        </c:manualLayout>
      </c:layout>
      <c:areaChart>
        <c:grouping val="standard"/>
        <c:varyColors val="0"/>
        <c:ser>
          <c:idx val="0"/>
          <c:order val="0"/>
          <c:spPr>
            <a:solidFill>
              <a:schemeClr val="accent3"/>
            </a:solidFill>
            <a:ln>
              <a:noFill/>
              <a:prstDash val="solid"/>
            </a:ln>
          </c:spPr>
          <c:val>
            <c:numRef>
              <c:f>'Roadmap Chart'!$B$17:$J$17</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222A-B548-BC12-5034E1CBD034}"/>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453555370854797E-2"/>
          <c:y val="0.15625047683861301"/>
          <c:w val="0.92047529424983898"/>
          <c:h val="0.65000198364863204"/>
        </c:manualLayout>
      </c:layout>
      <c:areaChart>
        <c:grouping val="standard"/>
        <c:varyColors val="0"/>
        <c:ser>
          <c:idx val="0"/>
          <c:order val="0"/>
          <c:spPr>
            <a:solidFill>
              <a:schemeClr val="accent5"/>
            </a:solidFill>
            <a:ln>
              <a:noFill/>
              <a:prstDash val="solid"/>
            </a:ln>
          </c:spPr>
          <c:val>
            <c:numRef>
              <c:f>'Roadmap Chart'!$B$21:$J$21</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17B6-9240-BA09-047524431518}"/>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527950310558999"/>
          <c:w val="0.92060886742575798"/>
          <c:h val="0.65217391304347905"/>
        </c:manualLayout>
      </c:layout>
      <c:areaChart>
        <c:grouping val="standard"/>
        <c:varyColors val="0"/>
        <c:ser>
          <c:idx val="0"/>
          <c:order val="0"/>
          <c:spPr>
            <a:solidFill>
              <a:schemeClr val="accent5"/>
            </a:solidFill>
            <a:ln>
              <a:noFill/>
              <a:prstDash val="solid"/>
            </a:ln>
          </c:spPr>
          <c:val>
            <c:numRef>
              <c:f>'Roadmap Chart'!$B$22:$J$22</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3729-8A4B-A6B9-4DCC1570BE4A}"/>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542372881355902E-2"/>
          <c:y val="0.15527950310558999"/>
          <c:w val="0.92033898305084705"/>
          <c:h val="0.65217391304347905"/>
        </c:manualLayout>
      </c:layout>
      <c:areaChart>
        <c:grouping val="standard"/>
        <c:varyColors val="0"/>
        <c:ser>
          <c:idx val="0"/>
          <c:order val="0"/>
          <c:spPr>
            <a:solidFill>
              <a:schemeClr val="accent5"/>
            </a:solidFill>
            <a:ln>
              <a:noFill/>
              <a:prstDash val="solid"/>
            </a:ln>
          </c:spPr>
          <c:val>
            <c:numRef>
              <c:f>'Roadmap Chart'!$B$23:$J$23</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9A3F-424F-9929-28AA59010ACB}"/>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453555370854797E-2"/>
          <c:y val="0.15432191793208599"/>
          <c:w val="0.92047529424983898"/>
          <c:h val="0.654324932032046"/>
        </c:manualLayout>
      </c:layout>
      <c:areaChart>
        <c:grouping val="standard"/>
        <c:varyColors val="0"/>
        <c:ser>
          <c:idx val="0"/>
          <c:order val="0"/>
          <c:spPr>
            <a:solidFill>
              <a:schemeClr val="accent6"/>
            </a:solidFill>
            <a:ln>
              <a:noFill/>
              <a:prstDash val="solid"/>
            </a:ln>
          </c:spPr>
          <c:val>
            <c:numRef>
              <c:f>'Roadmap Chart'!$B$24:$J$24</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BB15-F741-A910-D473C70A765E}"/>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337469257660499"/>
          <c:w val="0.92060886742575798"/>
          <c:h val="0.65644368422786903"/>
        </c:manualLayout>
      </c:layout>
      <c:areaChart>
        <c:grouping val="standard"/>
        <c:varyColors val="0"/>
        <c:ser>
          <c:idx val="0"/>
          <c:order val="0"/>
          <c:spPr>
            <a:solidFill>
              <a:schemeClr val="accent6"/>
            </a:solidFill>
            <a:ln>
              <a:noFill/>
              <a:prstDash val="solid"/>
            </a:ln>
          </c:spPr>
          <c:val>
            <c:numRef>
              <c:f>'Roadmap Chart'!$B$25:$J$25</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CBD9-0F42-865F-F2F617705778}"/>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337469257660499"/>
          <c:w val="0.92060886742575798"/>
          <c:h val="0.65644368422786903"/>
        </c:manualLayout>
      </c:layout>
      <c:areaChart>
        <c:grouping val="standard"/>
        <c:varyColors val="0"/>
        <c:ser>
          <c:idx val="0"/>
          <c:order val="0"/>
          <c:spPr>
            <a:solidFill>
              <a:schemeClr val="accent6"/>
            </a:solidFill>
            <a:ln>
              <a:noFill/>
              <a:prstDash val="solid"/>
            </a:ln>
          </c:spPr>
          <c:val>
            <c:numRef>
              <c:f>'Roadmap Chart'!$B$26:$J$26</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A179-A943-8D1E-66F79B5457BB}"/>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0"/>
          <c:order val="0"/>
          <c:tx>
            <c:strRef>
              <c:f>'Roadmap Chart'!$AA$11</c:f>
              <c:strCache>
                <c:ptCount val="1"/>
                <c:pt idx="0">
                  <c:v>Phase 4</c:v>
                </c:pt>
              </c:strCache>
            </c:strRef>
          </c:tx>
          <c:spPr>
            <a:solidFill>
              <a:schemeClr val="accent3"/>
            </a:solidFill>
            <a:ln>
              <a:solidFill>
                <a:schemeClr val="accent3"/>
              </a:solidFill>
              <a:prstDash val="solid"/>
            </a:ln>
          </c:spPr>
          <c:cat>
            <c:strRef>
              <c:f>'Roadmap Chart'!$Z$12:$Z$26</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'Roadmap Chart'!$AA$12:$AA$26</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23D4-C44C-B746-4EAD91DAC3F9}"/>
            </c:ext>
          </c:extLst>
        </c:ser>
        <c:ser>
          <c:idx val="1"/>
          <c:order val="1"/>
          <c:tx>
            <c:strRef>
              <c:f>'Roadmap Chart'!$AB$11</c:f>
              <c:strCache>
                <c:ptCount val="1"/>
                <c:pt idx="0">
                  <c:v>Phase 3</c:v>
                </c:pt>
              </c:strCache>
            </c:strRef>
          </c:tx>
          <c:spPr>
            <a:solidFill>
              <a:srgbClr val="00B0F0"/>
            </a:solidFill>
            <a:ln>
              <a:prstDash val="solid"/>
            </a:ln>
          </c:spPr>
          <c:cat>
            <c:strRef>
              <c:f>'Roadmap Chart'!$Z$12:$Z$26</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'Roadmap Chart'!$AB$12:$AB$26</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23D4-C44C-B746-4EAD91DAC3F9}"/>
            </c:ext>
          </c:extLst>
        </c:ser>
        <c:ser>
          <c:idx val="2"/>
          <c:order val="2"/>
          <c:tx>
            <c:strRef>
              <c:f>'Roadmap Chart'!$AC$11</c:f>
              <c:strCache>
                <c:ptCount val="1"/>
                <c:pt idx="0">
                  <c:v>Phase 2</c:v>
                </c:pt>
              </c:strCache>
            </c:strRef>
          </c:tx>
          <c:spPr>
            <a:solidFill>
              <a:srgbClr val="FFC000"/>
            </a:solidFill>
            <a:ln>
              <a:prstDash val="solid"/>
            </a:ln>
          </c:spPr>
          <c:cat>
            <c:strRef>
              <c:f>'Roadmap Chart'!$Z$12:$Z$26</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'Roadmap Chart'!$AC$12:$AC$26</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2-23D4-C44C-B746-4EAD91DAC3F9}"/>
            </c:ext>
          </c:extLst>
        </c:ser>
        <c:ser>
          <c:idx val="3"/>
          <c:order val="3"/>
          <c:tx>
            <c:strRef>
              <c:f>'Roadmap Chart'!$AD$11</c:f>
              <c:strCache>
                <c:ptCount val="1"/>
                <c:pt idx="0">
                  <c:v>Phase 1</c:v>
                </c:pt>
              </c:strCache>
            </c:strRef>
          </c:tx>
          <c:spPr>
            <a:solidFill>
              <a:schemeClr val="accent2"/>
            </a:solidFill>
            <a:ln>
              <a:solidFill>
                <a:schemeClr val="accent2"/>
              </a:solidFill>
              <a:prstDash val="solid"/>
            </a:ln>
          </c:spPr>
          <c:cat>
            <c:strRef>
              <c:f>'Roadmap Chart'!$Z$12:$Z$26</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'Roadmap Chart'!$AD$12:$AD$26</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23D4-C44C-B746-4EAD91DAC3F9}"/>
            </c:ext>
          </c:extLst>
        </c:ser>
        <c:ser>
          <c:idx val="4"/>
          <c:order val="4"/>
          <c:tx>
            <c:strRef>
              <c:f>'Roadmap Chart'!$AE$11</c:f>
              <c:strCache>
                <c:ptCount val="1"/>
                <c:pt idx="0">
                  <c:v>Start</c:v>
                </c:pt>
              </c:strCache>
            </c:strRef>
          </c:tx>
          <c:spPr>
            <a:solidFill>
              <a:schemeClr val="bg2">
                <a:lumMod val="90000"/>
              </a:schemeClr>
            </a:solidFill>
            <a:ln>
              <a:prstDash val="solid"/>
            </a:ln>
          </c:spPr>
          <c:cat>
            <c:strRef>
              <c:f>'Roadmap Chart'!$Z$12:$Z$26</c:f>
              <c:strCache>
                <c:ptCount val="15"/>
                <c:pt idx="0">
                  <c:v>Strategy &amp; Metrics</c:v>
                </c:pt>
                <c:pt idx="1">
                  <c:v>Policy &amp; Compliance</c:v>
                </c:pt>
                <c:pt idx="2">
                  <c:v>Education &amp; Guidance</c:v>
                </c:pt>
                <c:pt idx="3">
                  <c:v>Threat Assessment</c:v>
                </c:pt>
                <c:pt idx="4">
                  <c:v>Security Requirements</c:v>
                </c:pt>
                <c:pt idx="5">
                  <c:v>Secure Architecture</c:v>
                </c:pt>
                <c:pt idx="6">
                  <c:v>Secure Build</c:v>
                </c:pt>
                <c:pt idx="7">
                  <c:v>Secure Deployment</c:v>
                </c:pt>
                <c:pt idx="8">
                  <c:v>Defect Management</c:v>
                </c:pt>
                <c:pt idx="9">
                  <c:v>Architecture Assessment</c:v>
                </c:pt>
                <c:pt idx="10">
                  <c:v>Requirements Testing</c:v>
                </c:pt>
                <c:pt idx="11">
                  <c:v>Security Testing</c:v>
                </c:pt>
                <c:pt idx="12">
                  <c:v>Incident Management</c:v>
                </c:pt>
                <c:pt idx="13">
                  <c:v>Environment Management</c:v>
                </c:pt>
                <c:pt idx="14">
                  <c:v>Operational Management</c:v>
                </c:pt>
              </c:strCache>
            </c:strRef>
          </c:cat>
          <c:val>
            <c:numRef>
              <c:f>'Roadmap Chart'!$AE$12:$AE$26</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23D4-C44C-B746-4EAD91DAC3F9}"/>
            </c:ext>
          </c:extLst>
        </c:ser>
        <c:dLbls>
          <c:showLegendKey val="0"/>
          <c:showVal val="0"/>
          <c:showCatName val="0"/>
          <c:showSerName val="0"/>
          <c:showPercent val="0"/>
          <c:showBubbleSize val="0"/>
        </c:dLbls>
        <c:axId val="-1708641200"/>
        <c:axId val="-1708638880"/>
      </c:radarChart>
      <c:catAx>
        <c:axId val="-1708641200"/>
        <c:scaling>
          <c:orientation val="minMax"/>
        </c:scaling>
        <c:delete val="0"/>
        <c:axPos val="b"/>
        <c:majorGridlines/>
        <c:numFmt formatCode="General" sourceLinked="0"/>
        <c:majorTickMark val="out"/>
        <c:minorTickMark val="none"/>
        <c:tickLblPos val="nextTo"/>
        <c:txPr>
          <a:bodyPr/>
          <a:lstStyle/>
          <a:p>
            <a:pPr>
              <a:defRPr b="1"/>
            </a:pPr>
            <a:endParaRPr lang="en-US"/>
          </a:p>
        </c:txPr>
        <c:crossAx val="-1708638880"/>
        <c:crosses val="autoZero"/>
        <c:auto val="1"/>
        <c:lblAlgn val="ctr"/>
        <c:lblOffset val="100"/>
        <c:noMultiLvlLbl val="0"/>
      </c:catAx>
      <c:valAx>
        <c:axId val="-1708638880"/>
        <c:scaling>
          <c:orientation val="minMax"/>
        </c:scaling>
        <c:delete val="0"/>
        <c:axPos val="l"/>
        <c:majorGridlines/>
        <c:numFmt formatCode="0.00" sourceLinked="1"/>
        <c:majorTickMark val="cross"/>
        <c:minorTickMark val="none"/>
        <c:tickLblPos val="nextTo"/>
        <c:txPr>
          <a:bodyPr/>
          <a:lstStyle/>
          <a:p>
            <a:pPr>
              <a:defRPr sz="1100" b="0">
                <a:latin typeface="+mj-lt"/>
              </a:defRPr>
            </a:pPr>
            <a:endParaRPr lang="en-US"/>
          </a:p>
        </c:txPr>
        <c:crossAx val="-1708641200"/>
        <c:crosses val="autoZero"/>
        <c:crossBetween val="between"/>
        <c:majorUnit val="1"/>
      </c:valAx>
    </c:plotArea>
    <c:legend>
      <c:legendPos val="r"/>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723367011639"/>
          <c:w val="0.92060886742575798"/>
          <c:h val="0.64780272087952595"/>
        </c:manualLayout>
      </c:layout>
      <c:areaChart>
        <c:grouping val="standard"/>
        <c:varyColors val="0"/>
        <c:ser>
          <c:idx val="0"/>
          <c:order val="0"/>
          <c:spPr>
            <a:solidFill>
              <a:schemeClr val="accent4"/>
            </a:solidFill>
            <a:ln>
              <a:noFill/>
              <a:prstDash val="solid"/>
            </a:ln>
          </c:spPr>
          <c:val>
            <c:numRef>
              <c:f>'Roadmap Chart'!$B$18:$J$18</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A0A5-6443-BB57-10C2EC16337B}"/>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723367011639"/>
          <c:w val="0.92060886742575798"/>
          <c:h val="0.64780272087952595"/>
        </c:manualLayout>
      </c:layout>
      <c:areaChart>
        <c:grouping val="standard"/>
        <c:varyColors val="0"/>
        <c:ser>
          <c:idx val="0"/>
          <c:order val="0"/>
          <c:spPr>
            <a:solidFill>
              <a:schemeClr val="accent4"/>
            </a:solidFill>
            <a:ln>
              <a:noFill/>
              <a:prstDash val="solid"/>
            </a:ln>
          </c:spPr>
          <c:val>
            <c:numRef>
              <c:f>'Roadmap Chart'!$B$19:$J$19</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FB22-9245-9DE9-2841C05662F4}"/>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64908055410102E-2"/>
          <c:y val="0.15723367011639"/>
          <c:w val="0.92060886742575798"/>
          <c:h val="0.64780272087952595"/>
        </c:manualLayout>
      </c:layout>
      <c:areaChart>
        <c:grouping val="standard"/>
        <c:varyColors val="0"/>
        <c:ser>
          <c:idx val="0"/>
          <c:order val="0"/>
          <c:spPr>
            <a:solidFill>
              <a:schemeClr val="accent4"/>
            </a:solidFill>
            <a:ln>
              <a:noFill/>
              <a:prstDash val="solid"/>
            </a:ln>
          </c:spPr>
          <c:val>
            <c:numRef>
              <c:f>'Roadmap Chart'!$B$20:$J$20</c:f>
              <c:numCache>
                <c:formatCode>0.00</c:formatCode>
                <c:ptCount val="9"/>
                <c:pt idx="0">
                  <c:v>0</c:v>
                </c:pt>
                <c:pt idx="1">
                  <c:v>0</c:v>
                </c:pt>
                <c:pt idx="2" formatCode="General">
                  <c:v>0</c:v>
                </c:pt>
                <c:pt idx="3">
                  <c:v>0</c:v>
                </c:pt>
                <c:pt idx="4" formatCode="General">
                  <c:v>0</c:v>
                </c:pt>
                <c:pt idx="5">
                  <c:v>0</c:v>
                </c:pt>
                <c:pt idx="6" formatCode="General">
                  <c:v>0</c:v>
                </c:pt>
                <c:pt idx="7">
                  <c:v>0</c:v>
                </c:pt>
                <c:pt idx="8" formatCode="General">
                  <c:v>0</c:v>
                </c:pt>
              </c:numCache>
            </c:numRef>
          </c:val>
          <c:extLst>
            <c:ext xmlns:c16="http://schemas.microsoft.com/office/drawing/2014/chart" uri="{C3380CC4-5D6E-409C-BE32-E72D297353CC}">
              <c16:uniqueId val="{00000000-302B-8E4F-91F8-9F900AA7C269}"/>
            </c:ext>
          </c:extLst>
        </c:ser>
        <c:dLbls>
          <c:showLegendKey val="0"/>
          <c:showVal val="0"/>
          <c:showCatName val="0"/>
          <c:showSerName val="0"/>
          <c:showPercent val="0"/>
          <c:showBubbleSize val="0"/>
        </c:dLbls>
        <c:axId val="10"/>
        <c:axId val="100"/>
      </c:areaChart>
      <c:catAx>
        <c:axId val="10"/>
        <c:scaling>
          <c:orientation val="minMax"/>
        </c:scaling>
        <c:delete val="0"/>
        <c:axPos val="b"/>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00" sourceLinked="1"/>
        <c:majorTickMark val="none"/>
        <c:minorTickMark val="none"/>
        <c:tickLblPos val="nextTo"/>
        <c:crossAx val="10"/>
        <c:crosses val="autoZero"/>
        <c:crossBetween val="midCat"/>
      </c:valAx>
    </c:plotArea>
    <c:plotVisOnly val="1"/>
    <c:dispBlanksAs val="zero"/>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chart" Target="../charts/chart22.xml"/><Relationship Id="rId2" Type="http://schemas.openxmlformats.org/officeDocument/2006/relationships/chart" Target="../charts/chart7.xml"/><Relationship Id="rId16" Type="http://schemas.openxmlformats.org/officeDocument/2006/relationships/chart" Target="../charts/chart21.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10</xdr:col>
      <xdr:colOff>1130300</xdr:colOff>
      <xdr:row>12</xdr:row>
      <xdr:rowOff>0</xdr:rowOff>
    </xdr:from>
    <xdr:to>
      <xdr:col>17</xdr:col>
      <xdr:colOff>647700</xdr:colOff>
      <xdr:row>27</xdr:row>
      <xdr:rowOff>292100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12700</xdr:colOff>
      <xdr:row>52</xdr:row>
      <xdr:rowOff>0</xdr:rowOff>
    </xdr:from>
    <xdr:to>
      <xdr:col>17</xdr:col>
      <xdr:colOff>660400</xdr:colOff>
      <xdr:row>68</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12700</xdr:colOff>
      <xdr:row>32</xdr:row>
      <xdr:rowOff>0</xdr:rowOff>
    </xdr:from>
    <xdr:to>
      <xdr:col>17</xdr:col>
      <xdr:colOff>660400</xdr:colOff>
      <xdr:row>48</xdr:row>
      <xdr:rowOff>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12700</xdr:colOff>
      <xdr:row>92</xdr:row>
      <xdr:rowOff>0</xdr:rowOff>
    </xdr:from>
    <xdr:to>
      <xdr:col>17</xdr:col>
      <xdr:colOff>660400</xdr:colOff>
      <xdr:row>108</xdr:row>
      <xdr:rowOff>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12700</xdr:colOff>
      <xdr:row>71</xdr:row>
      <xdr:rowOff>0</xdr:rowOff>
    </xdr:from>
    <xdr:to>
      <xdr:col>17</xdr:col>
      <xdr:colOff>607060</xdr:colOff>
      <xdr:row>87</xdr:row>
      <xdr:rowOff>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15240</xdr:colOff>
      <xdr:row>10</xdr:row>
      <xdr:rowOff>158750</xdr:rowOff>
    </xdr:from>
    <xdr:to>
      <xdr:col>22</xdr:col>
      <xdr:colOff>158750</xdr:colOff>
      <xdr:row>130</xdr:row>
      <xdr:rowOff>45720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263329</xdr:colOff>
      <xdr:row>11</xdr:row>
      <xdr:rowOff>40005</xdr:rowOff>
    </xdr:from>
    <xdr:to>
      <xdr:col>22</xdr:col>
      <xdr:colOff>154299</xdr:colOff>
      <xdr:row>18</xdr:row>
      <xdr:rowOff>154940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263330</xdr:colOff>
      <xdr:row>18</xdr:row>
      <xdr:rowOff>154305</xdr:rowOff>
    </xdr:from>
    <xdr:to>
      <xdr:col>22</xdr:col>
      <xdr:colOff>154306</xdr:colOff>
      <xdr:row>26</xdr:row>
      <xdr:rowOff>116205</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262500</xdr:colOff>
      <xdr:row>26</xdr:row>
      <xdr:rowOff>112151</xdr:rowOff>
    </xdr:from>
    <xdr:to>
      <xdr:col>22</xdr:col>
      <xdr:colOff>154305</xdr:colOff>
      <xdr:row>34</xdr:row>
      <xdr:rowOff>93101</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262830</xdr:colOff>
      <xdr:row>34</xdr:row>
      <xdr:rowOff>93345</xdr:rowOff>
    </xdr:from>
    <xdr:to>
      <xdr:col>22</xdr:col>
      <xdr:colOff>154305</xdr:colOff>
      <xdr:row>42</xdr:row>
      <xdr:rowOff>74295</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263026</xdr:colOff>
      <xdr:row>42</xdr:row>
      <xdr:rowOff>74295</xdr:rowOff>
    </xdr:from>
    <xdr:to>
      <xdr:col>22</xdr:col>
      <xdr:colOff>154305</xdr:colOff>
      <xdr:row>50</xdr:row>
      <xdr:rowOff>55245</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262831</xdr:colOff>
      <xdr:row>50</xdr:row>
      <xdr:rowOff>53340</xdr:rowOff>
    </xdr:from>
    <xdr:to>
      <xdr:col>22</xdr:col>
      <xdr:colOff>154305</xdr:colOff>
      <xdr:row>58</xdr:row>
      <xdr:rowOff>43815</xdr:rowOff>
    </xdr:to>
    <xdr:graphicFrame macro="">
      <xdr:nvGraphicFramePr>
        <xdr:cNvPr id="8" name="Chart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263558</xdr:colOff>
      <xdr:row>82</xdr:row>
      <xdr:rowOff>5715</xdr:rowOff>
    </xdr:from>
    <xdr:to>
      <xdr:col>22</xdr:col>
      <xdr:colOff>154305</xdr:colOff>
      <xdr:row>90</xdr:row>
      <xdr:rowOff>5715</xdr:rowOff>
    </xdr:to>
    <xdr:graphicFrame macro="">
      <xdr:nvGraphicFramePr>
        <xdr:cNvPr id="9" name="Chart 8">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263557</xdr:colOff>
      <xdr:row>90</xdr:row>
      <xdr:rowOff>5715</xdr:rowOff>
    </xdr:from>
    <xdr:to>
      <xdr:col>22</xdr:col>
      <xdr:colOff>154305</xdr:colOff>
      <xdr:row>98</xdr:row>
      <xdr:rowOff>15240</xdr:rowOff>
    </xdr:to>
    <xdr:graphicFrame macro="">
      <xdr:nvGraphicFramePr>
        <xdr:cNvPr id="10" name="Chart 9">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263558</xdr:colOff>
      <xdr:row>98</xdr:row>
      <xdr:rowOff>15240</xdr:rowOff>
    </xdr:from>
    <xdr:to>
      <xdr:col>22</xdr:col>
      <xdr:colOff>154305</xdr:colOff>
      <xdr:row>106</xdr:row>
      <xdr:rowOff>24765</xdr:rowOff>
    </xdr:to>
    <xdr:graphicFrame macro="">
      <xdr:nvGraphicFramePr>
        <xdr:cNvPr id="11" name="Chart 10">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263558</xdr:colOff>
      <xdr:row>106</xdr:row>
      <xdr:rowOff>24765</xdr:rowOff>
    </xdr:from>
    <xdr:to>
      <xdr:col>22</xdr:col>
      <xdr:colOff>154305</xdr:colOff>
      <xdr:row>114</xdr:row>
      <xdr:rowOff>31115</xdr:rowOff>
    </xdr:to>
    <xdr:graphicFrame macro="">
      <xdr:nvGraphicFramePr>
        <xdr:cNvPr id="12" name="Chart 11">
          <a:extLst>
            <a:ext uri="{FF2B5EF4-FFF2-40B4-BE49-F238E27FC236}">
              <a16:creationId xmlns:a16="http://schemas.microsoft.com/office/drawing/2014/main" id="{00000000-0008-0000-05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263558</xdr:colOff>
      <xdr:row>114</xdr:row>
      <xdr:rowOff>28575</xdr:rowOff>
    </xdr:from>
    <xdr:to>
      <xdr:col>22</xdr:col>
      <xdr:colOff>154305</xdr:colOff>
      <xdr:row>122</xdr:row>
      <xdr:rowOff>44450</xdr:rowOff>
    </xdr:to>
    <xdr:graphicFrame macro="">
      <xdr:nvGraphicFramePr>
        <xdr:cNvPr id="13" name="Chart 12">
          <a:extLst>
            <a:ext uri="{FF2B5EF4-FFF2-40B4-BE49-F238E27FC236}">
              <a16:creationId xmlns:a16="http://schemas.microsoft.com/office/drawing/2014/main" id="{00000000-0008-0000-05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263557</xdr:colOff>
      <xdr:row>122</xdr:row>
      <xdr:rowOff>41910</xdr:rowOff>
    </xdr:from>
    <xdr:to>
      <xdr:col>22</xdr:col>
      <xdr:colOff>154305</xdr:colOff>
      <xdr:row>130</xdr:row>
      <xdr:rowOff>63094</xdr:rowOff>
    </xdr:to>
    <xdr:graphicFrame macro="">
      <xdr:nvGraphicFramePr>
        <xdr:cNvPr id="14" name="Chart 13">
          <a:extLst>
            <a:ext uri="{FF2B5EF4-FFF2-40B4-BE49-F238E27FC236}">
              <a16:creationId xmlns:a16="http://schemas.microsoft.com/office/drawing/2014/main" id="{00000000-0008-0000-05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657225</xdr:colOff>
      <xdr:row>28</xdr:row>
      <xdr:rowOff>158750</xdr:rowOff>
    </xdr:from>
    <xdr:to>
      <xdr:col>35</xdr:col>
      <xdr:colOff>317500</xdr:colOff>
      <xdr:row>64</xdr:row>
      <xdr:rowOff>50800</xdr:rowOff>
    </xdr:to>
    <xdr:graphicFrame macro="">
      <xdr:nvGraphicFramePr>
        <xdr:cNvPr id="15" name="Chart 14">
          <a:extLst>
            <a:ext uri="{FF2B5EF4-FFF2-40B4-BE49-F238E27FC236}">
              <a16:creationId xmlns:a16="http://schemas.microsoft.com/office/drawing/2014/main" id="{00000000-0008-0000-05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262256</xdr:colOff>
      <xdr:row>58</xdr:row>
      <xdr:rowOff>40005</xdr:rowOff>
    </xdr:from>
    <xdr:to>
      <xdr:col>22</xdr:col>
      <xdr:colOff>154306</xdr:colOff>
      <xdr:row>66</xdr:row>
      <xdr:rowOff>30479</xdr:rowOff>
    </xdr:to>
    <xdr:graphicFrame macro="">
      <xdr:nvGraphicFramePr>
        <xdr:cNvPr id="16" name="Chart 15">
          <a:extLst>
            <a:ext uri="{FF2B5EF4-FFF2-40B4-BE49-F238E27FC236}">
              <a16:creationId xmlns:a16="http://schemas.microsoft.com/office/drawing/2014/main" id="{00000000-0008-0000-05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263313</xdr:colOff>
      <xdr:row>66</xdr:row>
      <xdr:rowOff>28575</xdr:rowOff>
    </xdr:from>
    <xdr:to>
      <xdr:col>22</xdr:col>
      <xdr:colOff>154305</xdr:colOff>
      <xdr:row>74</xdr:row>
      <xdr:rowOff>19050</xdr:rowOff>
    </xdr:to>
    <xdr:graphicFrame macro="">
      <xdr:nvGraphicFramePr>
        <xdr:cNvPr id="17" name="Chart 16">
          <a:extLst>
            <a:ext uri="{FF2B5EF4-FFF2-40B4-BE49-F238E27FC236}">
              <a16:creationId xmlns:a16="http://schemas.microsoft.com/office/drawing/2014/main" id="{00000000-0008-0000-05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263313</xdr:colOff>
      <xdr:row>74</xdr:row>
      <xdr:rowOff>16933</xdr:rowOff>
    </xdr:from>
    <xdr:to>
      <xdr:col>22</xdr:col>
      <xdr:colOff>154305</xdr:colOff>
      <xdr:row>82</xdr:row>
      <xdr:rowOff>7407</xdr:rowOff>
    </xdr:to>
    <xdr:graphicFrame macro="">
      <xdr:nvGraphicFramePr>
        <xdr:cNvPr id="18" name="Chart 17">
          <a:extLst>
            <a:ext uri="{FF2B5EF4-FFF2-40B4-BE49-F238E27FC236}">
              <a16:creationId xmlns:a16="http://schemas.microsoft.com/office/drawing/2014/main" id="{00000000-0008-0000-05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toreontop\SAMM_spreadsheet%20(1).xlsx" TargetMode="External"/><Relationship Id="rId1" Type="http://schemas.openxmlformats.org/officeDocument/2006/relationships/externalLinkPath" Target="file:///Z:\toreontop\SAMM_spreadshee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ttribution and License"/>
      <sheetName val="Getting Started"/>
      <sheetName val="Benchmark"/>
      <sheetName val="Interview"/>
      <sheetName val="Scorecard"/>
      <sheetName val="Roadmap"/>
      <sheetName val="Roadmap Chart"/>
      <sheetName val="Lookups"/>
      <sheetName val="imp-questions"/>
      <sheetName val="DV-Lists"/>
      <sheetName val="imp-answers"/>
      <sheetName val="Background Images"/>
    </sheetNames>
    <sheetDataSet>
      <sheetData sheetId="0"/>
      <sheetData sheetId="1"/>
      <sheetData sheetId="2"/>
      <sheetData sheetId="3"/>
      <sheetData sheetId="4"/>
      <sheetData sheetId="5"/>
      <sheetData sheetId="6"/>
      <sheetData sheetId="7"/>
      <sheetData sheetId="8"/>
      <sheetData sheetId="9">
        <row r="3">
          <cell r="A3" t="str">
            <v>No</v>
          </cell>
          <cell r="B3" t="str">
            <v>No</v>
          </cell>
          <cell r="C3" t="str">
            <v>No</v>
          </cell>
          <cell r="D3" t="str">
            <v>No</v>
          </cell>
          <cell r="E3" t="str">
            <v>No</v>
          </cell>
          <cell r="F3" t="str">
            <v>No</v>
          </cell>
          <cell r="G3" t="str">
            <v>No</v>
          </cell>
          <cell r="H3" t="str">
            <v>No</v>
          </cell>
          <cell r="I3" t="str">
            <v>No</v>
          </cell>
          <cell r="J3" t="str">
            <v>No</v>
          </cell>
          <cell r="K3" t="str">
            <v>No</v>
          </cell>
          <cell r="L3" t="str">
            <v>No</v>
          </cell>
          <cell r="M3" t="str">
            <v>No</v>
          </cell>
          <cell r="N3" t="str">
            <v>No</v>
          </cell>
          <cell r="O3" t="str">
            <v>No</v>
          </cell>
          <cell r="P3" t="str">
            <v>No</v>
          </cell>
          <cell r="Q3" t="str">
            <v>No</v>
          </cell>
          <cell r="R3" t="str">
            <v>No</v>
          </cell>
        </row>
        <row r="4">
          <cell r="A4" t="str">
            <v>Yes, some of them</v>
          </cell>
          <cell r="B4" t="str">
            <v>Yes, for some teams</v>
          </cell>
          <cell r="C4" t="str">
            <v>Yes, for some of the training</v>
          </cell>
          <cell r="D4" t="str">
            <v>Yes, we started implementing it</v>
          </cell>
          <cell r="E4" t="str">
            <v>Yes, for some of the training</v>
          </cell>
          <cell r="F4" t="str">
            <v>Yes, we started implementing it</v>
          </cell>
          <cell r="G4" t="str">
            <v>Yes, for some applications</v>
          </cell>
          <cell r="H4" t="str">
            <v>Yes, for some applications</v>
          </cell>
          <cell r="I4" t="str">
            <v>Yes, some content</v>
          </cell>
          <cell r="J4" t="str">
            <v>Yes, for some obligations</v>
          </cell>
          <cell r="K4" t="str">
            <v>Yes, but reporting is ad-hoc</v>
          </cell>
          <cell r="L4" t="str">
            <v>Yes, but reporting is ad-hoc</v>
          </cell>
          <cell r="M4" t="str">
            <v>Yes, it covers general risks</v>
          </cell>
          <cell r="N4" t="str">
            <v>Yes, for one metrics category</v>
          </cell>
          <cell r="O4" t="str">
            <v>Yes, we review it annually</v>
          </cell>
          <cell r="P4" t="str">
            <v>Yes, for some of the metrics</v>
          </cell>
          <cell r="Q4" t="str">
            <v>Yes, but review is ad-hoc</v>
          </cell>
          <cell r="R4" t="str">
            <v>Yes, but review is ad-hoc</v>
          </cell>
        </row>
        <row r="5">
          <cell r="A5" t="str">
            <v>Yes, at least half of them</v>
          </cell>
          <cell r="B5" t="str">
            <v>Yes, for at least half of the teams</v>
          </cell>
          <cell r="C5" t="str">
            <v>Yes, for at least half of the training</v>
          </cell>
          <cell r="D5" t="str">
            <v>Yes, for part of the organization</v>
          </cell>
          <cell r="E5" t="str">
            <v>Yes, for at least half of the training</v>
          </cell>
          <cell r="F5" t="str">
            <v>Yes, for part of the organization</v>
          </cell>
          <cell r="G5" t="str">
            <v>Yes, for at least half of the applications</v>
          </cell>
          <cell r="H5" t="str">
            <v>Yes, for at least half of the applications</v>
          </cell>
          <cell r="I5" t="str">
            <v>Yes, at least half of the content</v>
          </cell>
          <cell r="J5" t="str">
            <v>Yes, for at least half of the obligations</v>
          </cell>
          <cell r="K5" t="str">
            <v>Yes, we report at regular times</v>
          </cell>
          <cell r="L5" t="str">
            <v>Yes, we report at regular times</v>
          </cell>
          <cell r="M5" t="str">
            <v>Yes, it covers organization-specific risks</v>
          </cell>
          <cell r="N5" t="str">
            <v>Yes, for two metrics categories</v>
          </cell>
          <cell r="O5" t="str">
            <v>Yes, we consult the plan before making significant decisions</v>
          </cell>
          <cell r="P5" t="str">
            <v>Yes, for at least half of the metrics</v>
          </cell>
          <cell r="Q5" t="str">
            <v>Yes, we review it at regular times</v>
          </cell>
          <cell r="R5" t="str">
            <v>Yes, we review it at regular times</v>
          </cell>
        </row>
        <row r="6">
          <cell r="A6" t="str">
            <v>Yes, most or all of them</v>
          </cell>
          <cell r="B6" t="str">
            <v>Yes, for most or all of the teams</v>
          </cell>
          <cell r="C6" t="str">
            <v>Yes, for most or all of the training</v>
          </cell>
          <cell r="D6" t="str">
            <v>Yes, for the entire organization</v>
          </cell>
          <cell r="E6" t="str">
            <v>Yes, for most or all of the training</v>
          </cell>
          <cell r="F6" t="str">
            <v>Yes, for the entire organization</v>
          </cell>
          <cell r="G6" t="str">
            <v>Yes, for most or all of the applications</v>
          </cell>
          <cell r="H6" t="str">
            <v>Yes, for most or all of the applications</v>
          </cell>
          <cell r="I6" t="str">
            <v>Yes, most or all of the content</v>
          </cell>
          <cell r="J6" t="str">
            <v>Yes, for most or all of the obligations</v>
          </cell>
          <cell r="K6" t="str">
            <v>Yes, we report at least annually</v>
          </cell>
          <cell r="L6" t="str">
            <v>Yes, we report at least annually</v>
          </cell>
          <cell r="M6" t="str">
            <v>Yes, it covers risks and opportunities</v>
          </cell>
          <cell r="N6" t="str">
            <v>Yes, for all three metrics categories</v>
          </cell>
          <cell r="O6" t="str">
            <v>Yes, we consult the plan often, and it is aligned with our application security strategy</v>
          </cell>
          <cell r="P6" t="str">
            <v>Yes, for most or all of the metrics</v>
          </cell>
          <cell r="Q6" t="str">
            <v>Yes, we review it at least annually</v>
          </cell>
          <cell r="R6" t="str">
            <v>Yes, we review it at least annually</v>
          </cell>
        </row>
        <row r="10">
          <cell r="A10" t="str">
            <v>No</v>
          </cell>
          <cell r="B10" t="str">
            <v>No</v>
          </cell>
          <cell r="C10" t="str">
            <v>No</v>
          </cell>
          <cell r="D10" t="str">
            <v>No</v>
          </cell>
          <cell r="E10" t="str">
            <v>No</v>
          </cell>
          <cell r="F10" t="str">
            <v>No</v>
          </cell>
          <cell r="G10" t="str">
            <v>No</v>
          </cell>
          <cell r="H10" t="str">
            <v>No</v>
          </cell>
          <cell r="I10" t="str">
            <v>No</v>
          </cell>
          <cell r="J10" t="str">
            <v>No</v>
          </cell>
          <cell r="K10" t="str">
            <v>No</v>
          </cell>
          <cell r="L10" t="str">
            <v>No</v>
          </cell>
          <cell r="M10" t="str">
            <v>No</v>
          </cell>
          <cell r="N10" t="str">
            <v>No</v>
          </cell>
          <cell r="O10" t="str">
            <v>No</v>
          </cell>
          <cell r="P10" t="str">
            <v>No</v>
          </cell>
          <cell r="Q10" t="str">
            <v>No</v>
          </cell>
          <cell r="R10" t="str">
            <v>No</v>
          </cell>
        </row>
        <row r="11">
          <cell r="A11" t="str">
            <v>Yes, for some applications</v>
          </cell>
          <cell r="B11" t="str">
            <v>Yes, for some applications</v>
          </cell>
          <cell r="C11" t="str">
            <v>Yes, for some applications</v>
          </cell>
          <cell r="D11" t="str">
            <v>Yes, for some of the technology domains</v>
          </cell>
          <cell r="E11" t="str">
            <v>Yes, for some applications</v>
          </cell>
          <cell r="F11" t="str">
            <v>Yes, for some applications</v>
          </cell>
          <cell r="G11" t="str">
            <v>Yes, for some applications</v>
          </cell>
          <cell r="H11" t="str">
            <v>Yes, some of the time</v>
          </cell>
          <cell r="I11" t="str">
            <v>Yes, some of the time</v>
          </cell>
          <cell r="J11" t="str">
            <v>Yes, some of the time</v>
          </cell>
          <cell r="K11" t="str">
            <v>Yes, for some applications</v>
          </cell>
          <cell r="L11" t="str">
            <v>Yes, some of the time</v>
          </cell>
          <cell r="M11" t="str">
            <v>Yes, some of them</v>
          </cell>
          <cell r="N11" t="str">
            <v>Yes, some of them</v>
          </cell>
          <cell r="O11" t="str">
            <v>Yes, for some applications</v>
          </cell>
          <cell r="P11" t="str">
            <v>Yes, for some applications</v>
          </cell>
          <cell r="Q11" t="str">
            <v>Yes, sporadically</v>
          </cell>
          <cell r="R11" t="str">
            <v>Yes, but review is ad-hoc</v>
          </cell>
        </row>
        <row r="12">
          <cell r="A12" t="str">
            <v>Yes, for at least half of the applications</v>
          </cell>
          <cell r="B12" t="str">
            <v>Yes, for at least half of the applications</v>
          </cell>
          <cell r="C12" t="str">
            <v>Yes, for at least half of the applications</v>
          </cell>
          <cell r="D12" t="str">
            <v>Yes, for at least half of the technology domains</v>
          </cell>
          <cell r="E12" t="str">
            <v>Yes, for at least half of the applications</v>
          </cell>
          <cell r="F12" t="str">
            <v>Yes, for at least half of the applications</v>
          </cell>
          <cell r="G12" t="str">
            <v>Yes, for at least half of the applications</v>
          </cell>
          <cell r="H12" t="str">
            <v>Yes, at least half of the time</v>
          </cell>
          <cell r="I12" t="str">
            <v>Yes, at least half of the time</v>
          </cell>
          <cell r="J12" t="str">
            <v>Yes, at least half of the time</v>
          </cell>
          <cell r="K12" t="str">
            <v>Yes, for at least half of the applications</v>
          </cell>
          <cell r="L12" t="str">
            <v>Yes, at least half of the time</v>
          </cell>
          <cell r="M12" t="str">
            <v>Yes, at least half of them</v>
          </cell>
          <cell r="N12" t="str">
            <v>Yes, at least half of them</v>
          </cell>
          <cell r="O12" t="str">
            <v>Yes, for at least half of the applications</v>
          </cell>
          <cell r="P12" t="str">
            <v>Yes, for at least half of the applications</v>
          </cell>
          <cell r="Q12" t="str">
            <v>Yes, upon change of the application</v>
          </cell>
          <cell r="R12" t="str">
            <v>Yes, we review it at regular times</v>
          </cell>
        </row>
        <row r="13">
          <cell r="A13" t="str">
            <v>Yes, for most or all of the applications</v>
          </cell>
          <cell r="B13" t="str">
            <v>Yes, for most or all of the applications</v>
          </cell>
          <cell r="C13" t="str">
            <v>Yes, for most or all of the applications</v>
          </cell>
          <cell r="D13" t="str">
            <v>Yes, for most or all of the technology domains</v>
          </cell>
          <cell r="E13" t="str">
            <v>Yes, for most or all of the applications</v>
          </cell>
          <cell r="F13" t="str">
            <v>Yes, for most or all of the applications</v>
          </cell>
          <cell r="G13" t="str">
            <v>Yes, for most or all of the applications</v>
          </cell>
          <cell r="H13" t="str">
            <v>Yes, most or all of the time</v>
          </cell>
          <cell r="I13" t="str">
            <v>Yes, most or all of the time</v>
          </cell>
          <cell r="J13" t="str">
            <v>Yes, most or all of the time</v>
          </cell>
          <cell r="K13" t="str">
            <v>Yes, for most or all of the applications</v>
          </cell>
          <cell r="L13" t="str">
            <v>Yes, most or all of the time</v>
          </cell>
          <cell r="M13" t="str">
            <v>Yes, most or all of them</v>
          </cell>
          <cell r="N13" t="str">
            <v>Yes, most or all of them</v>
          </cell>
          <cell r="O13" t="str">
            <v>Yes, for most or all of the applications</v>
          </cell>
          <cell r="P13" t="str">
            <v>Yes, for most or all of the applications</v>
          </cell>
          <cell r="Q13" t="str">
            <v>Yes, at least annually</v>
          </cell>
          <cell r="R13" t="str">
            <v>Yes, we review it at least annually</v>
          </cell>
        </row>
        <row r="17">
          <cell r="A17" t="str">
            <v>No</v>
          </cell>
          <cell r="B17" t="str">
            <v>No</v>
          </cell>
          <cell r="C17" t="str">
            <v>No</v>
          </cell>
          <cell r="D17" t="str">
            <v>No</v>
          </cell>
          <cell r="E17" t="str">
            <v>No</v>
          </cell>
          <cell r="F17" t="str">
            <v>No</v>
          </cell>
          <cell r="G17" t="str">
            <v>No</v>
          </cell>
          <cell r="H17" t="str">
            <v>No</v>
          </cell>
          <cell r="I17" t="str">
            <v>No</v>
          </cell>
          <cell r="J17" t="str">
            <v>No</v>
          </cell>
          <cell r="K17" t="str">
            <v>No</v>
          </cell>
          <cell r="L17" t="str">
            <v>No</v>
          </cell>
          <cell r="M17" t="str">
            <v>No</v>
          </cell>
          <cell r="N17" t="str">
            <v>No</v>
          </cell>
          <cell r="O17" t="str">
            <v>No</v>
          </cell>
          <cell r="P17" t="str">
            <v>No</v>
          </cell>
          <cell r="Q17" t="str">
            <v>No</v>
          </cell>
          <cell r="R17" t="str">
            <v>No</v>
          </cell>
        </row>
        <row r="18">
          <cell r="A18" t="str">
            <v>Yes, for some applications</v>
          </cell>
          <cell r="B18" t="str">
            <v>Yes, for some applications</v>
          </cell>
          <cell r="C18" t="str">
            <v>Yes, for some applications</v>
          </cell>
          <cell r="D18" t="str">
            <v>Yes, for some applications</v>
          </cell>
          <cell r="E18" t="str">
            <v>Yes, for some applications</v>
          </cell>
          <cell r="F18" t="str">
            <v>Yes, for some applications</v>
          </cell>
          <cell r="G18" t="str">
            <v>Yes, for some applications</v>
          </cell>
          <cell r="H18" t="str">
            <v>Yes, for some applications</v>
          </cell>
          <cell r="I18" t="str">
            <v>Yes, for some applications</v>
          </cell>
          <cell r="J18" t="str">
            <v>Yes, for some applications</v>
          </cell>
          <cell r="K18" t="str">
            <v>Yes, for some applications</v>
          </cell>
          <cell r="L18" t="str">
            <v>Yes, for some applications</v>
          </cell>
          <cell r="M18" t="str">
            <v>Yes, for some applications</v>
          </cell>
          <cell r="N18" t="str">
            <v>Yes, for some applications</v>
          </cell>
          <cell r="O18" t="str">
            <v>Yes, for some applications</v>
          </cell>
          <cell r="P18" t="str">
            <v>Yes, for some applications</v>
          </cell>
          <cell r="Q18" t="str">
            <v>Yes, for some applications</v>
          </cell>
          <cell r="R18" t="str">
            <v>Yes, for some applications</v>
          </cell>
        </row>
        <row r="19">
          <cell r="A19" t="str">
            <v>Yes, for at least half of the applications</v>
          </cell>
          <cell r="B19" t="str">
            <v>Yes, for at least half of the applications</v>
          </cell>
          <cell r="C19" t="str">
            <v>Yes, for at least half of the applications</v>
          </cell>
          <cell r="D19" t="str">
            <v>Yes, for at least half of the applications</v>
          </cell>
          <cell r="E19" t="str">
            <v>Yes, for at least half of the applications</v>
          </cell>
          <cell r="F19" t="str">
            <v>Yes, for at least half of the applications</v>
          </cell>
          <cell r="G19" t="str">
            <v>Yes, for at least half of the applications</v>
          </cell>
          <cell r="H19" t="str">
            <v>Yes, for at least half of the applications</v>
          </cell>
          <cell r="I19" t="str">
            <v>Yes, for at least half of the applications</v>
          </cell>
          <cell r="J19" t="str">
            <v>Yes, for at least half of the applications</v>
          </cell>
          <cell r="K19" t="str">
            <v>Yes, for at least half of the applications</v>
          </cell>
          <cell r="L19" t="str">
            <v>Yes, for at least half of the applications</v>
          </cell>
          <cell r="M19" t="str">
            <v>Yes, for at least half of the applications</v>
          </cell>
          <cell r="N19" t="str">
            <v>Yes, for at least half of the applications</v>
          </cell>
          <cell r="O19" t="str">
            <v>Yes, for at least half of the applications</v>
          </cell>
          <cell r="P19" t="str">
            <v>Yes, for at least half of the applications</v>
          </cell>
          <cell r="Q19" t="str">
            <v>Yes, for at least half of the applications</v>
          </cell>
          <cell r="R19" t="str">
            <v>Yes, for at least half of the applications</v>
          </cell>
        </row>
        <row r="20">
          <cell r="A20" t="str">
            <v>Yes, for most or all of the applications</v>
          </cell>
          <cell r="B20" t="str">
            <v>Yes, for most or all of the applications</v>
          </cell>
          <cell r="C20" t="str">
            <v>Yes, for most or all of the applications</v>
          </cell>
          <cell r="D20" t="str">
            <v>Yes, for most or all of the applications</v>
          </cell>
          <cell r="E20" t="str">
            <v>Yes, for most or all of the applications</v>
          </cell>
          <cell r="F20" t="str">
            <v>Yes, for most or all of the applications</v>
          </cell>
          <cell r="G20" t="str">
            <v>Yes, for most or all of the applications</v>
          </cell>
          <cell r="H20" t="str">
            <v>Yes, for most or all of the applications</v>
          </cell>
          <cell r="I20" t="str">
            <v>Yes, for most or all of the applications</v>
          </cell>
          <cell r="J20" t="str">
            <v>Yes, for most or all of the applications</v>
          </cell>
          <cell r="K20" t="str">
            <v>Yes, for most or all of the applications</v>
          </cell>
          <cell r="L20" t="str">
            <v>Yes, for most or all of the applications</v>
          </cell>
          <cell r="M20" t="str">
            <v>Yes, for most or all of the applications</v>
          </cell>
          <cell r="N20" t="str">
            <v>Yes, for most or all of the applications</v>
          </cell>
          <cell r="O20" t="str">
            <v>Yes, for most or all of the applications</v>
          </cell>
          <cell r="P20" t="str">
            <v>Yes, for most or all of the applications</v>
          </cell>
          <cell r="Q20" t="str">
            <v>Yes, for most or all of the applications</v>
          </cell>
          <cell r="R20" t="str">
            <v>Yes, for most or all of the applications</v>
          </cell>
        </row>
        <row r="24">
          <cell r="A24" t="str">
            <v>No</v>
          </cell>
          <cell r="B24" t="str">
            <v>No</v>
          </cell>
          <cell r="C24" t="str">
            <v>No</v>
          </cell>
          <cell r="D24" t="str">
            <v>No</v>
          </cell>
          <cell r="E24" t="str">
            <v>No</v>
          </cell>
          <cell r="F24" t="str">
            <v>No</v>
          </cell>
          <cell r="G24" t="str">
            <v>No</v>
          </cell>
          <cell r="H24" t="str">
            <v>No</v>
          </cell>
          <cell r="I24" t="str">
            <v>No</v>
          </cell>
          <cell r="J24" t="str">
            <v>No</v>
          </cell>
          <cell r="K24" t="str">
            <v>No</v>
          </cell>
          <cell r="L24" t="str">
            <v>No</v>
          </cell>
          <cell r="M24" t="str">
            <v>No</v>
          </cell>
          <cell r="N24" t="str">
            <v>No</v>
          </cell>
          <cell r="O24" t="str">
            <v>No</v>
          </cell>
          <cell r="P24" t="str">
            <v>No</v>
          </cell>
          <cell r="Q24" t="str">
            <v>No</v>
          </cell>
          <cell r="R24" t="str">
            <v>No</v>
          </cell>
        </row>
        <row r="25">
          <cell r="A25" t="str">
            <v>Yes, for some applications</v>
          </cell>
          <cell r="B25" t="str">
            <v>Yes, for some applications</v>
          </cell>
          <cell r="C25" t="str">
            <v>Yes, for some applications</v>
          </cell>
          <cell r="D25" t="str">
            <v>Yes, for some applications</v>
          </cell>
          <cell r="E25" t="str">
            <v>Yes, for some applications</v>
          </cell>
          <cell r="F25" t="str">
            <v>Yes, for some applications</v>
          </cell>
          <cell r="G25" t="str">
            <v>Yes, some of them</v>
          </cell>
          <cell r="H25" t="str">
            <v>Yes, for some applications</v>
          </cell>
          <cell r="I25" t="str">
            <v>Yes, some of them</v>
          </cell>
          <cell r="J25" t="str">
            <v>Yes, some of the time</v>
          </cell>
          <cell r="K25" t="str">
            <v>Yes, for some applications</v>
          </cell>
          <cell r="L25" t="str">
            <v>Yes, some of the time</v>
          </cell>
          <cell r="M25" t="str">
            <v>Yes, some of them</v>
          </cell>
          <cell r="N25" t="str">
            <v>Yes, for some components</v>
          </cell>
          <cell r="O25" t="str">
            <v>Yes, some of them</v>
          </cell>
          <cell r="P25" t="str">
            <v>Yes, for some applications</v>
          </cell>
          <cell r="Q25" t="str">
            <v>Yes, some of it</v>
          </cell>
          <cell r="R25" t="str">
            <v>Yes, but we improve it ad-hoc</v>
          </cell>
        </row>
        <row r="26">
          <cell r="A26" t="str">
            <v>Yes, for at least half of the applications</v>
          </cell>
          <cell r="B26" t="str">
            <v>Yes, for at least half of the applications</v>
          </cell>
          <cell r="C26" t="str">
            <v>Yes, for at least half of the applications</v>
          </cell>
          <cell r="D26" t="str">
            <v>Yes, for at least half of the applications</v>
          </cell>
          <cell r="E26" t="str">
            <v>Yes, for at least half of the applications</v>
          </cell>
          <cell r="F26" t="str">
            <v>Yes, for at least half of the applications</v>
          </cell>
          <cell r="G26" t="str">
            <v>Yes, at least half of them</v>
          </cell>
          <cell r="H26" t="str">
            <v>Yes, for at least half of the applications</v>
          </cell>
          <cell r="I26" t="str">
            <v>Yes, at least half of them</v>
          </cell>
          <cell r="J26" t="str">
            <v>Yes, at least half of the time</v>
          </cell>
          <cell r="K26" t="str">
            <v>Yes, for at least half of the applications</v>
          </cell>
          <cell r="L26" t="str">
            <v>Yes, at least half of the time</v>
          </cell>
          <cell r="M26" t="str">
            <v>Yes, at least half of them</v>
          </cell>
          <cell r="N26" t="str">
            <v>Yes, for at least half of the components</v>
          </cell>
          <cell r="O26" t="str">
            <v>Yes, at least half of them</v>
          </cell>
          <cell r="P26" t="str">
            <v>Yes, for at least half of the applications</v>
          </cell>
          <cell r="Q26" t="str">
            <v>Yes, at least half of it</v>
          </cell>
          <cell r="R26" t="str">
            <v>Yes, we improve it at regular times</v>
          </cell>
        </row>
        <row r="27">
          <cell r="A27" t="str">
            <v>Yes, for most or all of the applications</v>
          </cell>
          <cell r="B27" t="str">
            <v>Yes, for most or all of the applications</v>
          </cell>
          <cell r="C27" t="str">
            <v>Yes, for most or all of the applications</v>
          </cell>
          <cell r="D27" t="str">
            <v>Yes, for most or all of the applications</v>
          </cell>
          <cell r="E27" t="str">
            <v>Yes, for most or all of the applications</v>
          </cell>
          <cell r="F27" t="str">
            <v>Yes, for most or all of the applications</v>
          </cell>
          <cell r="G27" t="str">
            <v>Yes, most or all of them</v>
          </cell>
          <cell r="H27" t="str">
            <v>Yes, for most or all of the applications</v>
          </cell>
          <cell r="I27" t="str">
            <v>Yes, most or all of them</v>
          </cell>
          <cell r="J27" t="str">
            <v>Yes, most or all of the time</v>
          </cell>
          <cell r="K27" t="str">
            <v>Yes, for most or all of the applications</v>
          </cell>
          <cell r="L27" t="str">
            <v>Yes, most or all of the time</v>
          </cell>
          <cell r="M27" t="str">
            <v>Yes, most or all of them</v>
          </cell>
          <cell r="N27" t="str">
            <v>Yes, for most or all of the components</v>
          </cell>
          <cell r="O27" t="str">
            <v>Yes, most or all of them</v>
          </cell>
          <cell r="P27" t="str">
            <v>Yes, for most or all of the applications</v>
          </cell>
          <cell r="Q27" t="str">
            <v>Yes, most or all of it</v>
          </cell>
          <cell r="R27" t="str">
            <v>Yes, we improve it at least annually</v>
          </cell>
        </row>
        <row r="31">
          <cell r="A31" t="str">
            <v>No</v>
          </cell>
          <cell r="B31" t="str">
            <v>No</v>
          </cell>
          <cell r="C31" t="str">
            <v>No</v>
          </cell>
          <cell r="D31" t="str">
            <v>No</v>
          </cell>
          <cell r="E31" t="str">
            <v>No</v>
          </cell>
          <cell r="F31" t="str">
            <v>No</v>
          </cell>
          <cell r="G31" t="str">
            <v>No</v>
          </cell>
          <cell r="H31" t="str">
            <v>No</v>
          </cell>
          <cell r="I31" t="str">
            <v>No</v>
          </cell>
          <cell r="J31" t="str">
            <v>No</v>
          </cell>
          <cell r="K31" t="str">
            <v>No</v>
          </cell>
          <cell r="L31" t="str">
            <v>No</v>
          </cell>
          <cell r="M31" t="str">
            <v>No</v>
          </cell>
          <cell r="N31" t="str">
            <v>No</v>
          </cell>
          <cell r="O31" t="str">
            <v>No</v>
          </cell>
          <cell r="P31" t="str">
            <v>No</v>
          </cell>
          <cell r="Q31" t="str">
            <v>No</v>
          </cell>
          <cell r="R31" t="str">
            <v>No</v>
          </cell>
        </row>
        <row r="32">
          <cell r="A32" t="str">
            <v>Yes, for some components</v>
          </cell>
          <cell r="B32" t="str">
            <v>Yes, for some components</v>
          </cell>
          <cell r="C32" t="str">
            <v>Yes, for some components</v>
          </cell>
          <cell r="D32" t="str">
            <v>Yes, for some components</v>
          </cell>
          <cell r="E32" t="str">
            <v>Yes, for some components</v>
          </cell>
          <cell r="F32" t="str">
            <v>Yes, for some components</v>
          </cell>
          <cell r="G32" t="str">
            <v>Yes, for some applications</v>
          </cell>
          <cell r="H32" t="str">
            <v>Yes, for some incidents</v>
          </cell>
          <cell r="I32" t="str">
            <v>Yes, for some applications</v>
          </cell>
          <cell r="J32" t="str">
            <v>Yes, for some incident types</v>
          </cell>
          <cell r="K32" t="str">
            <v>Yes, for some applications</v>
          </cell>
          <cell r="L32" t="str">
            <v>Yes, some of the time</v>
          </cell>
          <cell r="M32" t="str">
            <v>Yes, for some applications</v>
          </cell>
          <cell r="N32" t="str">
            <v>Yes, for some applications</v>
          </cell>
          <cell r="O32" t="str">
            <v>Yes, for some of our data</v>
          </cell>
          <cell r="P32" t="str">
            <v>Yes, some of the time</v>
          </cell>
          <cell r="Q32" t="str">
            <v>Yes, we do it when requested</v>
          </cell>
          <cell r="R32" t="str">
            <v>Yes, for some of the assets</v>
          </cell>
        </row>
        <row r="33">
          <cell r="A33" t="str">
            <v>Yes, for at least half of the components</v>
          </cell>
          <cell r="B33" t="str">
            <v>Yes, for at least half of the components</v>
          </cell>
          <cell r="C33" t="str">
            <v>Yes, for at least half of the components</v>
          </cell>
          <cell r="D33" t="str">
            <v>Yes, for at least half of the components</v>
          </cell>
          <cell r="E33" t="str">
            <v>Yes, for at least half of the components</v>
          </cell>
          <cell r="F33" t="str">
            <v>Yes, for at least half of the components</v>
          </cell>
          <cell r="G33" t="str">
            <v>Yes, for at least half of the applications</v>
          </cell>
          <cell r="H33" t="str">
            <v>Yes, for at least half of the incidents</v>
          </cell>
          <cell r="I33" t="str">
            <v>Yes, for at least half of the applications</v>
          </cell>
          <cell r="J33" t="str">
            <v>Yes, for at least half of the incident types</v>
          </cell>
          <cell r="K33" t="str">
            <v>Yes, for at least half of the applications</v>
          </cell>
          <cell r="L33" t="str">
            <v>Yes, at least half of the time</v>
          </cell>
          <cell r="M33" t="str">
            <v>Yes, for at least half of the applications</v>
          </cell>
          <cell r="N33" t="str">
            <v>Yes, for at least half of the applications</v>
          </cell>
          <cell r="O33" t="str">
            <v>Yes, for at least half of our data</v>
          </cell>
          <cell r="P33" t="str">
            <v>Yes, at least half of the time</v>
          </cell>
          <cell r="Q33" t="str">
            <v>Yes, we do it every few years</v>
          </cell>
          <cell r="R33" t="str">
            <v>Yes, for at least half of the assets</v>
          </cell>
        </row>
        <row r="34">
          <cell r="A34" t="str">
            <v>Yes, for most or all of the components</v>
          </cell>
          <cell r="B34" t="str">
            <v>Yes, for most or all of the components</v>
          </cell>
          <cell r="C34" t="str">
            <v>Yes, for most or all of the components</v>
          </cell>
          <cell r="D34" t="str">
            <v>Yes, for most or all of the components</v>
          </cell>
          <cell r="E34" t="str">
            <v>Yes, for most or all of the components</v>
          </cell>
          <cell r="F34" t="str">
            <v>Yes, for most or all of the components</v>
          </cell>
          <cell r="G34" t="str">
            <v>Yes, for most or all of the applications</v>
          </cell>
          <cell r="H34" t="str">
            <v>Yes, for most or all of the incidents</v>
          </cell>
          <cell r="I34" t="str">
            <v>Yes, for most or all of the applications</v>
          </cell>
          <cell r="J34" t="str">
            <v>Yes, for most or all of the incident types</v>
          </cell>
          <cell r="K34" t="str">
            <v>Yes, for most or all of the applications</v>
          </cell>
          <cell r="L34" t="str">
            <v>Yes, most or all of the time</v>
          </cell>
          <cell r="M34" t="str">
            <v>Yes, for most or all of the applications</v>
          </cell>
          <cell r="N34" t="str">
            <v>Yes, for most or all of the applications</v>
          </cell>
          <cell r="O34" t="str">
            <v>Yes, for most or all of our data</v>
          </cell>
          <cell r="P34" t="str">
            <v>Yes, most or all of the time</v>
          </cell>
          <cell r="Q34" t="str">
            <v>Yes, we do it at least annually</v>
          </cell>
          <cell r="R34" t="str">
            <v>Yes, for most or all of the assets</v>
          </cell>
        </row>
      </sheetData>
      <sheetData sheetId="10"/>
      <sheetData sheetId="11"/>
    </sheetDataSet>
  </externalBook>
</externalLink>
</file>

<file path=xl/theme/theme1.xml><?xml version="1.0" encoding="utf-8"?>
<a:theme xmlns:a="http://schemas.openxmlformats.org/drawingml/2006/main" name="Office Theme">
  <a:themeElements>
    <a:clrScheme name="SAMM">
      <a:dk1>
        <a:srgbClr val="2C3030"/>
      </a:dk1>
      <a:lt1>
        <a:srgbClr val="F9F6F6"/>
      </a:lt1>
      <a:dk2>
        <a:srgbClr val="1F497D"/>
      </a:dk2>
      <a:lt2>
        <a:srgbClr val="EEECE1"/>
      </a:lt2>
      <a:accent1>
        <a:srgbClr val="71B8B8"/>
      </a:accent1>
      <a:accent2>
        <a:srgbClr val="435B70"/>
      </a:accent2>
      <a:accent3>
        <a:srgbClr val="AD4B00"/>
      </a:accent3>
      <a:accent4>
        <a:srgbClr val="3A5F26"/>
      </a:accent4>
      <a:accent5>
        <a:srgbClr val="754858"/>
      </a:accent5>
      <a:accent6>
        <a:srgbClr val="5B5B62"/>
      </a:accent6>
      <a:hlink>
        <a:srgbClr val="0000FF"/>
      </a:hlink>
      <a:folHlink>
        <a:srgbClr val="800080"/>
      </a:folHlink>
    </a:clrScheme>
    <a:fontScheme name="Custom 1">
      <a:majorFont>
        <a:latin typeface="Open Sans"/>
        <a:ea typeface=""/>
        <a:cs typeface=""/>
      </a:majorFont>
      <a:minorFont>
        <a:latin typeface="Open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4D3BE7-8D6C-6C44-BFFF-3B3620FF3E18}">
  <we:reference id="WA200009404" version="1.0.0.8" store="Omex" storeType="OMEX"/>
  <we:alternateReferences>
    <we:reference id="WA200009404" version="1.0.0.8" store="WA200009404" storeType="OMEX"/>
  </we:alternateReferences>
  <we:properties>
    <we:property name="claude.fileId" value="&quot;072d0b66-26bf-4204-beea-f5040baf794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hyperlink" Target="https://owaspsamm.thinkific.com/courses/samm" TargetMode="External"/><Relationship Id="rId2" Type="http://schemas.openxmlformats.org/officeDocument/2006/relationships/hyperlink" Target="https://owaspsamm.org/model/" TargetMode="External"/><Relationship Id="rId1" Type="http://schemas.openxmlformats.org/officeDocument/2006/relationships/hyperlink" Target="https://www.youtube.com/watch?v=b8N8knQdbA4" TargetMode="External"/><Relationship Id="rId6" Type="http://schemas.openxmlformats.org/officeDocument/2006/relationships/hyperlink" Target="https://owaspsamm.org/blog/2025/01/21/samm-relative-scoring/" TargetMode="External"/><Relationship Id="rId5" Type="http://schemas.openxmlformats.org/officeDocument/2006/relationships/hyperlink" Target="https://owaspsamm.org/blog/2025/02/09/owasp-samm-skills-framework/" TargetMode="External"/><Relationship Id="rId4" Type="http://schemas.openxmlformats.org/officeDocument/2006/relationships/hyperlink" Target="https://owaspsamm.org/blog/2023/05/24/determining-scope-when-implementing-sam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52"/>
  <sheetViews>
    <sheetView tabSelected="1" zoomScaleNormal="100" workbookViewId="0">
      <selection activeCell="B3" sqref="B3"/>
    </sheetView>
  </sheetViews>
  <sheetFormatPr defaultColWidth="8.796875" defaultRowHeight="15" x14ac:dyDescent="0.55000000000000004"/>
  <cols>
    <col min="1" max="1" width="22.796875" style="29" bestFit="1" customWidth="1"/>
    <col min="2" max="2" width="100.46484375" style="29" customWidth="1"/>
    <col min="3" max="4" width="8.796875" style="29" customWidth="1"/>
    <col min="5" max="16384" width="8.796875" style="29"/>
  </cols>
  <sheetData>
    <row r="1" spans="1:2" s="27" customFormat="1" ht="25.05" customHeight="1" x14ac:dyDescent="1.05">
      <c r="A1" s="26" t="s">
        <v>126</v>
      </c>
      <c r="B1" s="26"/>
    </row>
    <row r="2" spans="1:2" x14ac:dyDescent="0.55000000000000004">
      <c r="A2" s="28"/>
      <c r="B2" s="28"/>
    </row>
    <row r="3" spans="1:2" x14ac:dyDescent="0.55000000000000004">
      <c r="A3" s="28" t="s">
        <v>127</v>
      </c>
      <c r="B3" s="30" t="s">
        <v>614</v>
      </c>
    </row>
    <row r="4" spans="1:2" x14ac:dyDescent="0.55000000000000004">
      <c r="A4" s="28"/>
      <c r="B4" s="28"/>
    </row>
    <row r="5" spans="1:2" ht="42" customHeight="1" x14ac:dyDescent="0.55000000000000004">
      <c r="A5" s="28" t="s">
        <v>128</v>
      </c>
      <c r="B5" s="31" t="s">
        <v>129</v>
      </c>
    </row>
    <row r="7" spans="1:2" x14ac:dyDescent="0.55000000000000004">
      <c r="A7" s="28" t="s">
        <v>130</v>
      </c>
      <c r="B7" s="28" t="s">
        <v>131</v>
      </c>
    </row>
    <row r="8" spans="1:2" ht="42" customHeight="1" x14ac:dyDescent="0.55000000000000004">
      <c r="A8" s="28"/>
      <c r="B8" s="31" t="s">
        <v>132</v>
      </c>
    </row>
    <row r="35" spans="1:2" x14ac:dyDescent="0.55000000000000004">
      <c r="A35" s="28" t="s">
        <v>133</v>
      </c>
      <c r="B35" s="28" t="s">
        <v>134</v>
      </c>
    </row>
    <row r="36" spans="1:2" x14ac:dyDescent="0.55000000000000004">
      <c r="A36" s="28" t="s">
        <v>135</v>
      </c>
      <c r="B36" s="28" t="s">
        <v>136</v>
      </c>
    </row>
    <row r="37" spans="1:2" x14ac:dyDescent="0.55000000000000004">
      <c r="A37" s="28" t="s">
        <v>10</v>
      </c>
      <c r="B37" s="28" t="s">
        <v>137</v>
      </c>
    </row>
    <row r="39" spans="1:2" x14ac:dyDescent="0.55000000000000004">
      <c r="A39" s="28" t="s">
        <v>133</v>
      </c>
      <c r="B39" s="28" t="s">
        <v>138</v>
      </c>
    </row>
    <row r="40" spans="1:2" x14ac:dyDescent="0.55000000000000004">
      <c r="A40" s="28" t="s">
        <v>135</v>
      </c>
      <c r="B40" s="28" t="s">
        <v>139</v>
      </c>
    </row>
    <row r="41" spans="1:2" x14ac:dyDescent="0.55000000000000004">
      <c r="A41" s="28"/>
      <c r="B41" s="28"/>
    </row>
    <row r="42" spans="1:2" x14ac:dyDescent="0.55000000000000004">
      <c r="A42" s="28" t="s">
        <v>133</v>
      </c>
      <c r="B42" s="28" t="s">
        <v>140</v>
      </c>
    </row>
    <row r="43" spans="1:2" x14ac:dyDescent="0.55000000000000004">
      <c r="A43" s="28" t="s">
        <v>141</v>
      </c>
      <c r="B43" s="28" t="s">
        <v>142</v>
      </c>
    </row>
    <row r="44" spans="1:2" x14ac:dyDescent="0.55000000000000004">
      <c r="A44" s="28" t="s">
        <v>10</v>
      </c>
      <c r="B44" s="28" t="s">
        <v>143</v>
      </c>
    </row>
    <row r="45" spans="1:2" x14ac:dyDescent="0.55000000000000004">
      <c r="A45" s="28"/>
      <c r="B45" s="28"/>
    </row>
    <row r="46" spans="1:2" x14ac:dyDescent="0.55000000000000004">
      <c r="A46" s="28" t="s">
        <v>133</v>
      </c>
      <c r="B46" s="28" t="s">
        <v>144</v>
      </c>
    </row>
    <row r="47" spans="1:2" x14ac:dyDescent="0.55000000000000004">
      <c r="A47" s="28" t="s">
        <v>145</v>
      </c>
      <c r="B47" s="28" t="s">
        <v>146</v>
      </c>
    </row>
    <row r="48" spans="1:2" x14ac:dyDescent="0.55000000000000004">
      <c r="A48" s="28" t="s">
        <v>10</v>
      </c>
      <c r="B48" s="28"/>
    </row>
    <row r="49" spans="1:3" x14ac:dyDescent="0.55000000000000004">
      <c r="A49" s="28"/>
      <c r="B49" s="28"/>
    </row>
    <row r="50" spans="1:3" ht="28.05" customHeight="1" x14ac:dyDescent="0.55000000000000004">
      <c r="A50" s="32" t="s">
        <v>147</v>
      </c>
      <c r="B50" s="33" t="s">
        <v>148</v>
      </c>
      <c r="C50" s="34"/>
    </row>
    <row r="51" spans="1:3" x14ac:dyDescent="0.55000000000000004">
      <c r="A51" s="32"/>
      <c r="B51" s="32" t="s">
        <v>149</v>
      </c>
      <c r="C51" s="34"/>
    </row>
    <row r="52" spans="1:3" x14ac:dyDescent="0.55000000000000004">
      <c r="A52" s="32"/>
      <c r="B52" s="35" t="s">
        <v>150</v>
      </c>
      <c r="C52" s="34"/>
    </row>
  </sheetData>
  <sheetProtection sheet="1"/>
  <pageMargins left="0.74803149606299213" right="0.74803149606299213" top="0.39370078740157483" bottom="0.39370078740157483" header="0.51181102362204722" footer="0.51181102362204722"/>
  <pageSetup paperSize="9" scale="71"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461E8-E41D-400C-8C6D-D4785B54DA03}">
  <dimension ref="A1:E10"/>
  <sheetViews>
    <sheetView topLeftCell="A7" zoomScale="130" zoomScaleNormal="130" workbookViewId="0">
      <selection activeCell="C2" sqref="C2:C4"/>
    </sheetView>
  </sheetViews>
  <sheetFormatPr defaultColWidth="10.796875" defaultRowHeight="15" x14ac:dyDescent="0.35"/>
  <cols>
    <col min="1" max="1" width="5.3984375" style="642" customWidth="1"/>
    <col min="2" max="2" width="24.6640625" style="642" customWidth="1"/>
    <col min="3" max="3" width="60.796875" style="640" customWidth="1"/>
    <col min="4" max="4" width="53.9296875" style="654" customWidth="1"/>
    <col min="5" max="16384" width="10.796875" style="640"/>
  </cols>
  <sheetData>
    <row r="1" spans="1:5" ht="15.4" thickBot="1" x14ac:dyDescent="0.4">
      <c r="A1" s="663" t="s">
        <v>615</v>
      </c>
      <c r="B1" s="664"/>
      <c r="C1" s="655" t="s">
        <v>164</v>
      </c>
      <c r="D1" s="648" t="s">
        <v>622</v>
      </c>
    </row>
    <row r="2" spans="1:5" ht="12.75" customHeight="1" x14ac:dyDescent="0.35">
      <c r="A2" s="660">
        <v>1</v>
      </c>
      <c r="B2" s="644" t="s">
        <v>616</v>
      </c>
      <c r="C2" s="656" t="s">
        <v>623</v>
      </c>
      <c r="D2" s="649" t="s">
        <v>624</v>
      </c>
      <c r="E2" s="641"/>
    </row>
    <row r="3" spans="1:5" x14ac:dyDescent="0.35">
      <c r="A3" s="661"/>
      <c r="B3" s="643"/>
      <c r="C3" s="657"/>
      <c r="D3" s="650" t="s">
        <v>625</v>
      </c>
      <c r="E3" s="641"/>
    </row>
    <row r="4" spans="1:5" ht="98.75" customHeight="1" thickBot="1" x14ac:dyDescent="0.4">
      <c r="A4" s="662"/>
      <c r="B4" s="645"/>
      <c r="C4" s="658"/>
      <c r="D4" s="651" t="s">
        <v>626</v>
      </c>
      <c r="E4" s="641"/>
    </row>
    <row r="5" spans="1:5" ht="92.45" customHeight="1" thickBot="1" x14ac:dyDescent="0.4">
      <c r="A5" s="646">
        <v>2</v>
      </c>
      <c r="B5" s="647" t="s">
        <v>617</v>
      </c>
      <c r="C5" s="659" t="s">
        <v>627</v>
      </c>
      <c r="D5" s="652" t="s">
        <v>628</v>
      </c>
    </row>
    <row r="6" spans="1:5" ht="12.75" customHeight="1" x14ac:dyDescent="0.35">
      <c r="A6" s="660">
        <v>3</v>
      </c>
      <c r="B6" s="644" t="s">
        <v>618</v>
      </c>
      <c r="C6" s="656" t="s">
        <v>629</v>
      </c>
      <c r="D6" s="649" t="s">
        <v>630</v>
      </c>
    </row>
    <row r="7" spans="1:5" ht="97.15" customHeight="1" thickBot="1" x14ac:dyDescent="0.4">
      <c r="A7" s="662"/>
      <c r="B7" s="645"/>
      <c r="C7" s="658"/>
      <c r="D7" s="653" t="s">
        <v>631</v>
      </c>
    </row>
    <row r="8" spans="1:5" ht="45.4" thickBot="1" x14ac:dyDescent="0.4">
      <c r="A8" s="646">
        <v>4</v>
      </c>
      <c r="B8" s="647" t="s">
        <v>619</v>
      </c>
      <c r="C8" s="659" t="s">
        <v>632</v>
      </c>
      <c r="D8" s="652"/>
    </row>
    <row r="9" spans="1:5" ht="60.4" thickBot="1" x14ac:dyDescent="0.4">
      <c r="A9" s="646">
        <v>5</v>
      </c>
      <c r="B9" s="647" t="s">
        <v>620</v>
      </c>
      <c r="C9" s="659" t="s">
        <v>633</v>
      </c>
      <c r="D9" s="652" t="s">
        <v>634</v>
      </c>
    </row>
    <row r="10" spans="1:5" ht="75.400000000000006" thickBot="1" x14ac:dyDescent="0.4">
      <c r="A10" s="646">
        <v>6</v>
      </c>
      <c r="B10" s="647" t="s">
        <v>621</v>
      </c>
      <c r="C10" s="659" t="s">
        <v>635</v>
      </c>
      <c r="D10" s="652" t="s">
        <v>636</v>
      </c>
    </row>
  </sheetData>
  <mergeCells count="7">
    <mergeCell ref="A1:B1"/>
    <mergeCell ref="A2:A4"/>
    <mergeCell ref="B2:B4"/>
    <mergeCell ref="C2:C4"/>
    <mergeCell ref="A6:A7"/>
    <mergeCell ref="B6:B7"/>
    <mergeCell ref="C6:C7"/>
  </mergeCells>
  <hyperlinks>
    <hyperlink ref="D2" r:id="rId1" xr:uid="{65A30483-C175-489C-B5FC-1A8282C65D9B}"/>
    <hyperlink ref="D3" r:id="rId2" xr:uid="{60C80333-18F7-4E50-9A54-085CCE3BF9D9}"/>
    <hyperlink ref="D4" r:id="rId3" xr:uid="{8555001A-A5D6-4AF7-AAAA-2D7CFC8F792B}"/>
    <hyperlink ref="D5" r:id="rId4" xr:uid="{4CF8F322-430C-4F4E-A806-5FB7A79D4831}"/>
    <hyperlink ref="D7" r:id="rId5" xr:uid="{0327DD89-C419-400F-BABE-33A1665C6F0B}"/>
    <hyperlink ref="D9" r:id="rId6" xr:uid="{761D1449-5CF8-48BA-B798-90AD19B1AD5F}"/>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B1:M128"/>
  <sheetViews>
    <sheetView workbookViewId="0">
      <selection activeCell="D1" sqref="D1"/>
    </sheetView>
  </sheetViews>
  <sheetFormatPr defaultColWidth="8.796875" defaultRowHeight="15" x14ac:dyDescent="0.55000000000000004"/>
  <cols>
    <col min="1" max="1" width="8.796875" style="22" customWidth="1"/>
    <col min="2" max="2" width="26.33203125" style="22" bestFit="1" customWidth="1"/>
    <col min="3" max="3" width="37.33203125" style="21" customWidth="1"/>
    <col min="4" max="4" width="90.796875" style="22" customWidth="1"/>
    <col min="5" max="5" width="8.796875" style="22" customWidth="1"/>
    <col min="6" max="13" width="8.6640625" style="22" hidden="1" customWidth="1"/>
    <col min="14" max="14" width="8.796875" style="22" customWidth="1"/>
    <col min="15" max="16384" width="8.796875" style="22"/>
  </cols>
  <sheetData>
    <row r="1" spans="2:13" ht="285" customHeight="1" x14ac:dyDescent="0.55000000000000004">
      <c r="B1" s="468" t="s">
        <v>151</v>
      </c>
      <c r="C1" s="469"/>
      <c r="D1" s="24" t="s">
        <v>152</v>
      </c>
    </row>
    <row r="2" spans="2:13" x14ac:dyDescent="0.55000000000000004">
      <c r="F2" s="22" t="s">
        <v>153</v>
      </c>
    </row>
    <row r="4" spans="2:13" x14ac:dyDescent="0.55000000000000004">
      <c r="F4" s="22" t="s">
        <v>154</v>
      </c>
      <c r="G4" s="22" t="s">
        <v>155</v>
      </c>
      <c r="H4" s="22" t="s">
        <v>156</v>
      </c>
      <c r="I4" s="22" t="s">
        <v>157</v>
      </c>
      <c r="J4" s="22" t="s">
        <v>158</v>
      </c>
      <c r="K4" s="22" t="s">
        <v>159</v>
      </c>
      <c r="L4" s="22" t="s">
        <v>160</v>
      </c>
      <c r="M4" s="22" t="s">
        <v>161</v>
      </c>
    </row>
    <row r="5" spans="2:13" x14ac:dyDescent="0.55000000000000004">
      <c r="B5" s="22" t="s">
        <v>162</v>
      </c>
      <c r="C5" s="25" t="s">
        <v>163</v>
      </c>
      <c r="D5" s="25" t="s">
        <v>164</v>
      </c>
      <c r="F5" s="22" t="s">
        <v>165</v>
      </c>
      <c r="G5" s="22" t="s">
        <v>166</v>
      </c>
      <c r="H5" s="22" t="s">
        <v>167</v>
      </c>
      <c r="I5" s="22" t="s">
        <v>168</v>
      </c>
      <c r="J5" s="22" t="s">
        <v>169</v>
      </c>
      <c r="K5" s="36" t="s">
        <v>170</v>
      </c>
      <c r="L5" s="36" t="s">
        <v>171</v>
      </c>
      <c r="M5" s="22" t="s">
        <v>172</v>
      </c>
    </row>
    <row r="6" spans="2:13" x14ac:dyDescent="0.55000000000000004">
      <c r="F6" s="22" t="s">
        <v>173</v>
      </c>
      <c r="G6" s="22" t="s">
        <v>174</v>
      </c>
      <c r="H6" s="22" t="s">
        <v>175</v>
      </c>
      <c r="I6" s="22" t="s">
        <v>176</v>
      </c>
      <c r="J6" s="22" t="s">
        <v>177</v>
      </c>
      <c r="K6" s="36" t="s">
        <v>178</v>
      </c>
      <c r="L6" s="36" t="s">
        <v>179</v>
      </c>
      <c r="M6" s="22" t="s">
        <v>180</v>
      </c>
    </row>
    <row r="7" spans="2:13" x14ac:dyDescent="0.55000000000000004">
      <c r="B7" s="22" t="s">
        <v>181</v>
      </c>
      <c r="C7" s="21" t="str">
        <f>'Attribution and License'!B3</f>
        <v>'v2.1.1</v>
      </c>
      <c r="D7" s="22" t="s">
        <v>182</v>
      </c>
      <c r="G7" s="22" t="s">
        <v>183</v>
      </c>
      <c r="H7" s="22" t="s">
        <v>184</v>
      </c>
      <c r="I7" s="22" t="s">
        <v>185</v>
      </c>
      <c r="J7" s="22" t="s">
        <v>186</v>
      </c>
      <c r="K7" s="36" t="s">
        <v>187</v>
      </c>
      <c r="L7" s="36" t="s">
        <v>188</v>
      </c>
      <c r="M7" s="22" t="s">
        <v>189</v>
      </c>
    </row>
    <row r="8" spans="2:13" x14ac:dyDescent="0.55000000000000004">
      <c r="B8" s="22" t="s">
        <v>190</v>
      </c>
      <c r="C8" s="37">
        <f>Interview!D12</f>
        <v>0</v>
      </c>
      <c r="D8" s="22" t="s">
        <v>191</v>
      </c>
      <c r="H8" s="22" t="s">
        <v>192</v>
      </c>
      <c r="I8" s="22" t="s">
        <v>193</v>
      </c>
      <c r="J8" s="22" t="s">
        <v>194</v>
      </c>
      <c r="K8" s="36" t="s">
        <v>195</v>
      </c>
      <c r="L8" s="36" t="s">
        <v>196</v>
      </c>
      <c r="M8" s="22" t="s">
        <v>197</v>
      </c>
    </row>
    <row r="9" spans="2:13" x14ac:dyDescent="0.55000000000000004">
      <c r="B9" s="22" t="s">
        <v>154</v>
      </c>
      <c r="D9" s="22" t="s">
        <v>198</v>
      </c>
      <c r="H9" s="22" t="s">
        <v>199</v>
      </c>
      <c r="I9" s="22" t="s">
        <v>200</v>
      </c>
      <c r="K9" s="36"/>
      <c r="L9" s="36" t="s">
        <v>201</v>
      </c>
    </row>
    <row r="10" spans="2:13" x14ac:dyDescent="0.55000000000000004">
      <c r="B10" s="22" t="s">
        <v>202</v>
      </c>
      <c r="D10" s="22" t="s">
        <v>203</v>
      </c>
      <c r="H10" s="22" t="s">
        <v>204</v>
      </c>
      <c r="I10" s="22" t="s">
        <v>205</v>
      </c>
      <c r="K10" s="36"/>
      <c r="L10" s="36"/>
    </row>
    <row r="11" spans="2:13" x14ac:dyDescent="0.55000000000000004">
      <c r="B11" s="22" t="s">
        <v>206</v>
      </c>
      <c r="D11" s="22" t="s">
        <v>207</v>
      </c>
      <c r="H11" s="22" t="s">
        <v>197</v>
      </c>
      <c r="I11" s="22" t="s">
        <v>208</v>
      </c>
      <c r="L11" s="36"/>
    </row>
    <row r="12" spans="2:13" x14ac:dyDescent="0.55000000000000004">
      <c r="B12" s="22" t="s">
        <v>209</v>
      </c>
      <c r="D12" s="22" t="s">
        <v>210</v>
      </c>
      <c r="I12" s="22" t="s">
        <v>211</v>
      </c>
      <c r="L12" s="36"/>
    </row>
    <row r="13" spans="2:13" x14ac:dyDescent="0.55000000000000004">
      <c r="B13" s="22" t="s">
        <v>212</v>
      </c>
      <c r="D13" s="22" t="s">
        <v>213</v>
      </c>
      <c r="I13" s="22" t="s">
        <v>214</v>
      </c>
    </row>
    <row r="14" spans="2:13" x14ac:dyDescent="0.55000000000000004">
      <c r="B14" s="22" t="s">
        <v>215</v>
      </c>
      <c r="D14" s="22" t="s">
        <v>216</v>
      </c>
      <c r="I14" s="22" t="s">
        <v>217</v>
      </c>
    </row>
    <row r="15" spans="2:13" x14ac:dyDescent="0.55000000000000004">
      <c r="B15" s="22" t="s">
        <v>218</v>
      </c>
      <c r="D15" s="22" t="s">
        <v>219</v>
      </c>
      <c r="I15" s="22" t="s">
        <v>220</v>
      </c>
    </row>
    <row r="16" spans="2:13" x14ac:dyDescent="0.55000000000000004">
      <c r="B16" s="22" t="s">
        <v>221</v>
      </c>
      <c r="D16" s="22" t="s">
        <v>222</v>
      </c>
      <c r="I16" s="22" t="s">
        <v>223</v>
      </c>
    </row>
    <row r="17" spans="2:9" x14ac:dyDescent="0.55000000000000004">
      <c r="B17" s="22" t="s">
        <v>224</v>
      </c>
      <c r="D17" s="22" t="s">
        <v>225</v>
      </c>
      <c r="I17" s="22" t="s">
        <v>226</v>
      </c>
    </row>
    <row r="18" spans="2:9" x14ac:dyDescent="0.55000000000000004">
      <c r="B18" s="22" t="s">
        <v>227</v>
      </c>
      <c r="C18" s="38">
        <f ca="1">Scorecard!J19</f>
        <v>0</v>
      </c>
      <c r="D18" s="22" t="s">
        <v>228</v>
      </c>
      <c r="I18" s="22" t="s">
        <v>229</v>
      </c>
    </row>
    <row r="19" spans="2:9" x14ac:dyDescent="0.55000000000000004">
      <c r="B19" s="22" t="s">
        <v>230</v>
      </c>
      <c r="C19" s="38">
        <f ca="1">Scorecard!J14</f>
        <v>0</v>
      </c>
      <c r="D19" s="22" t="s">
        <v>228</v>
      </c>
      <c r="I19" s="22" t="s">
        <v>197</v>
      </c>
    </row>
    <row r="20" spans="2:9" x14ac:dyDescent="0.55000000000000004">
      <c r="B20" s="22" t="s">
        <v>231</v>
      </c>
      <c r="C20" s="38">
        <f ca="1">Scorecard!J15</f>
        <v>0</v>
      </c>
      <c r="D20" s="22" t="s">
        <v>228</v>
      </c>
    </row>
    <row r="21" spans="2:9" x14ac:dyDescent="0.55000000000000004">
      <c r="B21" s="22" t="s">
        <v>232</v>
      </c>
      <c r="C21" s="38">
        <f ca="1">Scorecard!J16</f>
        <v>0</v>
      </c>
      <c r="D21" s="22" t="s">
        <v>228</v>
      </c>
    </row>
    <row r="22" spans="2:9" x14ac:dyDescent="0.55000000000000004">
      <c r="B22" s="22" t="s">
        <v>233</v>
      </c>
      <c r="C22" s="38">
        <f ca="1">Scorecard!J17</f>
        <v>0</v>
      </c>
      <c r="D22" s="22" t="s">
        <v>228</v>
      </c>
    </row>
    <row r="23" spans="2:9" x14ac:dyDescent="0.55000000000000004">
      <c r="B23" s="22" t="s">
        <v>234</v>
      </c>
      <c r="C23" s="38">
        <f ca="1">Scorecard!J18</f>
        <v>0</v>
      </c>
      <c r="D23" s="22" t="s">
        <v>228</v>
      </c>
    </row>
    <row r="24" spans="2:9" x14ac:dyDescent="0.55000000000000004">
      <c r="B24" s="22" t="str">
        <f>Scorecard!B14</f>
        <v>Strategy &amp; Metrics</v>
      </c>
      <c r="C24" s="38">
        <f ca="1">Scorecard!C14</f>
        <v>0</v>
      </c>
      <c r="D24" s="22" t="s">
        <v>228</v>
      </c>
    </row>
    <row r="25" spans="2:9" x14ac:dyDescent="0.55000000000000004">
      <c r="B25" s="22" t="str">
        <f>Scorecard!B15</f>
        <v>Policy &amp; Compliance</v>
      </c>
      <c r="C25" s="38">
        <f ca="1">Scorecard!C15</f>
        <v>0</v>
      </c>
      <c r="D25" s="22" t="s">
        <v>228</v>
      </c>
    </row>
    <row r="26" spans="2:9" x14ac:dyDescent="0.55000000000000004">
      <c r="B26" s="22" t="str">
        <f>Scorecard!B16</f>
        <v>Education &amp; Guidance</v>
      </c>
      <c r="C26" s="38">
        <f ca="1">Scorecard!C16</f>
        <v>0</v>
      </c>
      <c r="D26" s="22" t="s">
        <v>228</v>
      </c>
    </row>
    <row r="27" spans="2:9" x14ac:dyDescent="0.55000000000000004">
      <c r="B27" s="22" t="str">
        <f>Scorecard!B17</f>
        <v>Threat Assessment</v>
      </c>
      <c r="C27" s="38">
        <f ca="1">Scorecard!C17</f>
        <v>0</v>
      </c>
      <c r="D27" s="22" t="s">
        <v>228</v>
      </c>
    </row>
    <row r="28" spans="2:9" x14ac:dyDescent="0.55000000000000004">
      <c r="B28" s="22" t="str">
        <f>Scorecard!B18</f>
        <v>Security Requirements</v>
      </c>
      <c r="C28" s="38">
        <f ca="1">Scorecard!C18</f>
        <v>0</v>
      </c>
      <c r="D28" s="22" t="s">
        <v>228</v>
      </c>
    </row>
    <row r="29" spans="2:9" x14ac:dyDescent="0.55000000000000004">
      <c r="B29" s="22" t="str">
        <f>Scorecard!B19</f>
        <v>Secure Architecture</v>
      </c>
      <c r="C29" s="38">
        <f ca="1">Scorecard!C19</f>
        <v>0</v>
      </c>
      <c r="D29" s="22" t="s">
        <v>228</v>
      </c>
    </row>
    <row r="30" spans="2:9" x14ac:dyDescent="0.55000000000000004">
      <c r="B30" s="22" t="str">
        <f>Scorecard!B20</f>
        <v>Secure Build</v>
      </c>
      <c r="C30" s="38">
        <f ca="1">Scorecard!C20</f>
        <v>0</v>
      </c>
      <c r="D30" s="22" t="s">
        <v>228</v>
      </c>
    </row>
    <row r="31" spans="2:9" x14ac:dyDescent="0.55000000000000004">
      <c r="B31" s="22" t="str">
        <f>Scorecard!B21</f>
        <v>Secure Deployment</v>
      </c>
      <c r="C31" s="38">
        <f ca="1">Scorecard!C21</f>
        <v>0</v>
      </c>
      <c r="D31" s="22" t="s">
        <v>228</v>
      </c>
    </row>
    <row r="32" spans="2:9" x14ac:dyDescent="0.55000000000000004">
      <c r="B32" s="22" t="str">
        <f>Scorecard!B22</f>
        <v>Defect Management</v>
      </c>
      <c r="C32" s="38">
        <f ca="1">Scorecard!C22</f>
        <v>0</v>
      </c>
      <c r="D32" s="22" t="s">
        <v>228</v>
      </c>
    </row>
    <row r="33" spans="2:4" x14ac:dyDescent="0.55000000000000004">
      <c r="B33" s="22" t="str">
        <f>Scorecard!B23</f>
        <v>Architecture Assessment</v>
      </c>
      <c r="C33" s="38">
        <f ca="1">Scorecard!C23</f>
        <v>0</v>
      </c>
      <c r="D33" s="22" t="s">
        <v>228</v>
      </c>
    </row>
    <row r="34" spans="2:4" x14ac:dyDescent="0.55000000000000004">
      <c r="B34" s="22" t="str">
        <f>Scorecard!B24</f>
        <v>Requirements Testing</v>
      </c>
      <c r="C34" s="38">
        <f ca="1">Scorecard!C24</f>
        <v>0</v>
      </c>
      <c r="D34" s="22" t="s">
        <v>228</v>
      </c>
    </row>
    <row r="35" spans="2:4" x14ac:dyDescent="0.55000000000000004">
      <c r="B35" s="22" t="str">
        <f>Scorecard!B25</f>
        <v>Security Testing</v>
      </c>
      <c r="C35" s="38">
        <f ca="1">Scorecard!C25</f>
        <v>0</v>
      </c>
      <c r="D35" s="22" t="s">
        <v>228</v>
      </c>
    </row>
    <row r="36" spans="2:4" x14ac:dyDescent="0.55000000000000004">
      <c r="B36" s="22" t="str">
        <f>Scorecard!B26</f>
        <v>Incident Management</v>
      </c>
      <c r="C36" s="38">
        <f ca="1">Scorecard!C26</f>
        <v>0</v>
      </c>
      <c r="D36" s="22" t="s">
        <v>228</v>
      </c>
    </row>
    <row r="37" spans="2:4" x14ac:dyDescent="0.55000000000000004">
      <c r="B37" s="22" t="str">
        <f>Scorecard!B27</f>
        <v>Environment Management</v>
      </c>
      <c r="C37" s="38">
        <f ca="1">Scorecard!C27</f>
        <v>0</v>
      </c>
      <c r="D37" s="22" t="s">
        <v>228</v>
      </c>
    </row>
    <row r="38" spans="2:4" x14ac:dyDescent="0.55000000000000004">
      <c r="B38" s="22" t="str">
        <f>Scorecard!B28</f>
        <v>Operational Management</v>
      </c>
      <c r="C38" s="38">
        <f ca="1">Scorecard!C28</f>
        <v>0</v>
      </c>
      <c r="D38" s="22" t="s">
        <v>228</v>
      </c>
    </row>
    <row r="39" spans="2:4" x14ac:dyDescent="0.55000000000000004">
      <c r="B39" s="21" t="s">
        <v>18</v>
      </c>
      <c r="C39" s="21">
        <f ca="1">VLOOKUP(B39,Interview!$A$18:$J$230,7,FALSE)</f>
        <v>0</v>
      </c>
      <c r="D39" s="22" t="s">
        <v>235</v>
      </c>
    </row>
    <row r="40" spans="2:4" x14ac:dyDescent="0.55000000000000004">
      <c r="B40" s="21" t="s">
        <v>19</v>
      </c>
      <c r="C40" s="21">
        <f ca="1">VLOOKUP(B40,Interview!$A$18:$J$230,7,FALSE)</f>
        <v>0</v>
      </c>
      <c r="D40" s="22" t="s">
        <v>235</v>
      </c>
    </row>
    <row r="41" spans="2:4" x14ac:dyDescent="0.55000000000000004">
      <c r="B41" s="21" t="s">
        <v>20</v>
      </c>
      <c r="C41" s="21">
        <f ca="1">VLOOKUP(B41,Interview!$A$18:$J$230,7,FALSE)</f>
        <v>0</v>
      </c>
      <c r="D41" s="22" t="s">
        <v>235</v>
      </c>
    </row>
    <row r="42" spans="2:4" x14ac:dyDescent="0.55000000000000004">
      <c r="B42" s="21" t="s">
        <v>21</v>
      </c>
      <c r="C42" s="21">
        <f ca="1">VLOOKUP(B42,Interview!$A$18:$J$230,7,FALSE)</f>
        <v>0</v>
      </c>
      <c r="D42" s="22" t="s">
        <v>235</v>
      </c>
    </row>
    <row r="43" spans="2:4" x14ac:dyDescent="0.55000000000000004">
      <c r="B43" s="21" t="s">
        <v>22</v>
      </c>
      <c r="C43" s="21">
        <f ca="1">VLOOKUP(B43,Interview!$A$18:$J$230,7,FALSE)</f>
        <v>0</v>
      </c>
      <c r="D43" s="22" t="s">
        <v>235</v>
      </c>
    </row>
    <row r="44" spans="2:4" x14ac:dyDescent="0.55000000000000004">
      <c r="B44" s="21" t="s">
        <v>23</v>
      </c>
      <c r="C44" s="21">
        <f ca="1">VLOOKUP(B44,Interview!$A$18:$J$230,7,FALSE)</f>
        <v>0</v>
      </c>
      <c r="D44" s="22" t="s">
        <v>235</v>
      </c>
    </row>
    <row r="45" spans="2:4" x14ac:dyDescent="0.55000000000000004">
      <c r="B45" s="21" t="s">
        <v>25</v>
      </c>
      <c r="C45" s="21">
        <f ca="1">VLOOKUP(B45,Interview!$A$18:$J$230,7,FALSE)</f>
        <v>0</v>
      </c>
      <c r="D45" s="22" t="s">
        <v>235</v>
      </c>
    </row>
    <row r="46" spans="2:4" x14ac:dyDescent="0.55000000000000004">
      <c r="B46" s="21" t="s">
        <v>26</v>
      </c>
      <c r="C46" s="21">
        <f ca="1">VLOOKUP(B46,Interview!$A$18:$J$230,7,FALSE)</f>
        <v>0</v>
      </c>
      <c r="D46" s="22" t="s">
        <v>235</v>
      </c>
    </row>
    <row r="47" spans="2:4" x14ac:dyDescent="0.55000000000000004">
      <c r="B47" s="21" t="s">
        <v>27</v>
      </c>
      <c r="C47" s="21">
        <f ca="1">VLOOKUP(B47,Interview!$A$18:$J$230,7,FALSE)</f>
        <v>0</v>
      </c>
      <c r="D47" s="22" t="s">
        <v>235</v>
      </c>
    </row>
    <row r="48" spans="2:4" x14ac:dyDescent="0.55000000000000004">
      <c r="B48" s="21" t="s">
        <v>28</v>
      </c>
      <c r="C48" s="21">
        <f ca="1">VLOOKUP(B48,Interview!$A$18:$J$230,7,FALSE)</f>
        <v>0</v>
      </c>
      <c r="D48" s="22" t="s">
        <v>235</v>
      </c>
    </row>
    <row r="49" spans="2:4" x14ac:dyDescent="0.55000000000000004">
      <c r="B49" s="21" t="s">
        <v>29</v>
      </c>
      <c r="C49" s="21">
        <f ca="1">VLOOKUP(B49,Interview!$A$18:$J$230,7,FALSE)</f>
        <v>0</v>
      </c>
      <c r="D49" s="22" t="s">
        <v>235</v>
      </c>
    </row>
    <row r="50" spans="2:4" x14ac:dyDescent="0.55000000000000004">
      <c r="B50" s="21" t="s">
        <v>30</v>
      </c>
      <c r="C50" s="21">
        <f ca="1">VLOOKUP(B50,Interview!$A$18:$J$230,7,FALSE)</f>
        <v>0</v>
      </c>
      <c r="D50" s="22" t="s">
        <v>235</v>
      </c>
    </row>
    <row r="51" spans="2:4" x14ac:dyDescent="0.55000000000000004">
      <c r="B51" s="23" t="s">
        <v>32</v>
      </c>
      <c r="C51" s="21">
        <f ca="1">VLOOKUP(B51,Interview!$A$18:$J$230,7,FALSE)</f>
        <v>0</v>
      </c>
      <c r="D51" s="22" t="s">
        <v>235</v>
      </c>
    </row>
    <row r="52" spans="2:4" x14ac:dyDescent="0.55000000000000004">
      <c r="B52" s="23" t="s">
        <v>33</v>
      </c>
      <c r="C52" s="21">
        <f ca="1">VLOOKUP(B52,Interview!$A$18:$J$230,7,FALSE)</f>
        <v>0</v>
      </c>
      <c r="D52" s="22" t="s">
        <v>235</v>
      </c>
    </row>
    <row r="53" spans="2:4" x14ac:dyDescent="0.55000000000000004">
      <c r="B53" s="23" t="s">
        <v>34</v>
      </c>
      <c r="C53" s="21">
        <f ca="1">VLOOKUP(B53,Interview!$A$18:$J$230,7,FALSE)</f>
        <v>0</v>
      </c>
      <c r="D53" s="22" t="s">
        <v>235</v>
      </c>
    </row>
    <row r="54" spans="2:4" x14ac:dyDescent="0.55000000000000004">
      <c r="B54" s="23" t="s">
        <v>35</v>
      </c>
      <c r="C54" s="21">
        <f ca="1">VLOOKUP(B54,Interview!$A$18:$J$230,7,FALSE)</f>
        <v>0</v>
      </c>
      <c r="D54" s="22" t="s">
        <v>235</v>
      </c>
    </row>
    <row r="55" spans="2:4" x14ac:dyDescent="0.55000000000000004">
      <c r="B55" s="23" t="s">
        <v>36</v>
      </c>
      <c r="C55" s="21">
        <f ca="1">VLOOKUP(B55,Interview!$A$18:$J$230,7,FALSE)</f>
        <v>0</v>
      </c>
      <c r="D55" s="22" t="s">
        <v>235</v>
      </c>
    </row>
    <row r="56" spans="2:4" x14ac:dyDescent="0.55000000000000004">
      <c r="B56" s="23" t="s">
        <v>37</v>
      </c>
      <c r="C56" s="21">
        <f ca="1">VLOOKUP(B56,Interview!$A$18:$J$230,7,FALSE)</f>
        <v>0</v>
      </c>
      <c r="D56" s="22" t="s">
        <v>235</v>
      </c>
    </row>
    <row r="57" spans="2:4" x14ac:dyDescent="0.55000000000000004">
      <c r="B57" s="23" t="s">
        <v>40</v>
      </c>
      <c r="C57" s="21">
        <f ca="1">VLOOKUP(B57,Interview!$A$18:$J$230,7,FALSE)</f>
        <v>0</v>
      </c>
      <c r="D57" s="22" t="s">
        <v>235</v>
      </c>
    </row>
    <row r="58" spans="2:4" x14ac:dyDescent="0.55000000000000004">
      <c r="B58" s="23" t="s">
        <v>41</v>
      </c>
      <c r="C58" s="21">
        <f ca="1">VLOOKUP(B58,Interview!$A$18:$J$230,7,FALSE)</f>
        <v>0</v>
      </c>
      <c r="D58" s="22" t="s">
        <v>235</v>
      </c>
    </row>
    <row r="59" spans="2:4" x14ac:dyDescent="0.55000000000000004">
      <c r="B59" s="23" t="s">
        <v>42</v>
      </c>
      <c r="C59" s="21">
        <f ca="1">VLOOKUP(B59,Interview!$A$18:$J$230,7,FALSE)</f>
        <v>0</v>
      </c>
      <c r="D59" s="22" t="s">
        <v>235</v>
      </c>
    </row>
    <row r="60" spans="2:4" x14ac:dyDescent="0.55000000000000004">
      <c r="B60" s="23" t="s">
        <v>43</v>
      </c>
      <c r="C60" s="21">
        <f ca="1">VLOOKUP(B60,Interview!$A$18:$J$230,7,FALSE)</f>
        <v>0</v>
      </c>
      <c r="D60" s="22" t="s">
        <v>235</v>
      </c>
    </row>
    <row r="61" spans="2:4" x14ac:dyDescent="0.55000000000000004">
      <c r="B61" s="23" t="s">
        <v>44</v>
      </c>
      <c r="C61" s="21">
        <f ca="1">VLOOKUP(B61,Interview!$A$18:$J$230,7,FALSE)</f>
        <v>0</v>
      </c>
      <c r="D61" s="22" t="s">
        <v>235</v>
      </c>
    </row>
    <row r="62" spans="2:4" x14ac:dyDescent="0.55000000000000004">
      <c r="B62" s="23" t="s">
        <v>45</v>
      </c>
      <c r="C62" s="21">
        <f ca="1">VLOOKUP(B62,Interview!$A$18:$J$230,7,FALSE)</f>
        <v>0</v>
      </c>
      <c r="D62" s="22" t="s">
        <v>235</v>
      </c>
    </row>
    <row r="63" spans="2:4" x14ac:dyDescent="0.55000000000000004">
      <c r="B63" s="23" t="s">
        <v>47</v>
      </c>
      <c r="C63" s="21">
        <f ca="1">VLOOKUP(B63,Interview!$A$18:$J$230,7,FALSE)</f>
        <v>0</v>
      </c>
      <c r="D63" s="22" t="s">
        <v>235</v>
      </c>
    </row>
    <row r="64" spans="2:4" x14ac:dyDescent="0.55000000000000004">
      <c r="B64" s="23" t="s">
        <v>48</v>
      </c>
      <c r="C64" s="21">
        <f ca="1">VLOOKUP(B64,Interview!$A$18:$J$230,7,FALSE)</f>
        <v>0</v>
      </c>
      <c r="D64" s="22" t="s">
        <v>235</v>
      </c>
    </row>
    <row r="65" spans="2:4" x14ac:dyDescent="0.55000000000000004">
      <c r="B65" s="23" t="s">
        <v>49</v>
      </c>
      <c r="C65" s="21">
        <f ca="1">VLOOKUP(B65,Interview!$A$18:$J$230,7,FALSE)</f>
        <v>0</v>
      </c>
      <c r="D65" s="22" t="s">
        <v>235</v>
      </c>
    </row>
    <row r="66" spans="2:4" x14ac:dyDescent="0.55000000000000004">
      <c r="B66" s="23" t="s">
        <v>50</v>
      </c>
      <c r="C66" s="21">
        <f ca="1">VLOOKUP(B66,Interview!$A$18:$J$230,7,FALSE)</f>
        <v>0</v>
      </c>
      <c r="D66" s="22" t="s">
        <v>235</v>
      </c>
    </row>
    <row r="67" spans="2:4" x14ac:dyDescent="0.55000000000000004">
      <c r="B67" s="23" t="s">
        <v>51</v>
      </c>
      <c r="C67" s="21">
        <f ca="1">VLOOKUP(B67,Interview!$A$18:$J$230,7,FALSE)</f>
        <v>0</v>
      </c>
      <c r="D67" s="22" t="s">
        <v>235</v>
      </c>
    </row>
    <row r="68" spans="2:4" x14ac:dyDescent="0.55000000000000004">
      <c r="B68" s="23" t="s">
        <v>52</v>
      </c>
      <c r="C68" s="21">
        <f ca="1">VLOOKUP(B68,Interview!$A$18:$J$230,7,FALSE)</f>
        <v>0</v>
      </c>
      <c r="D68" s="22" t="s">
        <v>235</v>
      </c>
    </row>
    <row r="69" spans="2:4" x14ac:dyDescent="0.55000000000000004">
      <c r="B69" s="23" t="s">
        <v>54</v>
      </c>
      <c r="C69" s="21">
        <f ca="1">VLOOKUP(B69,Interview!$A$18:$J$230,7,FALSE)</f>
        <v>0</v>
      </c>
      <c r="D69" s="22" t="s">
        <v>235</v>
      </c>
    </row>
    <row r="70" spans="2:4" x14ac:dyDescent="0.55000000000000004">
      <c r="B70" s="23" t="s">
        <v>55</v>
      </c>
      <c r="C70" s="21">
        <f ca="1">VLOOKUP(B70,Interview!$A$18:$J$230,7,FALSE)</f>
        <v>0</v>
      </c>
      <c r="D70" s="22" t="s">
        <v>235</v>
      </c>
    </row>
    <row r="71" spans="2:4" x14ac:dyDescent="0.55000000000000004">
      <c r="B71" s="23" t="s">
        <v>56</v>
      </c>
      <c r="C71" s="21">
        <f ca="1">VLOOKUP(B71,Interview!$A$18:$J$230,7,FALSE)</f>
        <v>0</v>
      </c>
      <c r="D71" s="22" t="s">
        <v>235</v>
      </c>
    </row>
    <row r="72" spans="2:4" x14ac:dyDescent="0.55000000000000004">
      <c r="B72" s="23" t="s">
        <v>57</v>
      </c>
      <c r="C72" s="21">
        <f ca="1">VLOOKUP(B72,Interview!$A$18:$J$230,7,FALSE)</f>
        <v>0</v>
      </c>
      <c r="D72" s="22" t="s">
        <v>235</v>
      </c>
    </row>
    <row r="73" spans="2:4" x14ac:dyDescent="0.55000000000000004">
      <c r="B73" s="23" t="s">
        <v>58</v>
      </c>
      <c r="C73" s="21">
        <f ca="1">VLOOKUP(B73,Interview!$A$18:$J$230,7,FALSE)</f>
        <v>0</v>
      </c>
      <c r="D73" s="22" t="s">
        <v>235</v>
      </c>
    </row>
    <row r="74" spans="2:4" x14ac:dyDescent="0.55000000000000004">
      <c r="B74" s="23" t="s">
        <v>59</v>
      </c>
      <c r="C74" s="21">
        <f ca="1">VLOOKUP(B74,Interview!$A$18:$J$230,7,FALSE)</f>
        <v>0</v>
      </c>
      <c r="D74" s="22" t="s">
        <v>235</v>
      </c>
    </row>
    <row r="75" spans="2:4" x14ac:dyDescent="0.55000000000000004">
      <c r="B75" s="23" t="s">
        <v>62</v>
      </c>
      <c r="C75" s="21">
        <f ca="1">VLOOKUP(B75,Interview!$A$18:$J$230,7,FALSE)</f>
        <v>0</v>
      </c>
      <c r="D75" s="22" t="s">
        <v>235</v>
      </c>
    </row>
    <row r="76" spans="2:4" x14ac:dyDescent="0.55000000000000004">
      <c r="B76" s="23" t="s">
        <v>63</v>
      </c>
      <c r="C76" s="21">
        <f ca="1">VLOOKUP(B76,Interview!$A$18:$J$230,7,FALSE)</f>
        <v>0</v>
      </c>
      <c r="D76" s="22" t="s">
        <v>235</v>
      </c>
    </row>
    <row r="77" spans="2:4" x14ac:dyDescent="0.55000000000000004">
      <c r="B77" s="23" t="s">
        <v>64</v>
      </c>
      <c r="C77" s="21">
        <f ca="1">VLOOKUP(B77,Interview!$A$18:$J$230,7,FALSE)</f>
        <v>0</v>
      </c>
      <c r="D77" s="22" t="s">
        <v>235</v>
      </c>
    </row>
    <row r="78" spans="2:4" x14ac:dyDescent="0.55000000000000004">
      <c r="B78" s="23" t="s">
        <v>65</v>
      </c>
      <c r="C78" s="21">
        <f ca="1">VLOOKUP(B78,Interview!$A$18:$J$230,7,FALSE)</f>
        <v>0</v>
      </c>
      <c r="D78" s="22" t="s">
        <v>235</v>
      </c>
    </row>
    <row r="79" spans="2:4" x14ac:dyDescent="0.55000000000000004">
      <c r="B79" s="23" t="s">
        <v>66</v>
      </c>
      <c r="C79" s="21">
        <f ca="1">VLOOKUP(B79,Interview!$A$18:$J$230,7,FALSE)</f>
        <v>0</v>
      </c>
      <c r="D79" s="22" t="s">
        <v>235</v>
      </c>
    </row>
    <row r="80" spans="2:4" x14ac:dyDescent="0.55000000000000004">
      <c r="B80" s="23" t="s">
        <v>67</v>
      </c>
      <c r="C80" s="21">
        <f ca="1">VLOOKUP(B80,Interview!$A$18:$J$230,7,FALSE)</f>
        <v>0</v>
      </c>
      <c r="D80" s="22" t="s">
        <v>235</v>
      </c>
    </row>
    <row r="81" spans="2:4" x14ac:dyDescent="0.55000000000000004">
      <c r="B81" s="23" t="s">
        <v>69</v>
      </c>
      <c r="C81" s="21">
        <f ca="1">VLOOKUP(B81,Interview!$A$18:$J$230,7,FALSE)</f>
        <v>0</v>
      </c>
      <c r="D81" s="22" t="s">
        <v>235</v>
      </c>
    </row>
    <row r="82" spans="2:4" x14ac:dyDescent="0.55000000000000004">
      <c r="B82" s="23" t="s">
        <v>70</v>
      </c>
      <c r="C82" s="21">
        <f ca="1">VLOOKUP(B82,Interview!$A$18:$J$230,7,FALSE)</f>
        <v>0</v>
      </c>
      <c r="D82" s="22" t="s">
        <v>235</v>
      </c>
    </row>
    <row r="83" spans="2:4" x14ac:dyDescent="0.55000000000000004">
      <c r="B83" s="23" t="s">
        <v>71</v>
      </c>
      <c r="C83" s="21">
        <f ca="1">VLOOKUP(B83,Interview!$A$18:$J$230,7,FALSE)</f>
        <v>0</v>
      </c>
      <c r="D83" s="22" t="s">
        <v>235</v>
      </c>
    </row>
    <row r="84" spans="2:4" x14ac:dyDescent="0.55000000000000004">
      <c r="B84" s="23" t="s">
        <v>72</v>
      </c>
      <c r="C84" s="21">
        <f ca="1">VLOOKUP(B84,Interview!$A$18:$J$230,7,FALSE)</f>
        <v>0</v>
      </c>
      <c r="D84" s="22" t="s">
        <v>235</v>
      </c>
    </row>
    <row r="85" spans="2:4" x14ac:dyDescent="0.55000000000000004">
      <c r="B85" s="23" t="s">
        <v>73</v>
      </c>
      <c r="C85" s="21">
        <f ca="1">VLOOKUP(B85,Interview!$A$18:$J$230,7,FALSE)</f>
        <v>0</v>
      </c>
      <c r="D85" s="22" t="s">
        <v>235</v>
      </c>
    </row>
    <row r="86" spans="2:4" x14ac:dyDescent="0.55000000000000004">
      <c r="B86" s="23" t="s">
        <v>74</v>
      </c>
      <c r="C86" s="21">
        <f ca="1">VLOOKUP(B86,Interview!$A$18:$J$230,7,FALSE)</f>
        <v>0</v>
      </c>
      <c r="D86" s="22" t="s">
        <v>235</v>
      </c>
    </row>
    <row r="87" spans="2:4" x14ac:dyDescent="0.55000000000000004">
      <c r="B87" s="23" t="s">
        <v>76</v>
      </c>
      <c r="C87" s="21">
        <f ca="1">VLOOKUP(B87,Interview!$A$18:$J$230,7,FALSE)</f>
        <v>0</v>
      </c>
      <c r="D87" s="22" t="s">
        <v>235</v>
      </c>
    </row>
    <row r="88" spans="2:4" x14ac:dyDescent="0.55000000000000004">
      <c r="B88" s="23" t="s">
        <v>77</v>
      </c>
      <c r="C88" s="21">
        <f ca="1">VLOOKUP(B88,Interview!$A$18:$J$230,7,FALSE)</f>
        <v>0</v>
      </c>
      <c r="D88" s="22" t="s">
        <v>235</v>
      </c>
    </row>
    <row r="89" spans="2:4" x14ac:dyDescent="0.55000000000000004">
      <c r="B89" s="23" t="s">
        <v>78</v>
      </c>
      <c r="C89" s="21">
        <f ca="1">VLOOKUP(B89,Interview!$A$18:$J$230,7,FALSE)</f>
        <v>0</v>
      </c>
      <c r="D89" s="22" t="s">
        <v>235</v>
      </c>
    </row>
    <row r="90" spans="2:4" x14ac:dyDescent="0.55000000000000004">
      <c r="B90" s="23" t="s">
        <v>79</v>
      </c>
      <c r="C90" s="21">
        <f ca="1">VLOOKUP(B90,Interview!$A$18:$J$230,7,FALSE)</f>
        <v>0</v>
      </c>
      <c r="D90" s="22" t="s">
        <v>235</v>
      </c>
    </row>
    <row r="91" spans="2:4" x14ac:dyDescent="0.55000000000000004">
      <c r="B91" s="23" t="s">
        <v>80</v>
      </c>
      <c r="C91" s="21">
        <f ca="1">VLOOKUP(B91,Interview!$A$18:$J$230,7,FALSE)</f>
        <v>0</v>
      </c>
      <c r="D91" s="22" t="s">
        <v>235</v>
      </c>
    </row>
    <row r="92" spans="2:4" x14ac:dyDescent="0.55000000000000004">
      <c r="B92" s="23" t="s">
        <v>81</v>
      </c>
      <c r="C92" s="21">
        <f ca="1">VLOOKUP(B92,Interview!$A$18:$J$230,7,FALSE)</f>
        <v>0</v>
      </c>
      <c r="D92" s="22" t="s">
        <v>235</v>
      </c>
    </row>
    <row r="93" spans="2:4" x14ac:dyDescent="0.55000000000000004">
      <c r="B93" s="23" t="s">
        <v>84</v>
      </c>
      <c r="C93" s="21">
        <f ca="1">VLOOKUP(B93,Interview!$A$18:$J$230,7,FALSE)</f>
        <v>0</v>
      </c>
      <c r="D93" s="22" t="s">
        <v>235</v>
      </c>
    </row>
    <row r="94" spans="2:4" x14ac:dyDescent="0.55000000000000004">
      <c r="B94" s="23" t="s">
        <v>85</v>
      </c>
      <c r="C94" s="21">
        <f ca="1">VLOOKUP(B94,Interview!$A$18:$J$230,7,FALSE)</f>
        <v>0</v>
      </c>
      <c r="D94" s="22" t="s">
        <v>235</v>
      </c>
    </row>
    <row r="95" spans="2:4" x14ac:dyDescent="0.55000000000000004">
      <c r="B95" s="23" t="s">
        <v>86</v>
      </c>
      <c r="C95" s="21">
        <f ca="1">VLOOKUP(B95,Interview!$A$18:$J$230,7,FALSE)</f>
        <v>0</v>
      </c>
      <c r="D95" s="22" t="s">
        <v>235</v>
      </c>
    </row>
    <row r="96" spans="2:4" x14ac:dyDescent="0.55000000000000004">
      <c r="B96" s="23" t="s">
        <v>87</v>
      </c>
      <c r="C96" s="21">
        <f ca="1">VLOOKUP(B96,Interview!$A$18:$J$230,7,FALSE)</f>
        <v>0</v>
      </c>
      <c r="D96" s="22" t="s">
        <v>235</v>
      </c>
    </row>
    <row r="97" spans="2:4" x14ac:dyDescent="0.55000000000000004">
      <c r="B97" s="23" t="s">
        <v>88</v>
      </c>
      <c r="C97" s="21">
        <f ca="1">VLOOKUP(B97,Interview!$A$18:$J$230,7,FALSE)</f>
        <v>0</v>
      </c>
      <c r="D97" s="22" t="s">
        <v>235</v>
      </c>
    </row>
    <row r="98" spans="2:4" x14ac:dyDescent="0.55000000000000004">
      <c r="B98" s="23" t="s">
        <v>89</v>
      </c>
      <c r="C98" s="21">
        <f ca="1">VLOOKUP(B98,Interview!$A$18:$J$230,7,FALSE)</f>
        <v>0</v>
      </c>
      <c r="D98" s="22" t="s">
        <v>235</v>
      </c>
    </row>
    <row r="99" spans="2:4" x14ac:dyDescent="0.55000000000000004">
      <c r="B99" s="23" t="s">
        <v>91</v>
      </c>
      <c r="C99" s="21">
        <f ca="1">VLOOKUP(B99,Interview!$A$18:$J$230,7,FALSE)</f>
        <v>0</v>
      </c>
      <c r="D99" s="22" t="s">
        <v>235</v>
      </c>
    </row>
    <row r="100" spans="2:4" x14ac:dyDescent="0.55000000000000004">
      <c r="B100" s="23" t="s">
        <v>92</v>
      </c>
      <c r="C100" s="21">
        <f ca="1">VLOOKUP(B100,Interview!$A$18:$J$230,7,FALSE)</f>
        <v>0</v>
      </c>
      <c r="D100" s="22" t="s">
        <v>235</v>
      </c>
    </row>
    <row r="101" spans="2:4" x14ac:dyDescent="0.55000000000000004">
      <c r="B101" s="23" t="s">
        <v>93</v>
      </c>
      <c r="C101" s="21">
        <f ca="1">VLOOKUP(B101,Interview!$A$18:$J$230,7,FALSE)</f>
        <v>0</v>
      </c>
      <c r="D101" s="22" t="s">
        <v>235</v>
      </c>
    </row>
    <row r="102" spans="2:4" x14ac:dyDescent="0.55000000000000004">
      <c r="B102" s="23" t="s">
        <v>94</v>
      </c>
      <c r="C102" s="21">
        <f ca="1">VLOOKUP(B102,Interview!$A$18:$J$230,7,FALSE)</f>
        <v>0</v>
      </c>
      <c r="D102" s="22" t="s">
        <v>235</v>
      </c>
    </row>
    <row r="103" spans="2:4" x14ac:dyDescent="0.55000000000000004">
      <c r="B103" s="23" t="s">
        <v>95</v>
      </c>
      <c r="C103" s="21">
        <f ca="1">VLOOKUP(B103,Interview!$A$18:$J$230,7,FALSE)</f>
        <v>0</v>
      </c>
      <c r="D103" s="22" t="s">
        <v>235</v>
      </c>
    </row>
    <row r="104" spans="2:4" x14ac:dyDescent="0.55000000000000004">
      <c r="B104" s="23" t="s">
        <v>96</v>
      </c>
      <c r="C104" s="21">
        <f ca="1">VLOOKUP(B104,Interview!$A$18:$J$230,7,FALSE)</f>
        <v>0</v>
      </c>
      <c r="D104" s="22" t="s">
        <v>235</v>
      </c>
    </row>
    <row r="105" spans="2:4" x14ac:dyDescent="0.55000000000000004">
      <c r="B105" s="23" t="s">
        <v>98</v>
      </c>
      <c r="C105" s="21">
        <f ca="1">VLOOKUP(B105,Interview!$A$18:$J$230,7,FALSE)</f>
        <v>0</v>
      </c>
      <c r="D105" s="22" t="s">
        <v>235</v>
      </c>
    </row>
    <row r="106" spans="2:4" x14ac:dyDescent="0.55000000000000004">
      <c r="B106" s="23" t="s">
        <v>99</v>
      </c>
      <c r="C106" s="21">
        <f ca="1">VLOOKUP(B106,Interview!$A$18:$J$230,7,FALSE)</f>
        <v>0</v>
      </c>
      <c r="D106" s="22" t="s">
        <v>235</v>
      </c>
    </row>
    <row r="107" spans="2:4" x14ac:dyDescent="0.55000000000000004">
      <c r="B107" s="23" t="s">
        <v>100</v>
      </c>
      <c r="C107" s="21">
        <f ca="1">VLOOKUP(B107,Interview!$A$18:$J$230,7,FALSE)</f>
        <v>0</v>
      </c>
      <c r="D107" s="22" t="s">
        <v>235</v>
      </c>
    </row>
    <row r="108" spans="2:4" x14ac:dyDescent="0.55000000000000004">
      <c r="B108" s="23" t="s">
        <v>101</v>
      </c>
      <c r="C108" s="21">
        <f ca="1">VLOOKUP(B108,Interview!$A$18:$J$230,7,FALSE)</f>
        <v>0</v>
      </c>
      <c r="D108" s="22" t="s">
        <v>235</v>
      </c>
    </row>
    <row r="109" spans="2:4" x14ac:dyDescent="0.55000000000000004">
      <c r="B109" s="23" t="s">
        <v>102</v>
      </c>
      <c r="C109" s="21">
        <f ca="1">VLOOKUP(B109,Interview!$A$18:$J$230,7,FALSE)</f>
        <v>0</v>
      </c>
      <c r="D109" s="22" t="s">
        <v>235</v>
      </c>
    </row>
    <row r="110" spans="2:4" x14ac:dyDescent="0.55000000000000004">
      <c r="B110" s="23" t="s">
        <v>103</v>
      </c>
      <c r="C110" s="21">
        <f ca="1">VLOOKUP(B110,Interview!$A$18:$J$230,7,FALSE)</f>
        <v>0</v>
      </c>
      <c r="D110" s="22" t="s">
        <v>235</v>
      </c>
    </row>
    <row r="111" spans="2:4" x14ac:dyDescent="0.55000000000000004">
      <c r="B111" s="23" t="s">
        <v>106</v>
      </c>
      <c r="C111" s="21">
        <f ca="1">VLOOKUP(B111,Interview!$A$18:$J$230,7,FALSE)</f>
        <v>0</v>
      </c>
      <c r="D111" s="22" t="s">
        <v>235</v>
      </c>
    </row>
    <row r="112" spans="2:4" x14ac:dyDescent="0.55000000000000004">
      <c r="B112" s="23" t="s">
        <v>107</v>
      </c>
      <c r="C112" s="21">
        <f ca="1">VLOOKUP(B112,Interview!$A$18:$J$230,7,FALSE)</f>
        <v>0</v>
      </c>
      <c r="D112" s="22" t="s">
        <v>235</v>
      </c>
    </row>
    <row r="113" spans="2:4" x14ac:dyDescent="0.55000000000000004">
      <c r="B113" s="23" t="s">
        <v>108</v>
      </c>
      <c r="C113" s="21">
        <f ca="1">VLOOKUP(B113,Interview!$A$18:$J$230,7,FALSE)</f>
        <v>0</v>
      </c>
      <c r="D113" s="22" t="s">
        <v>235</v>
      </c>
    </row>
    <row r="114" spans="2:4" x14ac:dyDescent="0.55000000000000004">
      <c r="B114" s="23" t="s">
        <v>109</v>
      </c>
      <c r="C114" s="21">
        <f ca="1">VLOOKUP(B114,Interview!$A$18:$J$230,7,FALSE)</f>
        <v>0</v>
      </c>
      <c r="D114" s="22" t="s">
        <v>235</v>
      </c>
    </row>
    <row r="115" spans="2:4" x14ac:dyDescent="0.55000000000000004">
      <c r="B115" s="23" t="s">
        <v>110</v>
      </c>
      <c r="C115" s="21">
        <f ca="1">VLOOKUP(B115,Interview!$A$18:$J$230,7,FALSE)</f>
        <v>0</v>
      </c>
      <c r="D115" s="22" t="s">
        <v>235</v>
      </c>
    </row>
    <row r="116" spans="2:4" x14ac:dyDescent="0.55000000000000004">
      <c r="B116" s="23" t="s">
        <v>111</v>
      </c>
      <c r="C116" s="21">
        <f ca="1">VLOOKUP(B116,Interview!$A$18:$J$230,7,FALSE)</f>
        <v>0</v>
      </c>
      <c r="D116" s="22" t="s">
        <v>235</v>
      </c>
    </row>
    <row r="117" spans="2:4" x14ac:dyDescent="0.55000000000000004">
      <c r="B117" s="23" t="s">
        <v>113</v>
      </c>
      <c r="C117" s="21">
        <f ca="1">VLOOKUP(B117,Interview!$A$18:$J$230,7,FALSE)</f>
        <v>0</v>
      </c>
      <c r="D117" s="22" t="s">
        <v>235</v>
      </c>
    </row>
    <row r="118" spans="2:4" x14ac:dyDescent="0.55000000000000004">
      <c r="B118" s="23" t="s">
        <v>114</v>
      </c>
      <c r="C118" s="21">
        <f ca="1">VLOOKUP(B118,Interview!$A$18:$J$230,7,FALSE)</f>
        <v>0</v>
      </c>
      <c r="D118" s="22" t="s">
        <v>235</v>
      </c>
    </row>
    <row r="119" spans="2:4" x14ac:dyDescent="0.55000000000000004">
      <c r="B119" s="23" t="s">
        <v>115</v>
      </c>
      <c r="C119" s="21">
        <f ca="1">VLOOKUP(B119,Interview!$A$18:$J$230,7,FALSE)</f>
        <v>0</v>
      </c>
      <c r="D119" s="22" t="s">
        <v>235</v>
      </c>
    </row>
    <row r="120" spans="2:4" x14ac:dyDescent="0.55000000000000004">
      <c r="B120" s="23" t="s">
        <v>116</v>
      </c>
      <c r="C120" s="21">
        <f ca="1">VLOOKUP(B120,Interview!$A$18:$J$230,7,FALSE)</f>
        <v>0</v>
      </c>
      <c r="D120" s="22" t="s">
        <v>235</v>
      </c>
    </row>
    <row r="121" spans="2:4" x14ac:dyDescent="0.55000000000000004">
      <c r="B121" s="23" t="s">
        <v>117</v>
      </c>
      <c r="C121" s="21">
        <f ca="1">VLOOKUP(B121,Interview!$A$18:$J$230,7,FALSE)</f>
        <v>0</v>
      </c>
      <c r="D121" s="22" t="s">
        <v>235</v>
      </c>
    </row>
    <row r="122" spans="2:4" x14ac:dyDescent="0.55000000000000004">
      <c r="B122" s="23" t="s">
        <v>118</v>
      </c>
      <c r="C122" s="21">
        <f ca="1">VLOOKUP(B122,Interview!$A$18:$J$230,7,FALSE)</f>
        <v>0</v>
      </c>
      <c r="D122" s="22" t="s">
        <v>235</v>
      </c>
    </row>
    <row r="123" spans="2:4" x14ac:dyDescent="0.55000000000000004">
      <c r="B123" s="23" t="s">
        <v>120</v>
      </c>
      <c r="C123" s="21">
        <f ca="1">VLOOKUP(B123,Interview!$A$18:$J$230,7,FALSE)</f>
        <v>0</v>
      </c>
      <c r="D123" s="22" t="s">
        <v>235</v>
      </c>
    </row>
    <row r="124" spans="2:4" x14ac:dyDescent="0.55000000000000004">
      <c r="B124" s="23" t="s">
        <v>121</v>
      </c>
      <c r="C124" s="21">
        <f ca="1">VLOOKUP(B124,Interview!$A$18:$J$230,7,FALSE)</f>
        <v>0</v>
      </c>
      <c r="D124" s="22" t="s">
        <v>235</v>
      </c>
    </row>
    <row r="125" spans="2:4" x14ac:dyDescent="0.55000000000000004">
      <c r="B125" s="23" t="s">
        <v>122</v>
      </c>
      <c r="C125" s="21">
        <f ca="1">VLOOKUP(B125,Interview!$A$18:$J$230,7,FALSE)</f>
        <v>0</v>
      </c>
      <c r="D125" s="22" t="s">
        <v>235</v>
      </c>
    </row>
    <row r="126" spans="2:4" x14ac:dyDescent="0.55000000000000004">
      <c r="B126" s="23" t="s">
        <v>123</v>
      </c>
      <c r="C126" s="21">
        <f ca="1">VLOOKUP(B126,Interview!$A$18:$J$230,7,FALSE)</f>
        <v>0</v>
      </c>
      <c r="D126" s="22" t="s">
        <v>235</v>
      </c>
    </row>
    <row r="127" spans="2:4" x14ac:dyDescent="0.55000000000000004">
      <c r="B127" s="23" t="s">
        <v>124</v>
      </c>
      <c r="C127" s="21">
        <f ca="1">VLOOKUP(B127,Interview!$A$18:$J$230,7,FALSE)</f>
        <v>0</v>
      </c>
      <c r="D127" s="22" t="s">
        <v>235</v>
      </c>
    </row>
    <row r="128" spans="2:4" x14ac:dyDescent="0.55000000000000004">
      <c r="B128" s="23" t="s">
        <v>125</v>
      </c>
      <c r="C128" s="21">
        <f ca="1">VLOOKUP(B128,Interview!$A$18:$J$230,7,FALSE)</f>
        <v>0</v>
      </c>
      <c r="D128" s="22" t="s">
        <v>235</v>
      </c>
    </row>
  </sheetData>
  <mergeCells count="1">
    <mergeCell ref="B1:C1"/>
  </mergeCells>
  <dataValidations count="8">
    <dataValidation type="list" showInputMessage="1" showErrorMessage="1" sqref="C15" xr:uid="{00000000-0002-0000-0100-000000000000}">
      <formula1>$L$5:$L$9</formula1>
    </dataValidation>
    <dataValidation type="list" showInputMessage="1" showErrorMessage="1" sqref="C14" xr:uid="{00000000-0002-0000-0100-000001000000}">
      <formula1>$K$5:$K$8</formula1>
    </dataValidation>
    <dataValidation type="list" showInputMessage="1" showErrorMessage="1" sqref="C16 C13" xr:uid="{00000000-0002-0000-0100-000002000000}">
      <formula1>$J$5:$J$8</formula1>
    </dataValidation>
    <dataValidation type="list" showInputMessage="1" showErrorMessage="1" sqref="C12" xr:uid="{00000000-0002-0000-0100-000003000000}">
      <formula1>$I$5:$I$19</formula1>
    </dataValidation>
    <dataValidation type="list" showInputMessage="1" showErrorMessage="1" sqref="C10" xr:uid="{00000000-0002-0000-0100-000004000000}">
      <formula1>$G$5:$G$7</formula1>
    </dataValidation>
    <dataValidation type="list" showInputMessage="1" showErrorMessage="1" sqref="C11" xr:uid="{00000000-0002-0000-0100-000005000000}">
      <formula1>$H$5:$H$11</formula1>
    </dataValidation>
    <dataValidation type="list" showInputMessage="1" showErrorMessage="1" sqref="C9" xr:uid="{00000000-0002-0000-0100-000006000000}">
      <formula1>$F$5:$F$6</formula1>
    </dataValidation>
    <dataValidation type="list" showInputMessage="1" showErrorMessage="1" sqref="C17" xr:uid="{00000000-0002-0000-0100-000007000000}">
      <formula1>$M$5:$M$8</formula1>
    </dataValidation>
  </dataValidations>
  <pageMargins left="0.7" right="0.7" top="0.75" bottom="0.75" header="0.3" footer="0.3"/>
  <pageSetup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230"/>
  <sheetViews>
    <sheetView topLeftCell="B1" zoomScaleNormal="100" workbookViewId="0">
      <selection activeCell="F84" sqref="F84"/>
    </sheetView>
  </sheetViews>
  <sheetFormatPr defaultColWidth="8.796875" defaultRowHeight="13.5" x14ac:dyDescent="0.35"/>
  <cols>
    <col min="1" max="1" width="10.46484375" style="87" hidden="1" customWidth="1"/>
    <col min="2" max="2" width="15.33203125" style="89" customWidth="1"/>
    <col min="3" max="3" width="7.46484375" style="89" customWidth="1"/>
    <col min="4" max="4" width="107.796875" style="90" customWidth="1"/>
    <col min="5" max="5" width="5.1328125" style="91" hidden="1" customWidth="1"/>
    <col min="6" max="6" width="33.46484375" style="92" customWidth="1"/>
    <col min="7" max="7" width="8.46484375" style="87" hidden="1" customWidth="1"/>
    <col min="8" max="8" width="8.46484375" style="93" hidden="1" customWidth="1"/>
    <col min="9" max="9" width="33.46484375" style="89" customWidth="1"/>
    <col min="10" max="10" width="15" style="203" customWidth="1"/>
    <col min="11" max="11" width="15" style="89" bestFit="1" customWidth="1"/>
    <col min="12" max="12" width="26" style="89" customWidth="1"/>
    <col min="13" max="13" width="24.46484375" style="89" customWidth="1"/>
    <col min="14" max="14" width="26.46484375" style="89" customWidth="1"/>
    <col min="15" max="15" width="25.46484375" style="89" customWidth="1"/>
    <col min="16" max="16" width="28.46484375" style="89" customWidth="1"/>
    <col min="17" max="26" width="15" style="89" bestFit="1" customWidth="1"/>
    <col min="27" max="27" width="8.796875" style="89" customWidth="1"/>
    <col min="28" max="16384" width="8.796875" style="89"/>
  </cols>
  <sheetData>
    <row r="1" spans="1:26" ht="18" customHeight="1" x14ac:dyDescent="0.35">
      <c r="B1" s="502" t="str">
        <f>CONCATENATE("SAMM Assessment Interview: ",D11," For ",D10)</f>
        <v xml:space="preserve">SAMM Assessment Interview:  For </v>
      </c>
      <c r="C1" s="503"/>
      <c r="D1" s="504"/>
      <c r="E1" s="505"/>
      <c r="F1" s="506"/>
      <c r="G1" s="507"/>
      <c r="H1" s="508"/>
      <c r="I1" s="503"/>
      <c r="J1" s="94"/>
      <c r="K1" s="95"/>
      <c r="L1" s="95"/>
      <c r="M1" s="95"/>
      <c r="N1" s="95"/>
      <c r="O1" s="95"/>
      <c r="P1" s="95"/>
      <c r="Q1" s="95"/>
      <c r="R1" s="95"/>
      <c r="S1" s="95"/>
      <c r="T1" s="95"/>
      <c r="U1" s="95"/>
      <c r="V1" s="95"/>
      <c r="W1" s="95"/>
      <c r="X1" s="95"/>
      <c r="Y1" s="95"/>
      <c r="Z1" s="95"/>
    </row>
    <row r="2" spans="1:26" ht="15" customHeight="1" thickBot="1" x14ac:dyDescent="0.4">
      <c r="B2" s="95"/>
      <c r="C2" s="95"/>
      <c r="D2" s="95"/>
      <c r="E2" s="96"/>
      <c r="F2" s="88"/>
      <c r="G2" s="96"/>
      <c r="H2" s="97"/>
      <c r="I2" s="98"/>
      <c r="J2" s="94"/>
      <c r="K2" s="95"/>
      <c r="L2" s="95"/>
      <c r="M2" s="95"/>
      <c r="N2" s="95"/>
      <c r="O2" s="95"/>
      <c r="P2" s="95"/>
      <c r="Q2" s="95"/>
      <c r="R2" s="95"/>
      <c r="S2" s="95"/>
      <c r="T2" s="95"/>
      <c r="U2" s="95"/>
      <c r="V2" s="95"/>
      <c r="W2" s="95"/>
      <c r="X2" s="95"/>
      <c r="Y2" s="95"/>
      <c r="Z2" s="95"/>
    </row>
    <row r="3" spans="1:26" x14ac:dyDescent="0.35">
      <c r="B3" s="509" t="s">
        <v>0</v>
      </c>
      <c r="C3" s="510"/>
      <c r="D3" s="510"/>
      <c r="E3" s="510"/>
      <c r="F3" s="510"/>
      <c r="G3" s="510"/>
      <c r="H3" s="510"/>
      <c r="I3" s="511"/>
      <c r="J3" s="94"/>
      <c r="K3" s="95"/>
      <c r="L3" s="95"/>
      <c r="M3" s="95"/>
      <c r="N3" s="95"/>
      <c r="O3" s="95"/>
      <c r="P3" s="95"/>
      <c r="Q3" s="95"/>
      <c r="R3" s="95"/>
      <c r="S3" s="95"/>
      <c r="T3" s="95"/>
      <c r="U3" s="95"/>
      <c r="V3" s="95"/>
      <c r="W3" s="95"/>
      <c r="X3" s="95"/>
      <c r="Y3" s="95"/>
      <c r="Z3" s="95"/>
    </row>
    <row r="4" spans="1:26" x14ac:dyDescent="0.35">
      <c r="B4" s="512" t="s">
        <v>1</v>
      </c>
      <c r="C4" s="513"/>
      <c r="D4" s="513"/>
      <c r="E4" s="513"/>
      <c r="F4" s="513"/>
      <c r="G4" s="513"/>
      <c r="H4" s="513"/>
      <c r="I4" s="514"/>
      <c r="J4" s="94"/>
      <c r="K4" s="95"/>
      <c r="L4" s="95"/>
      <c r="M4" s="95"/>
      <c r="N4" s="95"/>
      <c r="O4" s="95"/>
      <c r="P4" s="95"/>
      <c r="Q4" s="95"/>
      <c r="R4" s="95"/>
      <c r="S4" s="95"/>
      <c r="T4" s="95"/>
      <c r="U4" s="95"/>
      <c r="V4" s="95"/>
      <c r="W4" s="95"/>
      <c r="X4" s="95"/>
      <c r="Y4" s="95"/>
      <c r="Z4" s="95"/>
    </row>
    <row r="5" spans="1:26" x14ac:dyDescent="0.35">
      <c r="B5" s="515" t="s">
        <v>2</v>
      </c>
      <c r="C5" s="503"/>
      <c r="D5" s="504"/>
      <c r="E5" s="505"/>
      <c r="F5" s="506"/>
      <c r="G5" s="507"/>
      <c r="H5" s="508"/>
      <c r="I5" s="516"/>
      <c r="J5" s="94"/>
      <c r="K5" s="95"/>
      <c r="L5" s="95"/>
      <c r="M5" s="95"/>
      <c r="N5" s="95"/>
      <c r="O5" s="95"/>
      <c r="P5" s="95"/>
      <c r="Q5" s="95"/>
      <c r="R5" s="95"/>
      <c r="S5" s="95"/>
      <c r="T5" s="95"/>
      <c r="U5" s="95"/>
      <c r="V5" s="95"/>
      <c r="W5" s="95"/>
      <c r="X5" s="95"/>
      <c r="Y5" s="95"/>
      <c r="Z5" s="95"/>
    </row>
    <row r="6" spans="1:26" x14ac:dyDescent="0.35">
      <c r="B6" s="515" t="s">
        <v>3</v>
      </c>
      <c r="C6" s="503"/>
      <c r="D6" s="504"/>
      <c r="E6" s="505"/>
      <c r="F6" s="506"/>
      <c r="G6" s="507"/>
      <c r="H6" s="508"/>
      <c r="I6" s="516"/>
      <c r="J6" s="94"/>
      <c r="K6" s="95"/>
      <c r="L6" s="95"/>
      <c r="M6" s="95"/>
      <c r="N6" s="95"/>
      <c r="O6" s="95"/>
      <c r="P6" s="95"/>
      <c r="Q6" s="95"/>
      <c r="R6" s="95"/>
      <c r="S6" s="95"/>
      <c r="T6" s="95"/>
      <c r="U6" s="95"/>
      <c r="V6" s="95"/>
      <c r="W6" s="95"/>
      <c r="X6" s="95"/>
      <c r="Y6" s="95"/>
      <c r="Z6" s="95"/>
    </row>
    <row r="7" spans="1:26" x14ac:dyDescent="0.35">
      <c r="B7" s="515" t="s">
        <v>4</v>
      </c>
      <c r="C7" s="503"/>
      <c r="D7" s="504"/>
      <c r="E7" s="505"/>
      <c r="F7" s="506"/>
      <c r="G7" s="507"/>
      <c r="H7" s="508"/>
      <c r="I7" s="516"/>
      <c r="J7" s="94"/>
      <c r="K7" s="95"/>
      <c r="L7" s="95"/>
      <c r="M7" s="95"/>
      <c r="N7" s="95"/>
      <c r="O7" s="95"/>
      <c r="P7" s="95"/>
      <c r="Q7" s="95"/>
      <c r="R7" s="95"/>
      <c r="S7" s="95"/>
      <c r="T7" s="95"/>
      <c r="U7" s="95"/>
      <c r="V7" s="95"/>
      <c r="W7" s="95"/>
      <c r="X7" s="95"/>
      <c r="Y7" s="95"/>
      <c r="Z7" s="95"/>
    </row>
    <row r="8" spans="1:26" ht="15" customHeight="1" thickBot="1" x14ac:dyDescent="0.4">
      <c r="B8" s="521" t="s">
        <v>5</v>
      </c>
      <c r="C8" s="522"/>
      <c r="D8" s="522"/>
      <c r="E8" s="522"/>
      <c r="F8" s="522"/>
      <c r="G8" s="522"/>
      <c r="H8" s="522"/>
      <c r="I8" s="523"/>
      <c r="J8" s="94"/>
      <c r="K8" s="95"/>
      <c r="L8" s="95"/>
      <c r="M8" s="95"/>
      <c r="N8" s="95"/>
      <c r="O8" s="95"/>
      <c r="P8" s="95"/>
      <c r="Q8" s="95"/>
      <c r="R8" s="95"/>
      <c r="S8" s="95"/>
      <c r="T8" s="95"/>
      <c r="U8" s="95"/>
      <c r="V8" s="95"/>
      <c r="W8" s="95"/>
      <c r="X8" s="95"/>
      <c r="Y8" s="95"/>
      <c r="Z8" s="95"/>
    </row>
    <row r="9" spans="1:26" ht="15" customHeight="1" thickBot="1" x14ac:dyDescent="0.4">
      <c r="B9" s="95"/>
      <c r="C9" s="95"/>
      <c r="D9" s="95"/>
      <c r="E9" s="96"/>
      <c r="F9" s="88"/>
      <c r="G9" s="96"/>
      <c r="H9" s="97"/>
      <c r="I9" s="98"/>
      <c r="J9" s="94"/>
      <c r="K9" s="95"/>
      <c r="L9" s="95"/>
      <c r="M9" s="95"/>
      <c r="N9" s="95"/>
      <c r="O9" s="95"/>
      <c r="P9" s="95"/>
      <c r="Q9" s="95"/>
      <c r="R9" s="95"/>
      <c r="S9" s="95"/>
      <c r="T9" s="95"/>
      <c r="U9" s="95"/>
      <c r="V9" s="95"/>
      <c r="W9" s="95"/>
      <c r="X9" s="95"/>
      <c r="Y9" s="95"/>
      <c r="Z9" s="95"/>
    </row>
    <row r="10" spans="1:26" x14ac:dyDescent="0.35">
      <c r="B10" s="524" t="s">
        <v>6</v>
      </c>
      <c r="C10" s="525"/>
      <c r="D10" s="99"/>
      <c r="E10" s="96"/>
      <c r="F10" s="88"/>
      <c r="G10" s="96"/>
      <c r="H10" s="97"/>
      <c r="I10" s="98"/>
      <c r="J10" s="94"/>
      <c r="K10" s="95"/>
      <c r="L10" s="95"/>
      <c r="M10" s="95"/>
      <c r="N10" s="95"/>
      <c r="O10" s="95"/>
      <c r="P10" s="95"/>
      <c r="Q10" s="95"/>
      <c r="R10" s="95"/>
      <c r="S10" s="95"/>
      <c r="T10" s="95"/>
      <c r="U10" s="95"/>
      <c r="V10" s="95"/>
      <c r="W10" s="95"/>
      <c r="X10" s="95"/>
      <c r="Y10" s="95"/>
      <c r="Z10" s="95"/>
    </row>
    <row r="11" spans="1:26" x14ac:dyDescent="0.35">
      <c r="B11" s="517" t="s">
        <v>7</v>
      </c>
      <c r="C11" s="518"/>
      <c r="D11" s="100"/>
      <c r="E11" s="96"/>
      <c r="F11" s="88"/>
      <c r="G11" s="96"/>
      <c r="H11" s="97"/>
      <c r="I11" s="98"/>
      <c r="J11" s="94"/>
      <c r="K11" s="95"/>
      <c r="L11" s="95"/>
      <c r="M11" s="95"/>
      <c r="N11" s="95"/>
      <c r="O11" s="95"/>
      <c r="P11" s="95"/>
      <c r="Q11" s="95"/>
      <c r="R11" s="95"/>
      <c r="S11" s="95"/>
      <c r="T11" s="95"/>
      <c r="U11" s="95"/>
      <c r="V11" s="95"/>
      <c r="W11" s="95"/>
      <c r="X11" s="95"/>
      <c r="Y11" s="95"/>
      <c r="Z11" s="95"/>
    </row>
    <row r="12" spans="1:26" x14ac:dyDescent="0.35">
      <c r="B12" s="517" t="s">
        <v>8</v>
      </c>
      <c r="C12" s="518"/>
      <c r="D12" s="101"/>
      <c r="E12" s="102"/>
      <c r="F12" s="88"/>
      <c r="G12" s="96"/>
      <c r="H12" s="97"/>
      <c r="I12" s="98"/>
      <c r="J12" s="94"/>
      <c r="K12" s="95"/>
      <c r="L12" s="95"/>
      <c r="M12" s="95"/>
      <c r="N12" s="95"/>
      <c r="O12" s="95"/>
      <c r="P12" s="95"/>
      <c r="Q12" s="95"/>
      <c r="R12" s="95"/>
      <c r="S12" s="95"/>
      <c r="T12" s="95"/>
      <c r="U12" s="95"/>
      <c r="V12" s="95"/>
      <c r="W12" s="95"/>
      <c r="X12" s="95"/>
      <c r="Y12" s="95"/>
      <c r="Z12" s="95"/>
    </row>
    <row r="13" spans="1:26" x14ac:dyDescent="0.35">
      <c r="B13" s="517" t="s">
        <v>9</v>
      </c>
      <c r="C13" s="518"/>
      <c r="D13" s="100"/>
      <c r="E13" s="96"/>
      <c r="F13" s="88"/>
      <c r="G13" s="96"/>
      <c r="H13" s="97"/>
      <c r="I13" s="98"/>
      <c r="J13" s="94"/>
      <c r="K13" s="95"/>
      <c r="L13" s="95"/>
      <c r="M13" s="95"/>
      <c r="N13" s="95"/>
      <c r="O13" s="95"/>
      <c r="P13" s="95"/>
      <c r="Q13" s="95"/>
      <c r="R13" s="95"/>
      <c r="S13" s="95"/>
      <c r="T13" s="95"/>
      <c r="U13" s="95"/>
      <c r="V13" s="95"/>
      <c r="W13" s="95"/>
      <c r="X13" s="95"/>
      <c r="Y13" s="95"/>
      <c r="Z13" s="95"/>
    </row>
    <row r="14" spans="1:26" ht="24" customHeight="1" thickBot="1" x14ac:dyDescent="0.4">
      <c r="A14" s="103"/>
      <c r="B14" s="519" t="s">
        <v>10</v>
      </c>
      <c r="C14" s="520"/>
      <c r="D14" s="104"/>
      <c r="E14" s="96"/>
      <c r="F14" s="88"/>
      <c r="G14" s="96"/>
      <c r="H14" s="97"/>
      <c r="I14" s="98"/>
      <c r="J14" s="94"/>
      <c r="K14" s="95"/>
      <c r="L14" s="95"/>
      <c r="M14" s="95"/>
      <c r="N14" s="95"/>
      <c r="O14" s="95"/>
      <c r="P14" s="95"/>
      <c r="Q14" s="95"/>
      <c r="R14" s="95"/>
      <c r="S14" s="95"/>
      <c r="T14" s="95"/>
      <c r="U14" s="95"/>
      <c r="V14" s="95"/>
      <c r="W14" s="95"/>
      <c r="X14" s="95"/>
      <c r="Y14" s="95"/>
      <c r="Z14" s="95"/>
    </row>
    <row r="15" spans="1:26" x14ac:dyDescent="0.35">
      <c r="B15" s="95"/>
      <c r="C15" s="95"/>
      <c r="D15" s="95"/>
      <c r="E15" s="96"/>
      <c r="F15" s="88"/>
      <c r="G15" s="96"/>
      <c r="H15" s="97"/>
      <c r="I15" s="98"/>
      <c r="J15" s="94"/>
      <c r="K15" s="95"/>
      <c r="L15" s="95"/>
      <c r="M15" s="95"/>
      <c r="N15" s="95"/>
      <c r="O15" s="95"/>
      <c r="P15" s="95"/>
      <c r="Q15" s="95"/>
      <c r="R15" s="95"/>
      <c r="S15" s="95"/>
      <c r="T15" s="95"/>
      <c r="U15" s="95"/>
      <c r="V15" s="95"/>
      <c r="W15" s="95"/>
      <c r="X15" s="95"/>
      <c r="Y15" s="95"/>
      <c r="Z15" s="95"/>
    </row>
    <row r="16" spans="1:26" ht="22.25" customHeight="1" x14ac:dyDescent="0.35">
      <c r="B16" s="526" t="s">
        <v>11</v>
      </c>
      <c r="C16" s="527"/>
      <c r="D16" s="527"/>
      <c r="E16" s="527"/>
      <c r="F16" s="527"/>
      <c r="G16" s="527"/>
      <c r="H16" s="527"/>
      <c r="I16" s="527"/>
      <c r="J16" s="527"/>
      <c r="K16" s="95"/>
      <c r="Q16" s="95"/>
      <c r="R16" s="95"/>
      <c r="S16" s="95"/>
      <c r="T16" s="95"/>
      <c r="U16" s="95"/>
      <c r="V16" s="95"/>
      <c r="W16" s="95"/>
      <c r="X16" s="95"/>
      <c r="Y16" s="95"/>
      <c r="Z16" s="95"/>
    </row>
    <row r="17" spans="1:26" ht="15" customHeight="1" x14ac:dyDescent="0.35">
      <c r="B17" s="105" t="s">
        <v>12</v>
      </c>
      <c r="C17" s="106" t="s">
        <v>13</v>
      </c>
      <c r="D17" s="106" t="s">
        <v>14</v>
      </c>
      <c r="E17" s="107"/>
      <c r="F17" s="108" t="s">
        <v>15</v>
      </c>
      <c r="G17" s="108"/>
      <c r="H17" s="109"/>
      <c r="I17" s="110" t="s">
        <v>16</v>
      </c>
      <c r="J17" s="110" t="s">
        <v>17</v>
      </c>
      <c r="K17" s="95"/>
      <c r="Q17" s="95"/>
      <c r="R17" s="95"/>
      <c r="S17" s="95"/>
      <c r="T17" s="95"/>
      <c r="U17" s="95"/>
      <c r="V17" s="95"/>
      <c r="W17" s="95"/>
      <c r="X17" s="95"/>
      <c r="Y17" s="95"/>
      <c r="Z17" s="95"/>
    </row>
    <row r="18" spans="1:26" x14ac:dyDescent="0.35">
      <c r="A18" s="87" t="s">
        <v>18</v>
      </c>
      <c r="B18" s="474" t="str">
        <f>INDEX('imp-questions'!D:D, MATCH(A18, 'imp-questions'!A:A, 0))</f>
        <v>Create and Promote</v>
      </c>
      <c r="C18" s="111">
        <f>INDEX('imp-questions'!E:E, MATCH(A18, 'imp-questions'!A:A, 0))</f>
        <v>1</v>
      </c>
      <c r="D18" s="112" t="str">
        <f>INDEX('imp-questions'!F:F, MATCH(A18, 'imp-questions'!A:A, 0))</f>
        <v>Do you understand the enterprise-wide risk appetite for your applications?</v>
      </c>
      <c r="E18" s="113" t="str">
        <f>CHAR(65+INDEX('imp-questions'!H:H, MATCH(A18, 'imp-questions'!A:A, 0)))</f>
        <v>N</v>
      </c>
      <c r="F18" s="114"/>
      <c r="G18" s="89">
        <f ca="1">IFERROR(INDEX(INDIRECT("Ans" &amp; E18 &amp; "TBL"), MATCH(F18, INDEX(INDIRECT("Ans" &amp; E18 &amp; "TBL"), 0, 1), 0), 2), 0)</f>
        <v>0</v>
      </c>
      <c r="H18" s="115">
        <f ca="1">IFERROR(AVERAGE(G18,G25),0)</f>
        <v>0</v>
      </c>
      <c r="I18" s="485"/>
      <c r="J18" s="491">
        <f ca="1">SUM(H18,H20,H22)</f>
        <v>0</v>
      </c>
      <c r="K18" s="95"/>
      <c r="L18" s="96"/>
      <c r="M18" s="96"/>
      <c r="N18" s="96"/>
      <c r="O18" s="96"/>
      <c r="P18" s="96"/>
      <c r="Q18" s="95"/>
      <c r="R18" s="95"/>
      <c r="S18" s="95"/>
      <c r="T18" s="95"/>
      <c r="U18" s="95"/>
      <c r="V18" s="95"/>
      <c r="W18" s="95"/>
      <c r="X18" s="95"/>
      <c r="Y18" s="95"/>
      <c r="Z18" s="95"/>
    </row>
    <row r="19" spans="1:26" ht="59" customHeight="1" x14ac:dyDescent="0.35">
      <c r="B19" s="475"/>
      <c r="C19" s="434"/>
      <c r="D19" s="435" t="str">
        <f>INDEX('imp-questions'!G:G, MATCH(A18, 'imp-questions'!A:A, 0))</f>
        <v>You capture the risk appetite of your organization's executive leadership
 The organization's leadership vet and approve the set of risks
 You identify the main business and technical threats to your assets and data
 You document risks and store them in an accessible location</v>
      </c>
      <c r="E19" s="436"/>
      <c r="F19" s="437"/>
      <c r="G19" s="116"/>
      <c r="H19" s="117"/>
      <c r="I19" s="484"/>
      <c r="J19" s="484"/>
      <c r="K19" s="95"/>
      <c r="L19" s="96"/>
      <c r="M19" s="96"/>
      <c r="N19" s="96"/>
      <c r="O19" s="96"/>
      <c r="P19" s="96"/>
      <c r="Q19" s="95"/>
      <c r="R19" s="95"/>
      <c r="S19" s="95"/>
      <c r="T19" s="95"/>
      <c r="U19" s="95"/>
      <c r="V19" s="95"/>
      <c r="W19" s="95"/>
      <c r="X19" s="95"/>
      <c r="Y19" s="95"/>
      <c r="Z19" s="95"/>
    </row>
    <row r="20" spans="1:26" x14ac:dyDescent="0.35">
      <c r="A20" s="87" t="s">
        <v>19</v>
      </c>
      <c r="B20" s="475"/>
      <c r="C20" s="111">
        <f>INDEX('imp-questions'!E:E, MATCH(A20, 'imp-questions'!A:A, 0))</f>
        <v>2</v>
      </c>
      <c r="D20" s="112" t="str">
        <f>INDEX('imp-questions'!F:F, MATCH(A20, 'imp-questions'!A:A, 0))</f>
        <v>Do you have a strategic plan for application security and use it to make decisions?</v>
      </c>
      <c r="E20" s="113" t="str">
        <f>CHAR(65+INDEX('imp-questions'!H:H, MATCH(A20, 'imp-questions'!A:A, 0)))</f>
        <v>O</v>
      </c>
      <c r="F20" s="118"/>
      <c r="G20" s="119">
        <f ca="1">IFERROR(INDEX(INDIRECT("Ans" &amp; E20 &amp; "TBL"), MATCH(F20, INDEX(INDIRECT("Ans" &amp; E20 &amp; "TBL"), 0, 1), 0), 2), 0)</f>
        <v>0</v>
      </c>
      <c r="H20" s="120">
        <f ca="1">IFERROR(AVERAGE(G20,G27),0)</f>
        <v>0</v>
      </c>
      <c r="I20" s="486"/>
      <c r="J20" s="121"/>
      <c r="K20" s="95"/>
      <c r="L20" s="96"/>
      <c r="M20" s="96"/>
      <c r="N20" s="96"/>
      <c r="O20" s="96"/>
      <c r="P20" s="96"/>
      <c r="Q20" s="95"/>
      <c r="R20" s="95"/>
      <c r="S20" s="95"/>
      <c r="T20" s="95"/>
      <c r="U20" s="95"/>
      <c r="V20" s="95"/>
      <c r="W20" s="95"/>
      <c r="X20" s="95"/>
      <c r="Y20" s="95"/>
      <c r="Z20" s="95"/>
    </row>
    <row r="21" spans="1:26" ht="72" customHeight="1" x14ac:dyDescent="0.35">
      <c r="B21" s="475"/>
      <c r="C21" s="434"/>
      <c r="D21" s="435" t="str">
        <f>INDEX('imp-questions'!G:G, MATCH(A20, 'imp-questions'!A:A, 0))</f>
        <v>The plan reflects the organization's business priorities and risk appetite
 The plan includes measurable milestones and a budget
 The plan is consistent with the organization's business drivers and risks
 The plan lays out a roadmap for strategic and tactical initiatives
 You have buy-in from stakeholders, including development teams</v>
      </c>
      <c r="E21" s="436"/>
      <c r="F21" s="438"/>
      <c r="G21" s="116"/>
      <c r="H21" s="122"/>
      <c r="I21" s="487"/>
      <c r="J21" s="121"/>
      <c r="K21" s="95"/>
      <c r="L21" s="96"/>
      <c r="M21" s="96"/>
      <c r="N21" s="96"/>
      <c r="O21" s="96"/>
      <c r="P21" s="96"/>
      <c r="Q21" s="95"/>
      <c r="R21" s="95"/>
      <c r="S21" s="95"/>
      <c r="T21" s="95"/>
      <c r="U21" s="95"/>
      <c r="V21" s="95"/>
      <c r="W21" s="95"/>
      <c r="X21" s="95"/>
      <c r="Y21" s="95"/>
      <c r="Z21" s="95"/>
    </row>
    <row r="22" spans="1:26" x14ac:dyDescent="0.35">
      <c r="A22" s="87" t="s">
        <v>20</v>
      </c>
      <c r="B22" s="475"/>
      <c r="C22" s="111">
        <f>INDEX('imp-questions'!E:E, MATCH(A22, 'imp-questions'!A:A, 0))</f>
        <v>3</v>
      </c>
      <c r="D22" s="112" t="str">
        <f>INDEX('imp-questions'!F:F, MATCH(A22, 'imp-questions'!A:A, 0))</f>
        <v>Do you regularly review and update the Strategic Plan for Application Security?</v>
      </c>
      <c r="E22" s="113" t="str">
        <f>CHAR(65+INDEX('imp-questions'!H:H, MATCH(A22, 'imp-questions'!A:A, 0)))</f>
        <v>P</v>
      </c>
      <c r="F22" s="118"/>
      <c r="G22" s="119">
        <f ca="1">IFERROR(INDEX(INDIRECT("Ans" &amp; E22 &amp; "TBL"), MATCH(F22, INDEX(INDIRECT("Ans" &amp; E22 &amp; "TBL"), 0, 1), 0), 2), 0)</f>
        <v>0</v>
      </c>
      <c r="H22" s="120">
        <f ca="1">IFERROR(AVERAGE(G22,G29),0)</f>
        <v>0</v>
      </c>
      <c r="I22" s="486"/>
      <c r="J22" s="121"/>
      <c r="K22" s="95"/>
      <c r="L22" s="96"/>
      <c r="M22" s="96"/>
      <c r="N22" s="96"/>
      <c r="O22" s="96"/>
      <c r="P22" s="96"/>
      <c r="Q22" s="95"/>
      <c r="R22" s="95"/>
      <c r="S22" s="95"/>
      <c r="T22" s="95"/>
      <c r="U22" s="95"/>
      <c r="V22" s="95"/>
      <c r="W22" s="95"/>
      <c r="X22" s="95"/>
      <c r="Y22" s="95"/>
      <c r="Z22" s="95"/>
    </row>
    <row r="23" spans="1:26" ht="60" customHeight="1" x14ac:dyDescent="0.35">
      <c r="B23" s="476"/>
      <c r="C23" s="434"/>
      <c r="D23" s="435" t="str">
        <f>INDEX('imp-questions'!G:G, MATCH(A22, 'imp-questions'!A:A, 0))</f>
        <v>You review and update the plan in response to significant changes in the business environment, the organization, or its risk appetite
 Plan update steps include reviewing the plan with all the stakeholders and updating the business drivers and strategies
 You adjust the plan and roadmap based on lessons learned from completed roadmap activities
 You publish progress information on roadmap activities, making sure they are available to all stakeholders</v>
      </c>
      <c r="E23" s="436"/>
      <c r="F23" s="438"/>
      <c r="G23" s="116"/>
      <c r="H23" s="122"/>
      <c r="I23" s="487"/>
      <c r="J23" s="121"/>
      <c r="K23" s="95"/>
      <c r="L23" s="96"/>
      <c r="M23" s="96"/>
      <c r="N23" s="96"/>
      <c r="O23" s="96"/>
      <c r="P23" s="96"/>
      <c r="Q23" s="95"/>
      <c r="R23" s="95"/>
      <c r="S23" s="95"/>
      <c r="T23" s="95"/>
      <c r="U23" s="95"/>
      <c r="V23" s="95"/>
      <c r="W23" s="95"/>
      <c r="X23" s="95"/>
      <c r="Y23" s="95"/>
      <c r="Z23" s="95"/>
    </row>
    <row r="24" spans="1:26" x14ac:dyDescent="0.35">
      <c r="B24" s="123"/>
      <c r="C24" s="124"/>
      <c r="D24" s="125"/>
      <c r="E24" s="125"/>
      <c r="F24" s="125"/>
      <c r="G24" s="125"/>
      <c r="H24" s="125"/>
      <c r="I24" s="126"/>
      <c r="J24" s="121"/>
      <c r="K24" s="95"/>
      <c r="L24" s="96"/>
      <c r="M24" s="96"/>
      <c r="N24" s="96"/>
      <c r="O24" s="96"/>
      <c r="P24" s="96"/>
      <c r="Q24" s="95"/>
      <c r="R24" s="95"/>
      <c r="S24" s="95"/>
      <c r="T24" s="95"/>
      <c r="U24" s="95"/>
      <c r="V24" s="95"/>
      <c r="W24" s="95"/>
      <c r="X24" s="95"/>
      <c r="Y24" s="95"/>
      <c r="Z24" s="95"/>
    </row>
    <row r="25" spans="1:26" ht="28.05" customHeight="1" x14ac:dyDescent="0.35">
      <c r="A25" s="87" t="s">
        <v>21</v>
      </c>
      <c r="B25" s="474" t="str">
        <f>INDEX('imp-questions'!D:D, MATCH(A25, 'imp-questions'!A:A, 0))</f>
        <v>Measure and Improve</v>
      </c>
      <c r="C25" s="111">
        <f>INDEX('imp-questions'!E:E, MATCH(A25, 'imp-questions'!A:A, 0))</f>
        <v>1</v>
      </c>
      <c r="D25" s="112" t="str">
        <f>INDEX('imp-questions'!F:F, MATCH(A25, 'imp-questions'!A:A, 0))</f>
        <v>Do you use a set of metrics to measure the effectiveness and efficiency of the application security program across applications?</v>
      </c>
      <c r="E25" s="113" t="str">
        <f>CHAR(65+INDEX('imp-questions'!H:H, MATCH(A25, 'imp-questions'!A:A, 0)))</f>
        <v>Q</v>
      </c>
      <c r="F25" s="114"/>
      <c r="G25" s="119">
        <f ca="1">IFERROR(INDEX(INDIRECT("Ans" &amp; E25 &amp; "TBL"), MATCH(F25, INDEX(INDIRECT("Ans" &amp; E25 &amp; "TBL"), 0, 1), 0), 2), 0)</f>
        <v>0</v>
      </c>
      <c r="H25" s="127"/>
      <c r="I25" s="485"/>
      <c r="J25" s="121"/>
      <c r="K25" s="95"/>
      <c r="L25" s="96"/>
      <c r="M25" s="96"/>
      <c r="N25" s="96"/>
      <c r="O25" s="96"/>
      <c r="P25" s="96"/>
      <c r="Q25" s="95"/>
      <c r="R25" s="95"/>
      <c r="S25" s="95"/>
      <c r="T25" s="95"/>
      <c r="U25" s="95"/>
      <c r="V25" s="95"/>
      <c r="W25" s="95"/>
      <c r="X25" s="95"/>
      <c r="Y25" s="95"/>
      <c r="Z25" s="95"/>
    </row>
    <row r="26" spans="1:26" ht="71" customHeight="1" x14ac:dyDescent="0.35">
      <c r="B26" s="475"/>
      <c r="C26" s="434"/>
      <c r="D26" s="435" t="str">
        <f>INDEX('imp-questions'!G:G, MATCH(A25, 'imp-questions'!A:A, 0))</f>
        <v>You document each metric, including a description of the sources, measurement coverage, and guidance on how to use it to explain application security trends
 Metrics include measures of efforts, results, and the environment measurement categories
 Most of the metrics are frequently measured, easy or inexpensive to gather, and expressed as a cardinal number or a percentage
 Application security and development teams publish metrics</v>
      </c>
      <c r="E26" s="436"/>
      <c r="F26" s="438"/>
      <c r="G26" s="116"/>
      <c r="H26" s="122"/>
      <c r="I26" s="484"/>
      <c r="J26" s="121"/>
      <c r="K26" s="95"/>
      <c r="L26" s="96"/>
      <c r="M26" s="96"/>
      <c r="N26" s="96"/>
      <c r="O26" s="96"/>
      <c r="P26" s="96"/>
      <c r="Q26" s="95"/>
      <c r="R26" s="95"/>
      <c r="S26" s="95"/>
      <c r="T26" s="95"/>
      <c r="U26" s="95"/>
      <c r="V26" s="95"/>
      <c r="W26" s="95"/>
      <c r="X26" s="95"/>
      <c r="Y26" s="95"/>
      <c r="Z26" s="95"/>
    </row>
    <row r="27" spans="1:26" x14ac:dyDescent="0.35">
      <c r="A27" s="87" t="s">
        <v>22</v>
      </c>
      <c r="B27" s="475"/>
      <c r="C27" s="111">
        <f>INDEX('imp-questions'!E:E, MATCH(A27, 'imp-questions'!A:A, 0))</f>
        <v>2</v>
      </c>
      <c r="D27" s="112" t="str">
        <f>INDEX('imp-questions'!F:F, MATCH(A27, 'imp-questions'!A:A, 0))</f>
        <v>Did you define Key Performance Indicators (KPI) from available application security metrics?</v>
      </c>
      <c r="E27" s="113" t="str">
        <f>CHAR(65+INDEX('imp-questions'!H:H, MATCH(A27, 'imp-questions'!A:A, 0)))</f>
        <v>S</v>
      </c>
      <c r="F27" s="118"/>
      <c r="G27" s="119">
        <f ca="1">IFERROR(INDEX(INDIRECT("Ans" &amp; E27 &amp; "TBL"), MATCH(F27, INDEX(INDIRECT("Ans" &amp; E27 &amp; "TBL"), 0, 1), 0), 2), 0)</f>
        <v>0</v>
      </c>
      <c r="H27" s="127"/>
      <c r="I27" s="485"/>
      <c r="J27" s="121"/>
      <c r="K27" s="95"/>
      <c r="L27" s="96"/>
      <c r="M27" s="96"/>
      <c r="N27" s="96"/>
      <c r="O27" s="96"/>
      <c r="P27" s="96"/>
      <c r="Q27" s="95"/>
      <c r="R27" s="95"/>
      <c r="S27" s="95"/>
      <c r="T27" s="95"/>
      <c r="U27" s="95"/>
      <c r="V27" s="95"/>
      <c r="W27" s="95"/>
      <c r="X27" s="95"/>
      <c r="Y27" s="95"/>
      <c r="Z27" s="95"/>
    </row>
    <row r="28" spans="1:26" ht="60" customHeight="1" x14ac:dyDescent="0.35">
      <c r="B28" s="475"/>
      <c r="C28" s="434"/>
      <c r="D28" s="435" t="str">
        <f>INDEX('imp-questions'!G:G, MATCH(A27, 'imp-questions'!A:A, 0))</f>
        <v>You defined KPIs after gathering enough information to establish realistic objectives
 You developed KPIs with the buy-in from the leadership and teams responsible for application security
 KPIs are available to the application teams and include acceptability thresholds and guidance in case teams need to take action
 Success of the application security program is clearly visible based on defined KPIs</v>
      </c>
      <c r="E28" s="436"/>
      <c r="F28" s="438"/>
      <c r="G28" s="116"/>
      <c r="H28" s="122"/>
      <c r="I28" s="484"/>
      <c r="J28" s="121"/>
      <c r="K28" s="95"/>
      <c r="L28" s="96"/>
      <c r="M28" s="96"/>
      <c r="N28" s="96"/>
      <c r="O28" s="96"/>
      <c r="P28" s="96"/>
      <c r="Q28" s="95"/>
      <c r="R28" s="95"/>
      <c r="S28" s="95"/>
      <c r="T28" s="95"/>
      <c r="U28" s="95"/>
      <c r="V28" s="95"/>
      <c r="W28" s="95"/>
      <c r="X28" s="95"/>
      <c r="Y28" s="95"/>
      <c r="Z28" s="95"/>
    </row>
    <row r="29" spans="1:26" x14ac:dyDescent="0.35">
      <c r="A29" s="87" t="s">
        <v>23</v>
      </c>
      <c r="B29" s="475"/>
      <c r="C29" s="111">
        <f>INDEX('imp-questions'!E:E, MATCH(A29, 'imp-questions'!A:A, 0))</f>
        <v>3</v>
      </c>
      <c r="D29" s="112" t="str">
        <f>INDEX('imp-questions'!F:F, MATCH(A29, 'imp-questions'!A:A, 0))</f>
        <v>Do you update the Application Security strategy and roadmap based on application security metrics and KPIs?</v>
      </c>
      <c r="E29" s="113" t="str">
        <f>CHAR(65+INDEX('imp-questions'!H:H, MATCH(A29, 'imp-questions'!A:A, 0)))</f>
        <v>P</v>
      </c>
      <c r="F29" s="118"/>
      <c r="G29" s="119">
        <f ca="1">IFERROR(INDEX(INDIRECT("Ans" &amp; E29 &amp; "TBL"), MATCH(F29, INDEX(INDIRECT("Ans" &amp; E29 &amp; "TBL"), 0, 1), 0), 2), 0)</f>
        <v>0</v>
      </c>
      <c r="H29" s="127"/>
      <c r="I29" s="485"/>
      <c r="J29" s="121"/>
      <c r="K29" s="95"/>
      <c r="L29" s="96"/>
      <c r="M29" s="96"/>
      <c r="N29" s="96"/>
      <c r="O29" s="96"/>
      <c r="P29" s="96"/>
      <c r="Q29" s="95"/>
      <c r="R29" s="95"/>
      <c r="S29" s="95"/>
      <c r="T29" s="95"/>
      <c r="U29" s="95"/>
      <c r="V29" s="95"/>
      <c r="W29" s="95"/>
      <c r="X29" s="95"/>
      <c r="Y29" s="95"/>
      <c r="Z29" s="95"/>
    </row>
    <row r="30" spans="1:26" ht="38" customHeight="1" x14ac:dyDescent="0.35">
      <c r="B30" s="476"/>
      <c r="C30" s="434"/>
      <c r="D30" s="439" t="str">
        <f>INDEX('imp-questions'!G:G, MATCH(A29, 'imp-questions'!A:A, 0))</f>
        <v>You review KPIs at least yearly for their efficiency and effectiveness
 KPIs and application security metrics trigger most of the changes to the application security strategy</v>
      </c>
      <c r="E30" s="436"/>
      <c r="F30" s="438"/>
      <c r="G30" s="116"/>
      <c r="H30" s="122"/>
      <c r="I30" s="484"/>
      <c r="J30" s="121"/>
      <c r="K30" s="95"/>
      <c r="L30" s="96"/>
      <c r="M30" s="96"/>
      <c r="N30" s="96"/>
      <c r="O30" s="96"/>
      <c r="P30" s="96"/>
      <c r="Q30" s="95"/>
      <c r="R30" s="95"/>
      <c r="S30" s="95"/>
      <c r="T30" s="95"/>
      <c r="U30" s="95"/>
      <c r="V30" s="95"/>
      <c r="W30" s="95"/>
      <c r="X30" s="95"/>
      <c r="Y30" s="95"/>
      <c r="Z30" s="95"/>
    </row>
    <row r="31" spans="1:26" x14ac:dyDescent="0.35">
      <c r="B31" s="497" t="s">
        <v>24</v>
      </c>
      <c r="C31" s="498"/>
      <c r="D31" s="499"/>
      <c r="E31" s="128"/>
      <c r="F31" s="108" t="s">
        <v>15</v>
      </c>
      <c r="G31" s="129"/>
      <c r="H31" s="130"/>
      <c r="I31" s="110" t="s">
        <v>16</v>
      </c>
      <c r="J31" s="110" t="s">
        <v>17</v>
      </c>
      <c r="K31" s="95"/>
      <c r="L31" s="96"/>
      <c r="M31" s="96"/>
      <c r="N31" s="96"/>
      <c r="O31" s="96"/>
      <c r="P31" s="96"/>
      <c r="Q31" s="95"/>
      <c r="R31" s="95"/>
      <c r="S31" s="95"/>
      <c r="T31" s="95"/>
      <c r="U31" s="95"/>
      <c r="V31" s="95"/>
      <c r="W31" s="95"/>
      <c r="X31" s="95"/>
      <c r="Y31" s="95"/>
      <c r="Z31" s="95"/>
    </row>
    <row r="32" spans="1:26" ht="12.75" customHeight="1" x14ac:dyDescent="0.35">
      <c r="A32" s="87" t="s">
        <v>25</v>
      </c>
      <c r="B32" s="474" t="str">
        <f>INDEX('imp-questions'!D:D, MATCH(A32, 'imp-questions'!A:A, 0))</f>
        <v>Policy and Standards</v>
      </c>
      <c r="C32" s="111">
        <f>INDEX('imp-questions'!E:E, MATCH(A32, 'imp-questions'!A:A, 0))</f>
        <v>1</v>
      </c>
      <c r="D32" s="131" t="str">
        <f>INDEX('imp-questions'!F:F, MATCH(A32, 'imp-questions'!A:A, 0))</f>
        <v>Do you have and apply a common set of policies and standards throughout your organization?</v>
      </c>
      <c r="E32" s="113" t="str">
        <f>CHAR(65+INDEX('imp-questions'!H:H, MATCH(A32, 'imp-questions'!A:A, 0)))</f>
        <v>A</v>
      </c>
      <c r="F32" s="114"/>
      <c r="G32" s="119">
        <f ca="1">IFERROR(INDEX(INDIRECT("Ans" &amp; E32 &amp; "TBL"), MATCH(F32, INDEX(INDIRECT("Ans" &amp; E32 &amp; "TBL"), 0, 1), 0), 2), 0)</f>
        <v>0</v>
      </c>
      <c r="H32" s="115">
        <f ca="1">IFERROR(AVERAGE(G32,G39),0)</f>
        <v>0</v>
      </c>
      <c r="I32" s="485"/>
      <c r="J32" s="483">
        <f ca="1">SUM(H32,H34,H36)</f>
        <v>0</v>
      </c>
      <c r="K32" s="95"/>
      <c r="L32" s="96"/>
      <c r="M32" s="96"/>
      <c r="N32" s="96"/>
      <c r="O32" s="96"/>
      <c r="P32" s="96"/>
      <c r="Q32" s="95"/>
      <c r="R32" s="95"/>
      <c r="S32" s="95"/>
      <c r="T32" s="95"/>
      <c r="U32" s="95"/>
      <c r="V32" s="95"/>
      <c r="W32" s="95"/>
      <c r="X32" s="95"/>
      <c r="Y32" s="95"/>
      <c r="Z32" s="95"/>
    </row>
    <row r="33" spans="1:26" ht="36" customHeight="1" x14ac:dyDescent="0.35">
      <c r="B33" s="475"/>
      <c r="C33" s="434"/>
      <c r="D33" s="435" t="str">
        <f>INDEX('imp-questions'!G:G, MATCH(A32, 'imp-questions'!A:A, 0))</f>
        <v>You have adapted existing standards appropriate for the organization’s industry to account for domain-specific considerations
 Your standards are aligned with your policies and incorporate technology-specific implementation guidance</v>
      </c>
      <c r="E33" s="436"/>
      <c r="F33" s="438"/>
      <c r="G33" s="116"/>
      <c r="H33" s="117"/>
      <c r="I33" s="484"/>
      <c r="J33" s="484"/>
      <c r="K33" s="95"/>
      <c r="L33" s="96"/>
      <c r="M33" s="96"/>
      <c r="N33" s="96"/>
      <c r="O33" s="96"/>
      <c r="P33" s="96"/>
      <c r="Q33" s="95"/>
      <c r="R33" s="95"/>
      <c r="S33" s="95"/>
      <c r="T33" s="95"/>
      <c r="U33" s="95"/>
      <c r="V33" s="95"/>
      <c r="W33" s="95"/>
      <c r="X33" s="95"/>
      <c r="Y33" s="95"/>
      <c r="Z33" s="95"/>
    </row>
    <row r="34" spans="1:26" ht="15" customHeight="1" x14ac:dyDescent="0.35">
      <c r="A34" s="87" t="s">
        <v>26</v>
      </c>
      <c r="B34" s="475"/>
      <c r="C34" s="111">
        <f>INDEX('imp-questions'!E:E, MATCH(A34, 'imp-questions'!A:A, 0))</f>
        <v>2</v>
      </c>
      <c r="D34" s="112" t="str">
        <f>INDEX('imp-questions'!F:F, MATCH(A34, 'imp-questions'!A:A, 0))</f>
        <v>Do you publish the organization's policies as test scripts or run-books for easy interpretation by development teams?</v>
      </c>
      <c r="E34" s="113" t="str">
        <f>CHAR(65+INDEX('imp-questions'!H:H, MATCH(A34, 'imp-questions'!A:A, 0)))</f>
        <v>C</v>
      </c>
      <c r="F34" s="114"/>
      <c r="G34" s="119">
        <f ca="1">IFERROR(INDEX(INDIRECT("Ans" &amp; E34 &amp; "TBL"), MATCH(F34, INDEX(INDIRECT("Ans" &amp; E34 &amp; "TBL"), 0, 1), 0), 2), 0)</f>
        <v>0</v>
      </c>
      <c r="H34" s="120">
        <f ca="1">IFERROR(AVERAGE(G34,G41),0)</f>
        <v>0</v>
      </c>
      <c r="I34" s="486"/>
      <c r="J34" s="121"/>
      <c r="K34" s="95"/>
      <c r="L34" s="96"/>
      <c r="M34" s="96"/>
      <c r="N34" s="96"/>
      <c r="O34" s="96"/>
      <c r="P34" s="96"/>
      <c r="Q34" s="95"/>
      <c r="R34" s="95"/>
      <c r="S34" s="95"/>
      <c r="T34" s="95"/>
      <c r="U34" s="95"/>
      <c r="V34" s="95"/>
      <c r="W34" s="95"/>
      <c r="X34" s="95"/>
      <c r="Y34" s="95"/>
      <c r="Z34" s="95"/>
    </row>
    <row r="35" spans="1:26" ht="43.05" customHeight="1" x14ac:dyDescent="0.35">
      <c r="B35" s="475"/>
      <c r="C35" s="434"/>
      <c r="D35" s="435" t="str">
        <f>INDEX('imp-questions'!G:G, MATCH(A34, 'imp-questions'!A:A, 0))</f>
        <v>You create verification checklists and test scripts where applicable, aligned with the policy's requirements and the implementation guidance in the associated standards
 You create versions adapted to each development methodology and technology the organization uses</v>
      </c>
      <c r="E35" s="436"/>
      <c r="F35" s="438"/>
      <c r="G35" s="116"/>
      <c r="H35" s="122"/>
      <c r="I35" s="487"/>
      <c r="J35" s="121"/>
      <c r="K35" s="95"/>
      <c r="L35" s="96"/>
      <c r="M35" s="96"/>
      <c r="N35" s="96"/>
      <c r="O35" s="96"/>
      <c r="P35" s="96"/>
      <c r="Q35" s="95"/>
      <c r="R35" s="95"/>
      <c r="S35" s="95"/>
      <c r="T35" s="95"/>
      <c r="U35" s="95"/>
      <c r="V35" s="95"/>
      <c r="W35" s="95"/>
      <c r="X35" s="95"/>
      <c r="Y35" s="95"/>
      <c r="Z35" s="95"/>
    </row>
    <row r="36" spans="1:26" ht="28.5" customHeight="1" x14ac:dyDescent="0.35">
      <c r="A36" s="87" t="s">
        <v>27</v>
      </c>
      <c r="B36" s="475"/>
      <c r="C36" s="111">
        <f>INDEX('imp-questions'!E:E, MATCH(A36, 'imp-questions'!A:A, 0))</f>
        <v>3</v>
      </c>
      <c r="D36" s="112" t="str">
        <f>INDEX('imp-questions'!F:F, MATCH(A36, 'imp-questions'!A:A, 0))</f>
        <v>Do you regularly report on policy and standard compliance, and use that information to guide compliance improvement efforts?</v>
      </c>
      <c r="E36" s="113" t="str">
        <f>CHAR(65+INDEX('imp-questions'!H:H, MATCH(A36, 'imp-questions'!A:A, 0)))</f>
        <v>T</v>
      </c>
      <c r="F36" s="114"/>
      <c r="G36" s="119">
        <f ca="1">IFERROR(INDEX(INDIRECT("Ans" &amp; E36 &amp; "TBL"), MATCH(F36, INDEX(INDIRECT("Ans" &amp; E36 &amp; "TBL"), 0, 1), 0), 2), 0)</f>
        <v>0</v>
      </c>
      <c r="H36" s="120">
        <f ca="1">IFERROR(AVERAGE(G36,G43),0)</f>
        <v>0</v>
      </c>
      <c r="I36" s="486"/>
      <c r="J36" s="121"/>
      <c r="K36" s="95"/>
      <c r="L36" s="96"/>
      <c r="M36" s="96"/>
      <c r="N36" s="96"/>
      <c r="O36" s="96"/>
      <c r="P36" s="96"/>
      <c r="Q36" s="95"/>
      <c r="R36" s="95"/>
      <c r="S36" s="95"/>
      <c r="T36" s="95"/>
      <c r="U36" s="95"/>
      <c r="V36" s="95"/>
      <c r="W36" s="95"/>
      <c r="X36" s="95"/>
      <c r="Y36" s="95"/>
      <c r="Z36" s="95"/>
    </row>
    <row r="37" spans="1:26" ht="47" customHeight="1" x14ac:dyDescent="0.35">
      <c r="B37" s="476"/>
      <c r="C37" s="434"/>
      <c r="D37" s="435" t="str">
        <f>INDEX('imp-questions'!G:G, MATCH(A36, 'imp-questions'!A:A, 0))</f>
        <v>You have procedures (automated, if possible) to regularly generate compliance reports
 You deliver compliance reports to all relevant stakeholders
 Stakeholders use the reported compliance status information to identify areas for improvement</v>
      </c>
      <c r="E37" s="436"/>
      <c r="F37" s="438"/>
      <c r="G37" s="116"/>
      <c r="H37" s="122"/>
      <c r="I37" s="487"/>
      <c r="J37" s="121"/>
      <c r="K37" s="95"/>
      <c r="L37" s="96"/>
      <c r="M37" s="96"/>
      <c r="N37" s="96"/>
      <c r="O37" s="96"/>
      <c r="P37" s="96"/>
      <c r="Q37" s="95"/>
      <c r="R37" s="95"/>
      <c r="S37" s="95"/>
      <c r="T37" s="95"/>
      <c r="U37" s="95"/>
      <c r="V37" s="95"/>
      <c r="W37" s="95"/>
      <c r="X37" s="95"/>
      <c r="Y37" s="95"/>
      <c r="Z37" s="95"/>
    </row>
    <row r="38" spans="1:26" x14ac:dyDescent="0.35">
      <c r="B38" s="132"/>
      <c r="C38" s="124"/>
      <c r="D38" s="124"/>
      <c r="E38" s="124"/>
      <c r="F38" s="124"/>
      <c r="G38" s="124"/>
      <c r="H38" s="124"/>
      <c r="I38" s="133"/>
      <c r="J38" s="94"/>
      <c r="K38" s="95"/>
      <c r="L38" s="96"/>
      <c r="M38" s="96"/>
      <c r="N38" s="96"/>
      <c r="O38" s="96"/>
      <c r="P38" s="96"/>
      <c r="Q38" s="95"/>
      <c r="R38" s="95"/>
      <c r="S38" s="95"/>
      <c r="T38" s="95"/>
      <c r="U38" s="95"/>
      <c r="V38" s="95"/>
      <c r="W38" s="95"/>
      <c r="X38" s="95"/>
      <c r="Y38" s="95"/>
      <c r="Z38" s="95"/>
    </row>
    <row r="39" spans="1:26" ht="15" customHeight="1" x14ac:dyDescent="0.35">
      <c r="A39" s="87" t="s">
        <v>28</v>
      </c>
      <c r="B39" s="474" t="str">
        <f>INDEX('imp-questions'!D:D, MATCH(A39, 'imp-questions'!A:A, 0))</f>
        <v>Compliance Management</v>
      </c>
      <c r="C39" s="111">
        <f>INDEX('imp-questions'!E:E, MATCH(A39, 'imp-questions'!A:A, 0))</f>
        <v>1</v>
      </c>
      <c r="D39" s="112" t="str">
        <f>INDEX('imp-questions'!F:F, MATCH(A39, 'imp-questions'!A:A, 0))</f>
        <v>Do you have a complete picture of your external compliance obligations?</v>
      </c>
      <c r="E39" s="113" t="str">
        <f>CHAR(65+INDEX('imp-questions'!H:H, MATCH(A39, 'imp-questions'!A:A, 0)))</f>
        <v>A</v>
      </c>
      <c r="F39" s="134"/>
      <c r="G39" s="135">
        <f ca="1">IFERROR(INDEX(INDIRECT("Ans" &amp; E39 &amp; "TBL"), MATCH(F39, INDEX(INDIRECT("Ans" &amp; E39 &amp; "TBL"), 0, 1), 0), 2), 0)</f>
        <v>0</v>
      </c>
      <c r="H39" s="136"/>
      <c r="I39" s="472"/>
      <c r="J39" s="121"/>
      <c r="K39" s="95"/>
      <c r="L39" s="96"/>
      <c r="M39" s="96"/>
      <c r="N39" s="96"/>
      <c r="O39" s="96"/>
      <c r="P39" s="96"/>
      <c r="Q39" s="95"/>
      <c r="R39" s="95"/>
      <c r="S39" s="95"/>
      <c r="T39" s="95"/>
      <c r="U39" s="95"/>
      <c r="V39" s="95"/>
      <c r="W39" s="95"/>
      <c r="X39" s="95"/>
      <c r="Y39" s="95"/>
      <c r="Z39" s="95"/>
    </row>
    <row r="40" spans="1:26" ht="37.049999999999997" customHeight="1" x14ac:dyDescent="0.35">
      <c r="B40" s="475"/>
      <c r="C40" s="434"/>
      <c r="D40" s="435" t="str">
        <f>INDEX('imp-questions'!G:G, MATCH(A39, 'imp-questions'!A:A, 0))</f>
        <v>You have identified all sources of external compliance obligations
 You have captured and reconciled compliance obligations from all sources</v>
      </c>
      <c r="E40" s="436"/>
      <c r="F40" s="440"/>
      <c r="G40" s="137"/>
      <c r="H40" s="138"/>
      <c r="I40" s="473"/>
      <c r="J40" s="121"/>
      <c r="K40" s="95"/>
      <c r="L40" s="96"/>
      <c r="M40" s="96"/>
      <c r="N40" s="96"/>
      <c r="O40" s="96"/>
      <c r="P40" s="96"/>
      <c r="Q40" s="95"/>
      <c r="R40" s="95"/>
      <c r="S40" s="95"/>
      <c r="T40" s="95"/>
      <c r="U40" s="95"/>
      <c r="V40" s="95"/>
      <c r="W40" s="95"/>
      <c r="X40" s="95"/>
      <c r="Y40" s="95"/>
      <c r="Z40" s="95"/>
    </row>
    <row r="41" spans="1:26" ht="28.05" customHeight="1" x14ac:dyDescent="0.35">
      <c r="A41" s="87" t="s">
        <v>29</v>
      </c>
      <c r="B41" s="475"/>
      <c r="C41" s="111">
        <f>INDEX('imp-questions'!E:E, MATCH(A41, 'imp-questions'!A:A, 0))</f>
        <v>2</v>
      </c>
      <c r="D41" s="112" t="str">
        <f>INDEX('imp-questions'!F:F, MATCH(A41, 'imp-questions'!A:A, 0))</f>
        <v>Do you have a standard set of security requirements and verification procedures addressing the organization's external compliance obligations?</v>
      </c>
      <c r="E41" s="113" t="str">
        <f>CHAR(65+INDEX('imp-questions'!H:H, MATCH(A41, 'imp-questions'!A:A, 0)))</f>
        <v>U</v>
      </c>
      <c r="F41" s="134"/>
      <c r="G41" s="135">
        <f ca="1">IFERROR(INDEX(INDIRECT("Ans" &amp; E41 &amp; "TBL"), MATCH(F41, INDEX(INDIRECT("Ans" &amp; E41 &amp; "TBL"), 0, 1), 0), 2), 0)</f>
        <v>0</v>
      </c>
      <c r="H41" s="136"/>
      <c r="I41" s="496"/>
      <c r="J41" s="121"/>
      <c r="K41" s="95"/>
      <c r="L41" s="96"/>
      <c r="M41" s="96"/>
      <c r="N41" s="96"/>
      <c r="O41" s="96"/>
      <c r="P41" s="96"/>
      <c r="Q41" s="95"/>
      <c r="R41" s="95"/>
      <c r="S41" s="95"/>
      <c r="T41" s="95"/>
      <c r="U41" s="95"/>
      <c r="V41" s="95"/>
      <c r="W41" s="95"/>
      <c r="X41" s="95"/>
      <c r="Y41" s="95"/>
      <c r="Z41" s="95"/>
    </row>
    <row r="42" spans="1:26" ht="38" customHeight="1" x14ac:dyDescent="0.35">
      <c r="B42" s="475"/>
      <c r="C42" s="434"/>
      <c r="D42" s="435" t="str">
        <f>INDEX('imp-questions'!G:G, MATCH(A41, 'imp-questions'!A:A, 0))</f>
        <v>You map each external compliance obligation to a well-defined set of application requirements
 You define verification procedures, including automated tests, to verify compliance with compliance-related requirements</v>
      </c>
      <c r="E42" s="436"/>
      <c r="F42" s="440"/>
      <c r="G42" s="137"/>
      <c r="H42" s="138"/>
      <c r="I42" s="473"/>
      <c r="J42" s="121"/>
      <c r="K42" s="95"/>
      <c r="L42" s="96"/>
      <c r="M42" s="96"/>
      <c r="N42" s="96"/>
      <c r="O42" s="96"/>
      <c r="P42" s="96"/>
      <c r="Q42" s="95"/>
      <c r="R42" s="95"/>
      <c r="S42" s="95"/>
      <c r="T42" s="95"/>
      <c r="U42" s="95"/>
      <c r="V42" s="95"/>
      <c r="W42" s="95"/>
      <c r="X42" s="95"/>
      <c r="Y42" s="95"/>
      <c r="Z42" s="95"/>
    </row>
    <row r="43" spans="1:26" ht="28.05" customHeight="1" x14ac:dyDescent="0.35">
      <c r="A43" s="87" t="s">
        <v>30</v>
      </c>
      <c r="B43" s="475"/>
      <c r="C43" s="111">
        <f>INDEX('imp-questions'!E:E, MATCH(A43, 'imp-questions'!A:A, 0))</f>
        <v>3</v>
      </c>
      <c r="D43" s="112" t="str">
        <f>INDEX('imp-questions'!F:F, MATCH(A43, 'imp-questions'!A:A, 0))</f>
        <v>Do you regularly report on adherence to external compliance obligations and use that information to guide efforts to close compliance gaps?</v>
      </c>
      <c r="E43" s="113" t="str">
        <f>CHAR(65+INDEX('imp-questions'!H:H, MATCH(A43, 'imp-questions'!A:A, 0)))</f>
        <v>T</v>
      </c>
      <c r="F43" s="134"/>
      <c r="G43" s="135">
        <f ca="1">IFERROR(INDEX(INDIRECT("Ans" &amp; E43 &amp; "TBL"), MATCH(F43, INDEX(INDIRECT("Ans" &amp; E43 &amp; "TBL"), 0, 1), 0), 2), 0)</f>
        <v>0</v>
      </c>
      <c r="H43" s="136"/>
      <c r="I43" s="496"/>
      <c r="J43" s="121"/>
      <c r="K43" s="95"/>
      <c r="L43" s="96"/>
      <c r="M43" s="96"/>
      <c r="N43" s="96"/>
      <c r="O43" s="96"/>
      <c r="P43" s="96"/>
      <c r="Q43" s="95"/>
      <c r="R43" s="95"/>
      <c r="S43" s="95"/>
      <c r="T43" s="95"/>
      <c r="U43" s="95"/>
      <c r="V43" s="95"/>
      <c r="W43" s="95"/>
      <c r="X43" s="95"/>
      <c r="Y43" s="95"/>
      <c r="Z43" s="95"/>
    </row>
    <row r="44" spans="1:26" ht="45" customHeight="1" x14ac:dyDescent="0.35">
      <c r="B44" s="476"/>
      <c r="C44" s="434"/>
      <c r="D44" s="439" t="str">
        <f>INDEX('imp-questions'!G:G, MATCH(A43, 'imp-questions'!A:A, 0))</f>
        <v>You have established, well-defined compliance metrics
 You measure and report on applications' compliance metrics regularly
 Stakeholders use the reported compliance status information to identify compliance gaps and prioritize gap remediation efforts</v>
      </c>
      <c r="E44" s="436"/>
      <c r="F44" s="440"/>
      <c r="G44" s="137"/>
      <c r="H44" s="138"/>
      <c r="I44" s="473"/>
      <c r="J44" s="121"/>
      <c r="K44" s="95"/>
      <c r="L44" s="96"/>
      <c r="M44" s="96"/>
      <c r="N44" s="96"/>
      <c r="O44" s="96"/>
      <c r="P44" s="96"/>
      <c r="Q44" s="95"/>
      <c r="R44" s="95"/>
      <c r="S44" s="95"/>
      <c r="T44" s="95"/>
      <c r="U44" s="95"/>
      <c r="V44" s="95"/>
      <c r="W44" s="95"/>
      <c r="X44" s="95"/>
      <c r="Y44" s="95"/>
      <c r="Z44" s="95"/>
    </row>
    <row r="45" spans="1:26" x14ac:dyDescent="0.35">
      <c r="B45" s="497" t="s">
        <v>31</v>
      </c>
      <c r="C45" s="498"/>
      <c r="D45" s="499"/>
      <c r="E45" s="128"/>
      <c r="F45" s="108" t="s">
        <v>15</v>
      </c>
      <c r="G45" s="129"/>
      <c r="H45" s="130"/>
      <c r="I45" s="110" t="s">
        <v>16</v>
      </c>
      <c r="J45" s="110" t="s">
        <v>17</v>
      </c>
      <c r="K45" s="95"/>
      <c r="L45" s="96"/>
      <c r="M45" s="96"/>
      <c r="N45" s="96"/>
      <c r="O45" s="96"/>
      <c r="P45" s="96"/>
      <c r="Q45" s="95"/>
      <c r="R45" s="95"/>
      <c r="S45" s="95"/>
      <c r="T45" s="95"/>
      <c r="U45" s="95"/>
      <c r="V45" s="95"/>
      <c r="W45" s="95"/>
      <c r="X45" s="95"/>
      <c r="Y45" s="95"/>
      <c r="Z45" s="95"/>
    </row>
    <row r="46" spans="1:26" ht="12.75" customHeight="1" x14ac:dyDescent="0.35">
      <c r="A46" s="89" t="s">
        <v>32</v>
      </c>
      <c r="B46" s="474" t="str">
        <f>INDEX('imp-questions'!D:D, MATCH(A46, 'imp-questions'!A:A, 0))</f>
        <v>Training and Awareness</v>
      </c>
      <c r="C46" s="111">
        <f>INDEX('imp-questions'!E:E, MATCH(A46, 'imp-questions'!A:A, 0))</f>
        <v>1</v>
      </c>
      <c r="D46" s="131" t="str">
        <f>INDEX('imp-questions'!F:F, MATCH(A46, 'imp-questions'!A:A, 0))</f>
        <v>Do you require employees involved with application development to take SDLC training?</v>
      </c>
      <c r="E46" s="113" t="str">
        <f>CHAR(65+INDEX('imp-questions'!H:H, MATCH(A46, 'imp-questions'!A:A, 0)))</f>
        <v>B</v>
      </c>
      <c r="F46" s="114"/>
      <c r="G46" s="119">
        <f ca="1">IFERROR(INDEX(INDIRECT("Ans" &amp; E46 &amp; "TBL"), MATCH(F46, INDEX(INDIRECT("Ans" &amp; E46 &amp; "TBL"), 0, 1), 0), 2), 0)</f>
        <v>0</v>
      </c>
      <c r="H46" s="127">
        <f ca="1">IFERROR(AVERAGE(G46,G53),0)</f>
        <v>0</v>
      </c>
      <c r="I46" s="477"/>
      <c r="J46" s="550">
        <f ca="1">SUM(H46,H48,H50)</f>
        <v>0</v>
      </c>
      <c r="K46" s="95"/>
      <c r="L46" s="96"/>
      <c r="M46" s="96"/>
      <c r="N46" s="96"/>
      <c r="O46" s="96"/>
      <c r="P46" s="96"/>
      <c r="Q46" s="95"/>
      <c r="R46" s="95"/>
      <c r="S46" s="95"/>
      <c r="T46" s="95"/>
      <c r="U46" s="95"/>
      <c r="V46" s="95"/>
      <c r="W46" s="95"/>
      <c r="X46" s="95"/>
      <c r="Y46" s="95"/>
      <c r="Z46" s="95"/>
    </row>
    <row r="47" spans="1:26" ht="84" customHeight="1" x14ac:dyDescent="0.35">
      <c r="B47" s="475"/>
      <c r="C47" s="434"/>
      <c r="D47" s="435" t="str">
        <f>INDEX('imp-questions'!G:G, MATCH(A46, 'imp-questions'!A:A, 0))</f>
        <v>Training is repeatable, consistent, and available to anyone involved with software development lifecycle
 Training includes relevant content from the latest OWASP Top 10 and includes concepts such as Least Privilege, Defense-in-Depth, Fail Secure (Safe), Complete Mediation, Session Management, Open Design, and Psychological Acceptability
 Training requires a sign-off or an acknowledgement from attendees
 You have reviewed the training content within the last 12 months, and have completed any required updates
 All new covered staff are required to complete training during their onboarding process
 Existing covered staff are required to complete training when content is added/revised, or complete refresher training at least every 24 months, whichever comes first</v>
      </c>
      <c r="E47" s="436"/>
      <c r="F47" s="438"/>
      <c r="G47" s="116"/>
      <c r="H47" s="139"/>
      <c r="I47" s="478"/>
      <c r="J47" s="533"/>
      <c r="K47" s="95"/>
      <c r="L47" s="96"/>
      <c r="M47" s="96"/>
      <c r="N47" s="96"/>
      <c r="O47" s="96"/>
      <c r="P47" s="96"/>
      <c r="Q47" s="95"/>
      <c r="R47" s="95"/>
      <c r="S47" s="95"/>
      <c r="T47" s="95"/>
      <c r="U47" s="95"/>
      <c r="V47" s="95"/>
      <c r="W47" s="95"/>
      <c r="X47" s="95"/>
      <c r="Y47" s="95"/>
      <c r="Z47" s="95"/>
    </row>
    <row r="48" spans="1:26" x14ac:dyDescent="0.35">
      <c r="A48" s="89" t="s">
        <v>33</v>
      </c>
      <c r="B48" s="475"/>
      <c r="C48" s="111">
        <f>INDEX('imp-questions'!E:E, MATCH(A48, 'imp-questions'!A:A, 0))</f>
        <v>2</v>
      </c>
      <c r="D48" s="112" t="str">
        <f>INDEX('imp-questions'!F:F, MATCH(A48, 'imp-questions'!A:A, 0))</f>
        <v>Is training customized for individual roles such as developers, testers, or security champions?</v>
      </c>
      <c r="E48" s="113" t="str">
        <f>CHAR(65+INDEX('imp-questions'!H:H, MATCH(A48, 'imp-questions'!A:A, 0)))</f>
        <v>D</v>
      </c>
      <c r="F48" s="118"/>
      <c r="G48" s="119">
        <f ca="1">IFERROR(INDEX(INDIRECT("Ans" &amp; E48 &amp; "TBL"), MATCH(F48, INDEX(INDIRECT("Ans" &amp; E48 &amp; "TBL"), 0, 1), 0), 2), 0)</f>
        <v>0</v>
      </c>
      <c r="H48" s="140">
        <f ca="1">IFERROR(AVERAGE(G48,G55),0)</f>
        <v>0</v>
      </c>
      <c r="I48" s="488"/>
      <c r="J48" s="141"/>
      <c r="K48" s="95"/>
      <c r="L48" s="96"/>
      <c r="M48" s="96"/>
      <c r="N48" s="96"/>
      <c r="O48" s="96"/>
      <c r="P48" s="96"/>
      <c r="Q48" s="95"/>
      <c r="R48" s="95"/>
      <c r="S48" s="95"/>
      <c r="T48" s="95"/>
      <c r="U48" s="95"/>
      <c r="V48" s="95"/>
      <c r="W48" s="95"/>
      <c r="X48" s="95"/>
      <c r="Y48" s="95"/>
      <c r="Z48" s="95"/>
    </row>
    <row r="49" spans="1:26" ht="73.05" customHeight="1" x14ac:dyDescent="0.35">
      <c r="B49" s="475"/>
      <c r="C49" s="434"/>
      <c r="D49" s="435" t="str">
        <f>INDEX('imp-questions'!G:G, MATCH(A48, 'imp-questions'!A:A, 0))</f>
        <v>Training includes all topics from maturity level 1, and adds more specific tools, techniques, and demonstrations
 Training is mandatory for all employees and contractors
 Training includes input from in-house SMEs and trainees
 Training includes demonstrations of tools and techniques developed in-house
 You use feedback to enhance and make future training more relevant</v>
      </c>
      <c r="E49" s="436"/>
      <c r="F49" s="438"/>
      <c r="G49" s="116"/>
      <c r="H49" s="142"/>
      <c r="I49" s="480"/>
      <c r="J49" s="141"/>
      <c r="K49" s="95"/>
      <c r="L49" s="96"/>
      <c r="M49" s="96"/>
      <c r="N49" s="96"/>
      <c r="O49" s="96"/>
      <c r="P49" s="96"/>
      <c r="Q49" s="95"/>
      <c r="R49" s="95"/>
      <c r="S49" s="95"/>
      <c r="T49" s="95"/>
      <c r="U49" s="95"/>
      <c r="V49" s="95"/>
      <c r="W49" s="95"/>
      <c r="X49" s="95"/>
      <c r="Y49" s="95"/>
      <c r="Z49" s="95"/>
    </row>
    <row r="50" spans="1:26" ht="15" customHeight="1" x14ac:dyDescent="0.35">
      <c r="A50" s="89" t="s">
        <v>34</v>
      </c>
      <c r="B50" s="475"/>
      <c r="C50" s="111">
        <f>INDEX('imp-questions'!E:E, MATCH(A50, 'imp-questions'!A:A, 0))</f>
        <v>3</v>
      </c>
      <c r="D50" s="112" t="str">
        <f>INDEX('imp-questions'!F:F, MATCH(A50, 'imp-questions'!A:A, 0))</f>
        <v>Have you implemented a Learning Management System or equivalent to track employee training and certification processes?</v>
      </c>
      <c r="E50" s="113" t="str">
        <f>CHAR(65+INDEX('imp-questions'!H:H, MATCH(A50, 'imp-questions'!A:A, 0)))</f>
        <v>D</v>
      </c>
      <c r="F50" s="118"/>
      <c r="G50" s="119">
        <f ca="1">IFERROR(INDEX(INDIRECT("Ans" &amp; E50 &amp; "TBL"), MATCH(F50, INDEX(INDIRECT("Ans" &amp; E50 &amp; "TBL"), 0, 1), 0), 2), 0)</f>
        <v>0</v>
      </c>
      <c r="H50" s="140">
        <f ca="1">IFERROR(AVERAGE(G50,G57),0)</f>
        <v>0</v>
      </c>
      <c r="I50" s="479"/>
      <c r="J50" s="141"/>
      <c r="K50" s="95"/>
      <c r="L50" s="96"/>
      <c r="M50" s="96"/>
      <c r="N50" s="96"/>
      <c r="O50" s="96"/>
      <c r="P50" s="96"/>
      <c r="Q50" s="95"/>
      <c r="R50" s="95"/>
      <c r="S50" s="95"/>
      <c r="T50" s="95"/>
      <c r="U50" s="95"/>
      <c r="V50" s="95"/>
      <c r="W50" s="95"/>
      <c r="X50" s="95"/>
      <c r="Y50" s="95"/>
      <c r="Z50" s="95"/>
    </row>
    <row r="51" spans="1:26" ht="47" customHeight="1" x14ac:dyDescent="0.35">
      <c r="B51" s="476"/>
      <c r="C51" s="434"/>
      <c r="D51" s="435" t="str">
        <f>INDEX('imp-questions'!G:G, MATCH(A50, 'imp-questions'!A:A, 0))</f>
        <v>A Learning Management System (LMS) is used to track trainings and certifications
 Training is based on internal standards, policies, and procedures
 You use certification programs or attendance records to determine access to development systems and resources</v>
      </c>
      <c r="E51" s="436"/>
      <c r="F51" s="438"/>
      <c r="G51" s="116"/>
      <c r="H51" s="142"/>
      <c r="I51" s="480"/>
      <c r="J51" s="141"/>
      <c r="K51" s="95"/>
      <c r="L51" s="96"/>
      <c r="M51" s="96"/>
      <c r="N51" s="96"/>
      <c r="O51" s="96"/>
      <c r="P51" s="96"/>
      <c r="Q51" s="95"/>
      <c r="R51" s="95"/>
      <c r="S51" s="95"/>
      <c r="T51" s="95"/>
      <c r="U51" s="95"/>
      <c r="V51" s="95"/>
      <c r="W51" s="95"/>
      <c r="X51" s="95"/>
      <c r="Y51" s="95"/>
      <c r="Z51" s="95"/>
    </row>
    <row r="52" spans="1:26" x14ac:dyDescent="0.35">
      <c r="B52" s="123"/>
      <c r="C52" s="124"/>
      <c r="D52" s="125"/>
      <c r="E52" s="125"/>
      <c r="F52" s="125"/>
      <c r="G52" s="125"/>
      <c r="H52" s="125"/>
      <c r="I52" s="126"/>
      <c r="J52" s="121"/>
      <c r="K52" s="95"/>
      <c r="L52" s="96"/>
      <c r="M52" s="96"/>
      <c r="N52" s="96"/>
      <c r="O52" s="96"/>
      <c r="P52" s="96"/>
      <c r="Q52" s="95"/>
      <c r="R52" s="95"/>
      <c r="S52" s="95"/>
      <c r="T52" s="95"/>
      <c r="U52" s="95"/>
      <c r="V52" s="95"/>
      <c r="W52" s="95"/>
      <c r="X52" s="95"/>
      <c r="Y52" s="95"/>
      <c r="Z52" s="95"/>
    </row>
    <row r="53" spans="1:26" ht="15" customHeight="1" x14ac:dyDescent="0.35">
      <c r="A53" s="89" t="s">
        <v>35</v>
      </c>
      <c r="B53" s="474" t="str">
        <f>INDEX('imp-questions'!D:D, MATCH(A53, 'imp-questions'!A:A, 0))</f>
        <v>Organization and Culture</v>
      </c>
      <c r="C53" s="111">
        <f>INDEX('imp-questions'!E:E, MATCH(A53, 'imp-questions'!A:A, 0))</f>
        <v>1</v>
      </c>
      <c r="D53" s="112" t="str">
        <f>INDEX('imp-questions'!F:F, MATCH(A53, 'imp-questions'!A:A, 0))</f>
        <v>Have you identified a Security Champion for each development team?</v>
      </c>
      <c r="E53" s="113" t="str">
        <f>CHAR(65+INDEX('imp-questions'!H:H, MATCH(A53, 'imp-questions'!A:A, 0)))</f>
        <v>V</v>
      </c>
      <c r="F53" s="114"/>
      <c r="G53" s="119">
        <f ca="1">IFERROR(INDEX(INDIRECT("Ans" &amp; E53 &amp; "TBL"), MATCH(F53, INDEX(INDIRECT("Ans" &amp; E53 &amp; "TBL"), 0, 1), 0), 2), 0)</f>
        <v>0</v>
      </c>
      <c r="H53" s="127"/>
      <c r="I53" s="485"/>
      <c r="J53" s="121"/>
      <c r="K53" s="95"/>
      <c r="L53" s="96"/>
      <c r="M53" s="96"/>
      <c r="N53" s="96"/>
      <c r="O53" s="96"/>
      <c r="P53" s="96"/>
      <c r="Q53" s="95"/>
      <c r="R53" s="95"/>
      <c r="S53" s="95"/>
      <c r="T53" s="95"/>
      <c r="U53" s="95"/>
      <c r="V53" s="95"/>
      <c r="W53" s="95"/>
      <c r="X53" s="95"/>
      <c r="Y53" s="95"/>
      <c r="Z53" s="95"/>
    </row>
    <row r="54" spans="1:26" ht="70.05" customHeight="1" x14ac:dyDescent="0.35">
      <c r="B54" s="475"/>
      <c r="C54" s="434"/>
      <c r="D54" s="435" t="str">
        <f>INDEX('imp-questions'!G:G, MATCH(A53, 'imp-questions'!A:A, 0))</f>
        <v>Security Champions receive appropriate training
 Application Security and Development teams receive periodic briefings from Security Champions on the overall status of security initiatives and fixes
 The Security Champion reviews the results of external testing before adding to the application backlog</v>
      </c>
      <c r="E54" s="436"/>
      <c r="F54" s="438"/>
      <c r="G54" s="116"/>
      <c r="H54" s="122"/>
      <c r="I54" s="484"/>
      <c r="J54" s="121"/>
      <c r="K54" s="95"/>
      <c r="L54" s="96"/>
      <c r="M54" s="96"/>
      <c r="N54" s="96"/>
      <c r="O54" s="96"/>
      <c r="P54" s="96"/>
      <c r="Q54" s="95"/>
      <c r="R54" s="95"/>
      <c r="S54" s="95"/>
      <c r="T54" s="95"/>
      <c r="U54" s="95"/>
      <c r="V54" s="95"/>
      <c r="W54" s="95"/>
      <c r="X54" s="95"/>
      <c r="Y54" s="95"/>
      <c r="Z54" s="95"/>
    </row>
    <row r="55" spans="1:26" x14ac:dyDescent="0.35">
      <c r="A55" s="89" t="s">
        <v>36</v>
      </c>
      <c r="B55" s="475"/>
      <c r="C55" s="111">
        <f>INDEX('imp-questions'!E:E, MATCH(A55, 'imp-questions'!A:A, 0))</f>
        <v>2</v>
      </c>
      <c r="D55" s="112" t="str">
        <f>INDEX('imp-questions'!F:F, MATCH(A55, 'imp-questions'!A:A, 0))</f>
        <v>Does the organization have a Secure Software Center of Excellence (SSCE)?</v>
      </c>
      <c r="E55" s="113" t="str">
        <f>CHAR(65+INDEX('imp-questions'!H:H, MATCH(A55, 'imp-questions'!A:A, 0)))</f>
        <v>F</v>
      </c>
      <c r="F55" s="118"/>
      <c r="G55" s="119">
        <f ca="1">IFERROR(INDEX(INDIRECT("Ans" &amp; E55 &amp; "TBL"), MATCH(F55, INDEX(INDIRECT("Ans" &amp; E55 &amp; "TBL"), 0, 1), 0), 2), 0)</f>
        <v>0</v>
      </c>
      <c r="H55" s="127"/>
      <c r="I55" s="486"/>
      <c r="J55" s="121"/>
      <c r="K55" s="95"/>
      <c r="L55" s="96"/>
      <c r="M55" s="96"/>
      <c r="N55" s="96"/>
      <c r="O55" s="96"/>
      <c r="P55" s="96"/>
      <c r="Q55" s="95"/>
      <c r="R55" s="95"/>
      <c r="S55" s="95"/>
      <c r="T55" s="95"/>
      <c r="U55" s="95"/>
      <c r="V55" s="95"/>
      <c r="W55" s="95"/>
      <c r="X55" s="95"/>
      <c r="Y55" s="95"/>
      <c r="Z55" s="95"/>
    </row>
    <row r="56" spans="1:26" ht="60" customHeight="1" x14ac:dyDescent="0.35">
      <c r="B56" s="475"/>
      <c r="C56" s="434"/>
      <c r="D56" s="435" t="str">
        <f>INDEX('imp-questions'!G:G, MATCH(A55, 'imp-questions'!A:A, 0))</f>
        <v>The SSCE has a charter defining its role in the organization
 Development teams review all significant architectural changes with the SSCE
 The SSCE publishes SDLC standards and guidelines related to Application Security
 Product Champions are responsible for promoting the use of specific security tools</v>
      </c>
      <c r="E56" s="436"/>
      <c r="F56" s="438"/>
      <c r="G56" s="116"/>
      <c r="H56" s="122"/>
      <c r="I56" s="487"/>
      <c r="J56" s="121"/>
      <c r="K56" s="95"/>
      <c r="L56" s="96"/>
      <c r="M56" s="96"/>
      <c r="N56" s="96"/>
      <c r="O56" s="96"/>
      <c r="P56" s="96"/>
      <c r="Q56" s="95"/>
      <c r="R56" s="95"/>
      <c r="S56" s="95"/>
      <c r="T56" s="95"/>
      <c r="U56" s="95"/>
      <c r="V56" s="95"/>
      <c r="W56" s="95"/>
      <c r="X56" s="95"/>
      <c r="Y56" s="95"/>
      <c r="Z56" s="95"/>
    </row>
    <row r="57" spans="1:26" ht="28.05" customHeight="1" x14ac:dyDescent="0.35">
      <c r="A57" s="89" t="s">
        <v>37</v>
      </c>
      <c r="B57" s="475"/>
      <c r="C57" s="111">
        <f>INDEX('imp-questions'!E:E, MATCH(A57, 'imp-questions'!A:A, 0))</f>
        <v>3</v>
      </c>
      <c r="D57" s="112" t="str">
        <f>INDEX('imp-questions'!F:F, MATCH(A57, 'imp-questions'!A:A, 0))</f>
        <v>Is there a centralized portal where developers and application security professionals from different teams and business units are able to communicate and share information?</v>
      </c>
      <c r="E57" s="113" t="str">
        <f>CHAR(65+INDEX('imp-questions'!H:H, MATCH(A57, 'imp-questions'!A:A, 0)))</f>
        <v>F</v>
      </c>
      <c r="F57" s="118"/>
      <c r="G57" s="119">
        <f ca="1">IFERROR(INDEX(INDIRECT("Ans" &amp; E57 &amp; "TBL"), MATCH(F57, INDEX(INDIRECT("Ans" &amp; E57 &amp; "TBL"), 0, 1), 0), 2), 0)</f>
        <v>0</v>
      </c>
      <c r="H57" s="127"/>
      <c r="I57" s="486"/>
      <c r="J57" s="121"/>
      <c r="K57" s="95"/>
      <c r="L57" s="96"/>
      <c r="M57" s="96"/>
      <c r="N57" s="96"/>
      <c r="O57" s="96"/>
      <c r="P57" s="96"/>
      <c r="Q57" s="95"/>
      <c r="R57" s="95"/>
      <c r="S57" s="95"/>
      <c r="T57" s="95"/>
      <c r="U57" s="95"/>
      <c r="V57" s="95"/>
      <c r="W57" s="95"/>
      <c r="X57" s="95"/>
      <c r="Y57" s="95"/>
      <c r="Z57" s="95"/>
    </row>
    <row r="58" spans="1:26" ht="106.05" customHeight="1" x14ac:dyDescent="0.35">
      <c r="B58" s="476"/>
      <c r="C58" s="434"/>
      <c r="D58" s="439" t="str">
        <f>INDEX('imp-questions'!G:G, MATCH(A57, 'imp-questions'!A:A, 0))</f>
        <v>The organization promotes use of a single portal across different teams and business units
 The portal is used for timely information such as notification of security incidents, tool updates, architectural standard changes, and other related announcements
 The portal is widely recognized by developers and architects as a centralized repository of the organization-specific application security information
 All content is considered persistent and searchable
 The portal provides access to application-specific security metrics</v>
      </c>
      <c r="E58" s="441"/>
      <c r="F58" s="442"/>
      <c r="G58" s="143"/>
      <c r="H58" s="144"/>
      <c r="I58" s="487"/>
      <c r="J58" s="121"/>
      <c r="K58" s="95"/>
      <c r="L58" s="96"/>
      <c r="M58" s="96"/>
      <c r="N58" s="96"/>
      <c r="O58" s="96"/>
      <c r="P58" s="96"/>
      <c r="Q58" s="95"/>
      <c r="R58" s="95"/>
      <c r="S58" s="95"/>
      <c r="T58" s="95"/>
      <c r="U58" s="95"/>
      <c r="V58" s="95"/>
      <c r="W58" s="95"/>
      <c r="X58" s="95"/>
      <c r="Y58" s="95"/>
      <c r="Z58" s="95"/>
    </row>
    <row r="59" spans="1:26" ht="22.25" customHeight="1" x14ac:dyDescent="0.35">
      <c r="B59" s="481" t="s">
        <v>38</v>
      </c>
      <c r="C59" s="482"/>
      <c r="D59" s="482"/>
      <c r="E59" s="482"/>
      <c r="F59" s="482"/>
      <c r="G59" s="482"/>
      <c r="H59" s="482"/>
      <c r="I59" s="482"/>
      <c r="J59" s="482"/>
      <c r="K59" s="95"/>
      <c r="L59" s="96"/>
      <c r="M59" s="96"/>
      <c r="N59" s="96"/>
      <c r="O59" s="96"/>
      <c r="P59" s="96"/>
      <c r="Q59" s="95"/>
      <c r="R59" s="95"/>
      <c r="S59" s="95"/>
      <c r="T59" s="95"/>
      <c r="U59" s="95"/>
      <c r="V59" s="95"/>
      <c r="W59" s="95"/>
      <c r="X59" s="95"/>
      <c r="Y59" s="95"/>
      <c r="Z59" s="95"/>
    </row>
    <row r="60" spans="1:26" x14ac:dyDescent="0.35">
      <c r="B60" s="554" t="s">
        <v>39</v>
      </c>
      <c r="C60" s="527"/>
      <c r="D60" s="495"/>
      <c r="E60" s="146"/>
      <c r="F60" s="145" t="s">
        <v>15</v>
      </c>
      <c r="G60" s="145"/>
      <c r="H60" s="147"/>
      <c r="I60" s="148" t="s">
        <v>16</v>
      </c>
      <c r="J60" s="148" t="s">
        <v>17</v>
      </c>
      <c r="K60" s="95"/>
      <c r="L60" s="96"/>
      <c r="M60" s="96"/>
      <c r="N60" s="96"/>
      <c r="O60" s="96"/>
      <c r="P60" s="96"/>
      <c r="Q60" s="95"/>
      <c r="R60" s="95"/>
      <c r="S60" s="95"/>
      <c r="T60" s="95"/>
      <c r="U60" s="95"/>
      <c r="V60" s="95"/>
      <c r="W60" s="95"/>
      <c r="X60" s="95"/>
      <c r="Y60" s="95"/>
      <c r="Z60" s="95"/>
    </row>
    <row r="61" spans="1:26" ht="12.75" customHeight="1" x14ac:dyDescent="0.35">
      <c r="A61" s="89" t="s">
        <v>40</v>
      </c>
      <c r="B61" s="555" t="str">
        <f>INDEX('imp-questions'!D:D, MATCH(A61, 'imp-questions'!A:A, 0))</f>
        <v>Application Risk Profile</v>
      </c>
      <c r="C61" s="149">
        <f>INDEX('imp-questions'!E:E, MATCH(A61, 'imp-questions'!A:A, 0))</f>
        <v>1</v>
      </c>
      <c r="D61" s="112" t="str">
        <f>INDEX('imp-questions'!F:F, MATCH(A61, 'imp-questions'!A:A, 0))</f>
        <v>Do you classify applications according to business risk based on a simple and predefined set of questions?</v>
      </c>
      <c r="E61" s="113" t="str">
        <f>CHAR(65+INDEX('imp-questions'!H:H, MATCH(A61, 'imp-questions'!A:A, 0)))</f>
        <v>B</v>
      </c>
      <c r="F61" s="150"/>
      <c r="G61" s="119">
        <f ca="1">IFERROR(INDEX(INDIRECT("Ans" &amp; E61 &amp; "TBL"), MATCH(F61, INDEX(INDIRECT("Ans" &amp; E61 &amp; "TBL"), 0, 1), 0), 2), 0)</f>
        <v>0</v>
      </c>
      <c r="H61" s="127">
        <f ca="1">IFERROR(AVERAGE(G61,G68),0)</f>
        <v>0</v>
      </c>
      <c r="I61" s="477"/>
      <c r="J61" s="551">
        <f ca="1">SUM(H61,H63,H65)</f>
        <v>0</v>
      </c>
      <c r="K61" s="95"/>
      <c r="L61" s="96"/>
      <c r="M61" s="96"/>
      <c r="N61" s="96"/>
      <c r="O61" s="96"/>
      <c r="P61" s="96"/>
      <c r="Q61" s="95"/>
      <c r="R61" s="95"/>
      <c r="S61" s="95"/>
      <c r="T61" s="95"/>
      <c r="U61" s="95"/>
      <c r="V61" s="95"/>
      <c r="W61" s="95"/>
      <c r="X61" s="95"/>
      <c r="Y61" s="95"/>
      <c r="Z61" s="95"/>
    </row>
    <row r="62" spans="1:26" ht="56" customHeight="1" x14ac:dyDescent="0.35">
      <c r="B62" s="556"/>
      <c r="C62" s="419"/>
      <c r="D62" s="420" t="str">
        <f>INDEX('imp-questions'!G:G, MATCH(A61, 'imp-questions'!A:A, 0))</f>
        <v>An agreed-upon risk classification exists
 The application team understands the risk classification
 The risk classification covers critical aspects of business risks the organization is facing
 The organization has an inventory for the applications in scope</v>
      </c>
      <c r="E62" s="421"/>
      <c r="F62" s="422"/>
      <c r="G62" s="116"/>
      <c r="H62" s="139"/>
      <c r="I62" s="478"/>
      <c r="J62" s="533"/>
      <c r="K62" s="95"/>
      <c r="L62" s="96"/>
      <c r="M62" s="96"/>
      <c r="N62" s="96"/>
      <c r="O62" s="96"/>
      <c r="P62" s="96"/>
      <c r="Q62" s="95"/>
      <c r="R62" s="95"/>
      <c r="S62" s="95"/>
      <c r="T62" s="95"/>
      <c r="U62" s="95"/>
      <c r="V62" s="95"/>
      <c r="W62" s="95"/>
      <c r="X62" s="95"/>
      <c r="Y62" s="95"/>
      <c r="Z62" s="95"/>
    </row>
    <row r="63" spans="1:26" ht="15" customHeight="1" x14ac:dyDescent="0.35">
      <c r="A63" s="89" t="s">
        <v>41</v>
      </c>
      <c r="B63" s="556"/>
      <c r="C63" s="149">
        <f>INDEX('imp-questions'!E:E, MATCH(A63, 'imp-questions'!A:A, 0))</f>
        <v>2</v>
      </c>
      <c r="D63" s="112" t="str">
        <f>INDEX('imp-questions'!F:F, MATCH(A63, 'imp-questions'!A:A, 0))</f>
        <v>Do you use centralized and quantified application risk profiles to evaluate business risk?</v>
      </c>
      <c r="E63" s="113" t="str">
        <f>CHAR(65+INDEX('imp-questions'!H:H, MATCH(A63, 'imp-questions'!A:A, 0)))</f>
        <v>A</v>
      </c>
      <c r="F63" s="151"/>
      <c r="G63" s="135">
        <f ca="1">IFERROR(INDEX(INDIRECT("Ans" &amp; E63 &amp; "TBL"), MATCH(F63, INDEX(INDIRECT("Ans" &amp; E63 &amp; "TBL"), 0, 1), 0), 2), 0)</f>
        <v>0</v>
      </c>
      <c r="H63" s="414">
        <f ca="1">IFERROR(AVERAGE(G63,G70),0)</f>
        <v>0</v>
      </c>
      <c r="I63" s="470"/>
      <c r="J63" s="141"/>
      <c r="K63" s="95"/>
      <c r="L63" s="96"/>
      <c r="M63" s="96"/>
      <c r="N63" s="96"/>
      <c r="O63" s="96"/>
      <c r="P63" s="96"/>
      <c r="Q63" s="95"/>
      <c r="R63" s="95"/>
      <c r="S63" s="95"/>
      <c r="T63" s="95"/>
      <c r="U63" s="95"/>
      <c r="V63" s="95"/>
      <c r="W63" s="95"/>
      <c r="X63" s="95"/>
      <c r="Y63" s="95"/>
      <c r="Z63" s="95"/>
    </row>
    <row r="64" spans="1:26" ht="56" customHeight="1" x14ac:dyDescent="0.35">
      <c r="B64" s="556"/>
      <c r="C64" s="419"/>
      <c r="D64" s="420" t="str">
        <f>INDEX('imp-questions'!G:G, MATCH(A63, 'imp-questions'!A:A, 0))</f>
        <v>The application risk profile is in line with the organizational risk standard
 The application risk profile covers impact to security and privacy
 You validate the quality of the risk profile manually and/or automatically
 The application risk profiles are stored in a central inventory</v>
      </c>
      <c r="E64" s="421"/>
      <c r="F64" s="423"/>
      <c r="G64" s="137"/>
      <c r="H64" s="456"/>
      <c r="I64" s="471"/>
      <c r="J64" s="141"/>
      <c r="K64" s="95"/>
      <c r="L64" s="96"/>
      <c r="M64" s="96"/>
      <c r="N64" s="96"/>
      <c r="O64" s="96"/>
      <c r="P64" s="96"/>
      <c r="Q64" s="95"/>
      <c r="R64" s="95"/>
      <c r="S64" s="95"/>
      <c r="T64" s="95"/>
      <c r="U64" s="95"/>
      <c r="V64" s="95"/>
      <c r="W64" s="95"/>
      <c r="X64" s="95"/>
      <c r="Y64" s="95"/>
      <c r="Z64" s="95"/>
    </row>
    <row r="65" spans="1:26" ht="15" customHeight="1" x14ac:dyDescent="0.35">
      <c r="A65" s="89" t="s">
        <v>42</v>
      </c>
      <c r="B65" s="556"/>
      <c r="C65" s="149">
        <f>INDEX('imp-questions'!E:E, MATCH(A65, 'imp-questions'!A:A, 0))</f>
        <v>3</v>
      </c>
      <c r="D65" s="112" t="str">
        <f>INDEX('imp-questions'!F:F, MATCH(A65, 'imp-questions'!A:A, 0))</f>
        <v>Do you regularly review and update the risk profiles for your applications?</v>
      </c>
      <c r="E65" s="113" t="str">
        <f>CHAR(65+INDEX('imp-questions'!H:H, MATCH(A65, 'imp-questions'!A:A, 0)))</f>
        <v>R</v>
      </c>
      <c r="F65" s="150"/>
      <c r="G65" s="152">
        <f ca="1">IFERROR(INDEX(INDIRECT("Ans" &amp; E65 &amp; "TBL"), MATCH(F65, INDEX(INDIRECT("Ans" &amp; E65 &amp; "TBL"), 0, 1), 0), 2), 0)</f>
        <v>0</v>
      </c>
      <c r="H65" s="127">
        <f ca="1">IFERROR(AVERAGE(G65,G72),0)</f>
        <v>0</v>
      </c>
      <c r="I65" s="501"/>
      <c r="J65" s="141"/>
      <c r="K65" s="95"/>
      <c r="L65" s="96"/>
      <c r="M65" s="96"/>
      <c r="N65" s="96"/>
      <c r="O65" s="96"/>
      <c r="P65" s="96"/>
      <c r="Q65" s="95"/>
      <c r="R65" s="95"/>
      <c r="S65" s="95"/>
      <c r="T65" s="95"/>
      <c r="U65" s="95"/>
      <c r="V65" s="95"/>
      <c r="W65" s="95"/>
      <c r="X65" s="95"/>
      <c r="Y65" s="95"/>
      <c r="Z65" s="95"/>
    </row>
    <row r="66" spans="1:26" ht="28.05" customHeight="1" x14ac:dyDescent="0.35">
      <c r="B66" s="557"/>
      <c r="C66" s="419"/>
      <c r="D66" s="420" t="str">
        <f>INDEX('imp-questions'!G:G, MATCH(A65, 'imp-questions'!A:A, 0))</f>
        <v>The organizational risk standard considers historical feedback to improve the evaluation method
 Significant changes in the application or business context trigger a review of the relevant risk profiles</v>
      </c>
      <c r="E66" s="421"/>
      <c r="F66" s="423"/>
      <c r="G66" s="137"/>
      <c r="H66" s="142"/>
      <c r="I66" s="480"/>
      <c r="J66" s="141"/>
      <c r="K66" s="95"/>
      <c r="L66" s="96"/>
      <c r="M66" s="96"/>
      <c r="N66" s="96"/>
      <c r="O66" s="96"/>
      <c r="P66" s="96"/>
      <c r="Q66" s="95"/>
      <c r="R66" s="95"/>
      <c r="S66" s="95"/>
      <c r="T66" s="95"/>
      <c r="U66" s="95"/>
      <c r="V66" s="95"/>
      <c r="W66" s="95"/>
      <c r="X66" s="95"/>
      <c r="Y66" s="95"/>
      <c r="Z66" s="95"/>
    </row>
    <row r="67" spans="1:26" x14ac:dyDescent="0.35">
      <c r="B67" s="123"/>
      <c r="C67" s="124"/>
      <c r="D67" s="125"/>
      <c r="E67" s="125"/>
      <c r="F67" s="125"/>
      <c r="G67" s="153"/>
      <c r="H67" s="153"/>
      <c r="I67" s="459"/>
      <c r="J67" s="121"/>
      <c r="K67" s="95"/>
      <c r="L67" s="96"/>
      <c r="M67" s="96"/>
      <c r="N67" s="96"/>
      <c r="O67" s="96"/>
      <c r="P67" s="96"/>
      <c r="Q67" s="95"/>
      <c r="R67" s="95"/>
      <c r="S67" s="95"/>
      <c r="T67" s="95"/>
      <c r="U67" s="95"/>
      <c r="V67" s="95"/>
      <c r="W67" s="95"/>
      <c r="X67" s="95"/>
      <c r="Y67" s="95"/>
      <c r="Z67" s="95"/>
    </row>
    <row r="68" spans="1:26" ht="15" customHeight="1" x14ac:dyDescent="0.35">
      <c r="A68" s="89" t="s">
        <v>43</v>
      </c>
      <c r="B68" s="490" t="str">
        <f>INDEX('imp-questions'!D:D, MATCH(A68, 'imp-questions'!A:A, 0))</f>
        <v>Threat Modeling</v>
      </c>
      <c r="C68" s="154">
        <f>INDEX('imp-questions'!E:E, MATCH(A68, 'imp-questions'!A:A, 0))</f>
        <v>1</v>
      </c>
      <c r="D68" s="112" t="str">
        <f>INDEX('imp-questions'!F:F, MATCH(A68, 'imp-questions'!A:A, 0))</f>
        <v>Do you identify and manage architectural design flaws with threat modeling?</v>
      </c>
      <c r="E68" s="113" t="str">
        <f>CHAR(65+INDEX('imp-questions'!H:H, MATCH(A68, 'imp-questions'!A:A, 0)))</f>
        <v>B</v>
      </c>
      <c r="F68" s="151"/>
      <c r="G68" s="135">
        <f ca="1">IFERROR(INDEX(INDIRECT("Ans" &amp; E68 &amp; "TBL"), MATCH(F68, INDEX(INDIRECT("Ans" &amp; E68 &amp; "TBL"), 0, 1), 0), 2), 0)</f>
        <v>0</v>
      </c>
      <c r="H68" s="457"/>
      <c r="I68" s="492"/>
      <c r="J68" s="94"/>
      <c r="K68" s="95"/>
      <c r="L68" s="96"/>
      <c r="M68" s="96"/>
      <c r="N68" s="96"/>
      <c r="O68" s="96"/>
      <c r="P68" s="96"/>
      <c r="Q68" s="95"/>
      <c r="R68" s="95"/>
      <c r="S68" s="95"/>
      <c r="T68" s="95"/>
      <c r="U68" s="95"/>
      <c r="V68" s="95"/>
      <c r="W68" s="95"/>
      <c r="X68" s="95"/>
      <c r="Y68" s="95"/>
      <c r="Z68" s="95"/>
    </row>
    <row r="69" spans="1:26" ht="42" customHeight="1" x14ac:dyDescent="0.35">
      <c r="B69" s="475"/>
      <c r="C69" s="419"/>
      <c r="D69" s="420" t="str">
        <f>INDEX('imp-questions'!G:G, MATCH(A68, 'imp-questions'!A:A, 0))</f>
        <v>You perform threat modeling for high-risk applications
 You use simple threat checklists, such as STRIDE
 You persist the outcome of a threat model for later use</v>
      </c>
      <c r="E69" s="421"/>
      <c r="F69" s="423"/>
      <c r="G69" s="137"/>
      <c r="H69" s="458"/>
      <c r="I69" s="471"/>
      <c r="J69" s="94"/>
      <c r="K69" s="95"/>
      <c r="L69" s="96"/>
      <c r="M69" s="96"/>
      <c r="N69" s="96"/>
      <c r="O69" s="96"/>
      <c r="P69" s="96"/>
      <c r="Q69" s="95"/>
      <c r="R69" s="95"/>
      <c r="S69" s="95"/>
      <c r="T69" s="95"/>
      <c r="U69" s="95"/>
      <c r="V69" s="95"/>
      <c r="W69" s="95"/>
      <c r="X69" s="95"/>
      <c r="Y69" s="95"/>
      <c r="Z69" s="95"/>
    </row>
    <row r="70" spans="1:26" x14ac:dyDescent="0.35">
      <c r="A70" s="89" t="s">
        <v>44</v>
      </c>
      <c r="B70" s="475"/>
      <c r="C70" s="149">
        <f>INDEX('imp-questions'!E:E, MATCH(A70, 'imp-questions'!A:A, 0))</f>
        <v>2</v>
      </c>
      <c r="D70" s="112" t="str">
        <f>INDEX('imp-questions'!F:F, MATCH(A70, 'imp-questions'!A:A, 0))</f>
        <v>Do you use a standard methodology, aligned with your application risk levels?</v>
      </c>
      <c r="E70" s="113" t="str">
        <f>CHAR(65+INDEX('imp-questions'!H:H, MATCH(A70, 'imp-questions'!A:A, 0)))</f>
        <v>A</v>
      </c>
      <c r="F70" s="151"/>
      <c r="G70" s="135">
        <f ca="1">IFERROR(INDEX(INDIRECT("Ans" &amp; E70 &amp; "TBL"), MATCH(F70, INDEX(INDIRECT("Ans" &amp; E70 &amp; "TBL"), 0, 1), 0), 2), 0)</f>
        <v>0</v>
      </c>
      <c r="H70" s="457"/>
      <c r="I70" s="492"/>
      <c r="J70" s="94"/>
      <c r="K70" s="95"/>
      <c r="L70" s="96"/>
      <c r="M70" s="96"/>
      <c r="N70" s="96"/>
      <c r="O70" s="96"/>
      <c r="P70" s="96"/>
      <c r="Q70" s="95"/>
      <c r="R70" s="95"/>
      <c r="S70" s="95"/>
      <c r="T70" s="95"/>
      <c r="U70" s="95"/>
      <c r="V70" s="95"/>
      <c r="W70" s="95"/>
      <c r="X70" s="95"/>
      <c r="Y70" s="95"/>
      <c r="Z70" s="95"/>
    </row>
    <row r="71" spans="1:26" ht="70.05" customHeight="1" x14ac:dyDescent="0.35">
      <c r="B71" s="475"/>
      <c r="C71" s="419"/>
      <c r="D71" s="420" t="str">
        <f>INDEX('imp-questions'!G:G, MATCH(A70, 'imp-questions'!A:A, 0))</f>
        <v>You train your architects, security champions, and other stakeholders on how to do practical threat modeling
 Your threat modeling methodology includes at least diagramming, threat identification, design flaw mitigations, and how to validate your threat model artifacts
 Changes in the application or business context trigger a review of the relevant threat models
 You capture the threat modeling artifacts with tools used by your application teams</v>
      </c>
      <c r="E71" s="421"/>
      <c r="F71" s="423"/>
      <c r="G71" s="137"/>
      <c r="H71" s="458"/>
      <c r="I71" s="471"/>
      <c r="J71" s="94"/>
      <c r="K71" s="95"/>
      <c r="L71" s="96"/>
      <c r="M71" s="96"/>
      <c r="N71" s="96"/>
      <c r="O71" s="96"/>
      <c r="P71" s="96"/>
      <c r="Q71" s="95"/>
      <c r="R71" s="95"/>
      <c r="S71" s="95"/>
      <c r="T71" s="95"/>
      <c r="U71" s="95"/>
      <c r="V71" s="95"/>
      <c r="W71" s="95"/>
      <c r="X71" s="95"/>
      <c r="Y71" s="95"/>
      <c r="Z71" s="95"/>
    </row>
    <row r="72" spans="1:26" x14ac:dyDescent="0.35">
      <c r="A72" s="89" t="s">
        <v>45</v>
      </c>
      <c r="B72" s="475"/>
      <c r="C72" s="149">
        <f>INDEX('imp-questions'!E:E, MATCH(A72, 'imp-questions'!A:A, 0))</f>
        <v>3</v>
      </c>
      <c r="D72" s="112" t="str">
        <f>INDEX('imp-questions'!F:F, MATCH(A72, 'imp-questions'!A:A, 0))</f>
        <v>Do you regularly review and update the threat modeling methodology for your applications?</v>
      </c>
      <c r="E72" s="113" t="str">
        <f>CHAR(65+INDEX('imp-questions'!H:H, MATCH(A72, 'imp-questions'!A:A, 0)))</f>
        <v>P</v>
      </c>
      <c r="F72" s="134"/>
      <c r="G72" s="135">
        <f ca="1">IFERROR(INDEX(INDIRECT("Ans" &amp; E72 &amp; "TBL"), MATCH(F72, INDEX(INDIRECT("Ans" &amp; E72 &amp; "TBL"), 0, 1), 0), 2), 0)</f>
        <v>0</v>
      </c>
      <c r="H72" s="457"/>
      <c r="I72" s="492"/>
      <c r="J72" s="94"/>
      <c r="K72" s="95"/>
      <c r="L72" s="96"/>
      <c r="M72" s="96"/>
      <c r="N72" s="96"/>
      <c r="O72" s="96"/>
      <c r="P72" s="96"/>
      <c r="Q72" s="95"/>
      <c r="R72" s="95"/>
      <c r="S72" s="95"/>
      <c r="T72" s="95"/>
      <c r="U72" s="95"/>
      <c r="V72" s="95"/>
      <c r="W72" s="95"/>
      <c r="X72" s="95"/>
      <c r="Y72" s="95"/>
      <c r="Z72" s="95"/>
    </row>
    <row r="73" spans="1:26" ht="42" customHeight="1" x14ac:dyDescent="0.35">
      <c r="B73" s="476"/>
      <c r="C73" s="419"/>
      <c r="D73" s="424" t="str">
        <f>INDEX('imp-questions'!G:G, MATCH(A72, 'imp-questions'!A:A, 0))</f>
        <v>The threat model methodology considers historical feedback for improvement
 You regularly (e.g., yearly) review the existing threat models to verify that no new threats are relevant for your applications
 You automate parts of your threat modeling process with threat modeling tools</v>
      </c>
      <c r="E73" s="421"/>
      <c r="F73" s="423"/>
      <c r="G73" s="137"/>
      <c r="H73" s="460"/>
      <c r="I73" s="471"/>
      <c r="J73" s="94"/>
      <c r="K73" s="95"/>
      <c r="L73" s="96"/>
      <c r="M73" s="96"/>
      <c r="N73" s="96"/>
      <c r="O73" s="96"/>
      <c r="P73" s="96"/>
      <c r="Q73" s="95"/>
      <c r="R73" s="95"/>
      <c r="S73" s="95"/>
      <c r="T73" s="95"/>
      <c r="U73" s="95"/>
      <c r="V73" s="95"/>
      <c r="W73" s="95"/>
      <c r="X73" s="95"/>
      <c r="Y73" s="95"/>
      <c r="Z73" s="95"/>
    </row>
    <row r="74" spans="1:26" x14ac:dyDescent="0.35">
      <c r="B74" s="553" t="s">
        <v>46</v>
      </c>
      <c r="C74" s="498"/>
      <c r="D74" s="499"/>
      <c r="E74" s="157"/>
      <c r="F74" s="158" t="s">
        <v>15</v>
      </c>
      <c r="G74" s="159"/>
      <c r="H74" s="160"/>
      <c r="I74" s="462" t="s">
        <v>16</v>
      </c>
      <c r="J74" s="161" t="s">
        <v>17</v>
      </c>
      <c r="K74" s="95"/>
      <c r="L74" s="96"/>
      <c r="M74" s="96"/>
      <c r="N74" s="96"/>
      <c r="O74" s="96"/>
      <c r="P74" s="96"/>
      <c r="Q74" s="95"/>
      <c r="R74" s="95"/>
      <c r="S74" s="95"/>
      <c r="T74" s="95"/>
      <c r="U74" s="95"/>
      <c r="V74" s="95"/>
      <c r="W74" s="95"/>
      <c r="X74" s="95"/>
      <c r="Y74" s="95"/>
      <c r="Z74" s="95"/>
    </row>
    <row r="75" spans="1:26" ht="14" customHeight="1" x14ac:dyDescent="0.35">
      <c r="A75" s="89" t="s">
        <v>47</v>
      </c>
      <c r="B75" s="489" t="str">
        <f>INDEX('imp-questions'!D:D, MATCH(A75, 'imp-questions'!A:A, 0))</f>
        <v>Software Requirements</v>
      </c>
      <c r="C75" s="162">
        <f>INDEX('imp-questions'!E:E, MATCH(A75, 'imp-questions'!A:A, 0))</f>
        <v>1</v>
      </c>
      <c r="D75" s="131" t="str">
        <f>INDEX('imp-questions'!F:F, MATCH(A75, 'imp-questions'!A:A, 0))</f>
        <v>Do project teams specify security requirements during development?</v>
      </c>
      <c r="E75" s="113" t="str">
        <f>CHAR(65+INDEX('imp-questions'!H:H, MATCH(A75, 'imp-questions'!A:A, 0)))</f>
        <v>A</v>
      </c>
      <c r="F75" s="151"/>
      <c r="G75" s="135">
        <f ca="1">IFERROR(INDEX(INDIRECT("Ans" &amp; E75 &amp; "TBL"), MATCH(F75, INDEX(INDIRECT("Ans" &amp; E75 &amp; "TBL"), 0, 1), 0), 2), 0)</f>
        <v>0</v>
      </c>
      <c r="H75" s="414">
        <f ca="1">IFERROR(AVERAGE(G75,G82),0)</f>
        <v>0</v>
      </c>
      <c r="I75" s="470"/>
      <c r="J75" s="539">
        <f ca="1">SUM(H75,H77,H79)</f>
        <v>0</v>
      </c>
      <c r="K75" s="95"/>
      <c r="L75" s="96"/>
      <c r="M75" s="96"/>
      <c r="N75" s="96"/>
      <c r="O75" s="96"/>
      <c r="P75" s="96"/>
      <c r="Q75" s="95"/>
      <c r="R75" s="95"/>
      <c r="S75" s="95"/>
      <c r="T75" s="95"/>
      <c r="U75" s="95"/>
      <c r="V75" s="95"/>
      <c r="W75" s="95"/>
      <c r="X75" s="95"/>
      <c r="Y75" s="95"/>
      <c r="Z75" s="95"/>
    </row>
    <row r="76" spans="1:26" ht="42" customHeight="1" x14ac:dyDescent="0.35">
      <c r="B76" s="475"/>
      <c r="C76" s="419"/>
      <c r="D76" s="420" t="str">
        <f>INDEX('imp-questions'!G:G, MATCH(A75, 'imp-questions'!A:A, 0))</f>
        <v>Teams derive security requirements from functional requirements and customer or organization concerns
 Security requirements are specific, measurable, and reasonable
 Security requirements are in line with the organizational baseline</v>
      </c>
      <c r="E76" s="421"/>
      <c r="F76" s="423"/>
      <c r="G76" s="137"/>
      <c r="H76" s="461"/>
      <c r="I76" s="471"/>
      <c r="J76" s="540"/>
      <c r="K76" s="95"/>
      <c r="L76" s="96"/>
      <c r="M76" s="96"/>
      <c r="N76" s="96"/>
      <c r="O76" s="96"/>
      <c r="P76" s="96"/>
      <c r="Q76" s="95"/>
      <c r="R76" s="95"/>
      <c r="S76" s="95"/>
      <c r="T76" s="95"/>
      <c r="U76" s="95"/>
      <c r="V76" s="95"/>
      <c r="W76" s="95"/>
      <c r="X76" s="95"/>
      <c r="Y76" s="95"/>
      <c r="Z76" s="95"/>
    </row>
    <row r="77" spans="1:26" x14ac:dyDescent="0.35">
      <c r="A77" s="89" t="s">
        <v>48</v>
      </c>
      <c r="B77" s="475"/>
      <c r="C77" s="149">
        <f>INDEX('imp-questions'!E:E, MATCH(A77, 'imp-questions'!A:A, 0))</f>
        <v>2</v>
      </c>
      <c r="D77" s="112" t="str">
        <f>INDEX('imp-questions'!F:F, MATCH(A77, 'imp-questions'!A:A, 0))</f>
        <v>Do you define, structure, and include prioritization in the artifacts of the security requirements gathering process?</v>
      </c>
      <c r="E77" s="113" t="str">
        <f>CHAR(65+INDEX('imp-questions'!H:H, MATCH(A77, 'imp-questions'!A:A, 0)))</f>
        <v>E</v>
      </c>
      <c r="F77" s="163"/>
      <c r="G77" s="135">
        <f ca="1">IFERROR(INDEX(INDIRECT("Ans" &amp; E77 &amp; "TBL"), MATCH(F77, INDEX(INDIRECT("Ans" &amp; E77 &amp; "TBL"), 0, 1), 0), 2), 0)</f>
        <v>0</v>
      </c>
      <c r="H77" s="414">
        <f ca="1">IFERROR(AVERAGE(G77,G84),0)</f>
        <v>0</v>
      </c>
      <c r="I77" s="470"/>
      <c r="J77" s="141"/>
      <c r="K77" s="95"/>
      <c r="L77" s="96"/>
      <c r="M77" s="96"/>
      <c r="N77" s="96"/>
      <c r="O77" s="96"/>
      <c r="P77" s="96"/>
      <c r="Q77" s="95"/>
      <c r="R77" s="95"/>
      <c r="S77" s="95"/>
      <c r="T77" s="95"/>
      <c r="U77" s="95"/>
      <c r="V77" s="95"/>
      <c r="W77" s="95"/>
      <c r="X77" s="95"/>
      <c r="Y77" s="95"/>
      <c r="Z77" s="95"/>
    </row>
    <row r="78" spans="1:26" ht="56" customHeight="1" x14ac:dyDescent="0.35">
      <c r="B78" s="475"/>
      <c r="C78" s="419"/>
      <c r="D78" s="420" t="str">
        <f>INDEX('imp-questions'!G:G, MATCH(A77, 'imp-questions'!A:A, 0))</f>
        <v>Security requirements take into consideration domain specific knowledge when applying policies and guidance to product development
 Domain experts are involved in the requirements definition process
 You have an agreed upon structured notation for security requirements
 Development teams have a security champion dedicated to reviewing security requirements and outcomes</v>
      </c>
      <c r="E78" s="421"/>
      <c r="F78" s="423"/>
      <c r="G78" s="137"/>
      <c r="H78" s="456"/>
      <c r="I78" s="471"/>
      <c r="J78" s="141"/>
      <c r="K78" s="95"/>
      <c r="L78" s="96"/>
      <c r="M78" s="96"/>
      <c r="N78" s="96"/>
      <c r="O78" s="96"/>
      <c r="P78" s="96"/>
      <c r="Q78" s="95"/>
      <c r="R78" s="95"/>
      <c r="S78" s="95"/>
      <c r="T78" s="95"/>
      <c r="U78" s="95"/>
      <c r="V78" s="95"/>
      <c r="W78" s="95"/>
      <c r="X78" s="95"/>
      <c r="Y78" s="95"/>
      <c r="Z78" s="95"/>
    </row>
    <row r="79" spans="1:26" x14ac:dyDescent="0.35">
      <c r="A79" s="89" t="s">
        <v>49</v>
      </c>
      <c r="B79" s="475"/>
      <c r="C79" s="149">
        <f>INDEX('imp-questions'!E:E, MATCH(A79, 'imp-questions'!A:A, 0))</f>
        <v>3</v>
      </c>
      <c r="D79" s="112" t="str">
        <f>INDEX('imp-questions'!F:F, MATCH(A79, 'imp-questions'!A:A, 0))</f>
        <v>Do you use a standard requirements framework to streamline the elicitation of security requirements?</v>
      </c>
      <c r="E79" s="113" t="str">
        <f>CHAR(65+INDEX('imp-questions'!H:H, MATCH(A79, 'imp-questions'!A:A, 0)))</f>
        <v>A</v>
      </c>
      <c r="F79" s="151"/>
      <c r="G79" s="135">
        <f ca="1">IFERROR(INDEX(INDIRECT("Ans" &amp; E79 &amp; "TBL"), MATCH(F79, INDEX(INDIRECT("Ans" &amp; E79 &amp; "TBL"), 0, 1), 0), 2), 0)</f>
        <v>0</v>
      </c>
      <c r="H79" s="414">
        <f ca="1">IFERROR(AVERAGE(G79,G86),0)</f>
        <v>0</v>
      </c>
      <c r="I79" s="470"/>
      <c r="J79" s="141"/>
      <c r="K79" s="95"/>
      <c r="L79" s="96"/>
      <c r="M79" s="96"/>
      <c r="N79" s="96"/>
      <c r="O79" s="96"/>
      <c r="P79" s="96"/>
      <c r="Q79" s="95"/>
      <c r="R79" s="95"/>
      <c r="S79" s="95"/>
      <c r="T79" s="95"/>
      <c r="U79" s="95"/>
      <c r="V79" s="95"/>
      <c r="W79" s="95"/>
      <c r="X79" s="95"/>
      <c r="Y79" s="95"/>
      <c r="Z79" s="95"/>
    </row>
    <row r="80" spans="1:26" ht="56" customHeight="1" x14ac:dyDescent="0.35">
      <c r="B80" s="476"/>
      <c r="C80" s="419"/>
      <c r="D80" s="420" t="str">
        <f>INDEX('imp-questions'!G:G, MATCH(A79, 'imp-questions'!A:A, 0))</f>
        <v>A security requirements framework is available for project teams
 The framework is categorized by common requirements and standards-based requirements
 The framework gives clear guidance on the quality of requirements and how to describe them
 The framework is adaptable to specific business requirements</v>
      </c>
      <c r="E80" s="421"/>
      <c r="F80" s="423"/>
      <c r="G80" s="137"/>
      <c r="H80" s="456"/>
      <c r="I80" s="471"/>
      <c r="J80" s="141"/>
      <c r="K80" s="95"/>
      <c r="L80" s="96"/>
      <c r="M80" s="96"/>
      <c r="N80" s="96"/>
      <c r="O80" s="96"/>
      <c r="P80" s="96"/>
      <c r="Q80" s="95"/>
      <c r="R80" s="95"/>
      <c r="S80" s="95"/>
      <c r="T80" s="95"/>
      <c r="U80" s="95"/>
      <c r="V80" s="95"/>
      <c r="W80" s="95"/>
      <c r="X80" s="95"/>
      <c r="Y80" s="95"/>
      <c r="Z80" s="95"/>
    </row>
    <row r="81" spans="1:26" x14ac:dyDescent="0.35">
      <c r="B81" s="164"/>
      <c r="C81" s="124"/>
      <c r="D81" s="125"/>
      <c r="E81" s="125"/>
      <c r="F81" s="125"/>
      <c r="G81" s="153"/>
      <c r="H81" s="153"/>
      <c r="I81" s="463"/>
      <c r="J81" s="121"/>
      <c r="K81" s="95"/>
      <c r="L81" s="96"/>
      <c r="M81" s="96"/>
      <c r="N81" s="96"/>
      <c r="O81" s="96"/>
      <c r="P81" s="96"/>
      <c r="Q81" s="95"/>
      <c r="R81" s="95"/>
      <c r="S81" s="95"/>
      <c r="T81" s="95"/>
      <c r="U81" s="95"/>
      <c r="V81" s="95"/>
      <c r="W81" s="95"/>
      <c r="X81" s="95"/>
      <c r="Y81" s="95"/>
      <c r="Z81" s="95"/>
    </row>
    <row r="82" spans="1:26" ht="15" customHeight="1" x14ac:dyDescent="0.35">
      <c r="A82" s="89" t="s">
        <v>50</v>
      </c>
      <c r="B82" s="490" t="str">
        <f>INDEX('imp-questions'!D:D, MATCH(A82, 'imp-questions'!A:A, 0))</f>
        <v>Supplier Security</v>
      </c>
      <c r="C82" s="162">
        <f>INDEX('imp-questions'!E:E, MATCH(A82, 'imp-questions'!A:A, 0))</f>
        <v>1</v>
      </c>
      <c r="D82" s="112" t="str">
        <f>INDEX('imp-questions'!F:F, MATCH(A82, 'imp-questions'!A:A, 0))</f>
        <v>Do stakeholders review vendor collaborations for security requirements and methodology?</v>
      </c>
      <c r="E82" s="113" t="str">
        <f>CHAR(65+INDEX('imp-questions'!H:H, MATCH(A82, 'imp-questions'!A:A, 0)))</f>
        <v>E</v>
      </c>
      <c r="F82" s="163"/>
      <c r="G82" s="135">
        <f ca="1">IFERROR(INDEX(INDIRECT("Ans" &amp; E82 &amp; "TBL"), MATCH(F82, INDEX(INDIRECT("Ans" &amp; E82 &amp; "TBL"), 0, 1), 0), 2), 0)</f>
        <v>0</v>
      </c>
      <c r="H82" s="136"/>
      <c r="I82" s="496"/>
      <c r="J82" s="121"/>
      <c r="K82" s="95"/>
      <c r="L82" s="96"/>
      <c r="M82" s="96"/>
      <c r="N82" s="96"/>
      <c r="O82" s="96"/>
      <c r="P82" s="96"/>
      <c r="Q82" s="95"/>
      <c r="R82" s="95"/>
      <c r="S82" s="95"/>
      <c r="T82" s="95"/>
      <c r="U82" s="95"/>
      <c r="V82" s="95"/>
      <c r="W82" s="95"/>
      <c r="X82" s="95"/>
      <c r="Y82" s="95"/>
      <c r="Z82" s="95"/>
    </row>
    <row r="83" spans="1:26" ht="32" customHeight="1" x14ac:dyDescent="0.35">
      <c r="B83" s="475"/>
      <c r="C83" s="419"/>
      <c r="D83" s="420" t="str">
        <f>INDEX('imp-questions'!G:G, MATCH(A82, 'imp-questions'!A:A, 0))</f>
        <v>You consider including specific security requirements, activities, and processes when creating third-party agreements
 A vendor questionnaire is available and used to assess the strengths and weaknesses of your suppliers</v>
      </c>
      <c r="E83" s="421"/>
      <c r="F83" s="423"/>
      <c r="G83" s="137"/>
      <c r="H83" s="156"/>
      <c r="I83" s="473"/>
      <c r="J83" s="121"/>
      <c r="K83" s="95"/>
      <c r="L83" s="96"/>
      <c r="M83" s="96"/>
      <c r="N83" s="96"/>
      <c r="O83" s="96"/>
      <c r="P83" s="96"/>
      <c r="Q83" s="95"/>
      <c r="R83" s="95"/>
      <c r="S83" s="95"/>
      <c r="T83" s="95"/>
      <c r="U83" s="95"/>
      <c r="V83" s="95"/>
      <c r="W83" s="95"/>
      <c r="X83" s="95"/>
      <c r="Y83" s="95"/>
      <c r="Z83" s="95"/>
    </row>
    <row r="84" spans="1:26" ht="15" customHeight="1" x14ac:dyDescent="0.35">
      <c r="A84" s="89" t="s">
        <v>51</v>
      </c>
      <c r="B84" s="475"/>
      <c r="C84" s="149">
        <f>INDEX('imp-questions'!E:E, MATCH(A84, 'imp-questions'!A:A, 0))</f>
        <v>2</v>
      </c>
      <c r="D84" s="112" t="str">
        <f>INDEX('imp-questions'!F:F, MATCH(A84, 'imp-questions'!A:A, 0))</f>
        <v>Do vendors meet the security responsibilities and quality measures of service level agreements defined by the organization?</v>
      </c>
      <c r="E84" s="113" t="str">
        <f>CHAR(65+INDEX('imp-questions'!H:H, MATCH(A84, 'imp-questions'!A:A, 0)))</f>
        <v>E</v>
      </c>
      <c r="F84" s="163"/>
      <c r="G84" s="135">
        <f ca="1">IFERROR(INDEX(INDIRECT("Ans" &amp; E84 &amp; "TBL"), MATCH(F84, INDEX(INDIRECT("Ans" &amp; E84 &amp; "TBL"), 0, 1), 0), 2), 0)</f>
        <v>0</v>
      </c>
      <c r="H84" s="136"/>
      <c r="I84" s="496"/>
      <c r="J84" s="121"/>
      <c r="K84" s="95"/>
      <c r="L84" s="96"/>
      <c r="M84" s="96"/>
      <c r="N84" s="96"/>
      <c r="O84" s="96"/>
      <c r="P84" s="96"/>
      <c r="Q84" s="95"/>
      <c r="R84" s="95"/>
      <c r="S84" s="95"/>
      <c r="T84" s="95"/>
      <c r="U84" s="95"/>
      <c r="V84" s="95"/>
      <c r="W84" s="95"/>
      <c r="X84" s="95"/>
      <c r="Y84" s="95"/>
      <c r="Z84" s="95"/>
    </row>
    <row r="85" spans="1:26" ht="74" customHeight="1" x14ac:dyDescent="0.35">
      <c r="B85" s="475"/>
      <c r="C85" s="419"/>
      <c r="D85" s="420" t="str">
        <f>INDEX('imp-questions'!G:G, MATCH(A84, 'imp-questions'!A:A, 0))</f>
        <v>You discuss security requirements with the vendor when creating vendor agreements
 Vendor agreements provide specific guidance on security defect remediation within an agreed upon timeframe
 The organization has a templated agreement of responsibilities and service levels for key vendor security processes
 You measure key performance indicators</v>
      </c>
      <c r="E85" s="421"/>
      <c r="F85" s="423"/>
      <c r="G85" s="137"/>
      <c r="H85" s="156"/>
      <c r="I85" s="473"/>
      <c r="J85" s="121"/>
      <c r="K85" s="95"/>
      <c r="L85" s="96"/>
      <c r="M85" s="96"/>
      <c r="N85" s="96"/>
      <c r="O85" s="96"/>
      <c r="P85" s="96"/>
      <c r="Q85" s="95"/>
      <c r="R85" s="95"/>
      <c r="S85" s="95"/>
      <c r="T85" s="95"/>
      <c r="U85" s="95"/>
      <c r="V85" s="95"/>
      <c r="W85" s="95"/>
      <c r="X85" s="95"/>
      <c r="Y85" s="95"/>
      <c r="Z85" s="95"/>
    </row>
    <row r="86" spans="1:26" ht="28.05" customHeight="1" x14ac:dyDescent="0.35">
      <c r="A86" s="89" t="s">
        <v>52</v>
      </c>
      <c r="B86" s="475"/>
      <c r="C86" s="149">
        <f>INDEX('imp-questions'!E:E, MATCH(A86, 'imp-questions'!A:A, 0))</f>
        <v>3</v>
      </c>
      <c r="D86" s="112" t="str">
        <f>INDEX('imp-questions'!F:F, MATCH(A86, 'imp-questions'!A:A, 0))</f>
        <v>Are vendors aligned with standard security controls and software development tools and processes that the organization utilizes?</v>
      </c>
      <c r="E86" s="113" t="str">
        <f>CHAR(65+INDEX('imp-questions'!H:H, MATCH(A86, 'imp-questions'!A:A, 0)))</f>
        <v>E</v>
      </c>
      <c r="F86" s="163"/>
      <c r="G86" s="135">
        <f ca="1">IFERROR(INDEX(INDIRECT("Ans" &amp; E86 &amp; "TBL"), MATCH(F86, INDEX(INDIRECT("Ans" &amp; E86 &amp; "TBL"), 0, 1), 0), 2), 0)</f>
        <v>0</v>
      </c>
      <c r="H86" s="136"/>
      <c r="I86" s="496"/>
      <c r="J86" s="121"/>
      <c r="K86" s="95"/>
      <c r="L86" s="96"/>
      <c r="M86" s="96"/>
      <c r="N86" s="96"/>
      <c r="O86" s="96"/>
      <c r="P86" s="96"/>
      <c r="Q86" s="95"/>
      <c r="R86" s="95"/>
      <c r="S86" s="95"/>
      <c r="T86" s="95"/>
      <c r="U86" s="95"/>
      <c r="V86" s="95"/>
      <c r="W86" s="95"/>
      <c r="X86" s="95"/>
      <c r="Y86" s="95"/>
      <c r="Z86" s="95"/>
    </row>
    <row r="87" spans="1:26" ht="72" customHeight="1" x14ac:dyDescent="0.35">
      <c r="B87" s="476"/>
      <c r="C87" s="419"/>
      <c r="D87" s="424" t="str">
        <f>INDEX('imp-questions'!G:G, MATCH(A86, 'imp-questions'!A:A, 0))</f>
        <v>The vendor has a secure SDLC that includes secure build, secure deployment, defect management, and incident management, meets the security expectations of your organization, and is able to demonstrate operating effectiveness of practices.
 You verify the solution meets quality and security objectives before every major release
 When standard verification processes are not available, you use compensating controls such as software composition analysis and independent penetration testing</v>
      </c>
      <c r="E87" s="421"/>
      <c r="F87" s="423"/>
      <c r="G87" s="137"/>
      <c r="H87" s="138"/>
      <c r="I87" s="473"/>
      <c r="J87" s="121"/>
      <c r="K87" s="95"/>
      <c r="L87" s="96"/>
      <c r="M87" s="96"/>
      <c r="N87" s="96"/>
      <c r="O87" s="96"/>
      <c r="P87" s="96"/>
      <c r="Q87" s="95"/>
      <c r="R87" s="95"/>
      <c r="S87" s="95"/>
      <c r="T87" s="95"/>
      <c r="U87" s="95"/>
      <c r="V87" s="95"/>
      <c r="W87" s="95"/>
      <c r="X87" s="95"/>
      <c r="Y87" s="95"/>
      <c r="Z87" s="95"/>
    </row>
    <row r="88" spans="1:26" x14ac:dyDescent="0.35">
      <c r="B88" s="553" t="s">
        <v>53</v>
      </c>
      <c r="C88" s="498"/>
      <c r="D88" s="499"/>
      <c r="E88" s="157"/>
      <c r="F88" s="158" t="s">
        <v>15</v>
      </c>
      <c r="G88" s="159"/>
      <c r="H88" s="160"/>
      <c r="I88" s="464" t="s">
        <v>16</v>
      </c>
      <c r="J88" s="161" t="s">
        <v>17</v>
      </c>
      <c r="K88" s="95"/>
      <c r="L88" s="96"/>
      <c r="M88" s="96"/>
      <c r="N88" s="96"/>
      <c r="O88" s="96"/>
      <c r="P88" s="96"/>
      <c r="Q88" s="95"/>
      <c r="R88" s="95"/>
      <c r="S88" s="95"/>
      <c r="T88" s="95"/>
      <c r="U88" s="95"/>
      <c r="V88" s="95"/>
      <c r="W88" s="95"/>
      <c r="X88" s="95"/>
      <c r="Y88" s="95"/>
      <c r="Z88" s="95"/>
    </row>
    <row r="89" spans="1:26" ht="14" customHeight="1" x14ac:dyDescent="0.35">
      <c r="A89" s="89" t="s">
        <v>54</v>
      </c>
      <c r="B89" s="489" t="str">
        <f>INDEX('imp-questions'!D:D, MATCH(A89, 'imp-questions'!A:A, 0))</f>
        <v>Architecture Design</v>
      </c>
      <c r="C89" s="162">
        <f>INDEX('imp-questions'!E:E, MATCH(A89, 'imp-questions'!A:A, 0))</f>
        <v>1</v>
      </c>
      <c r="D89" s="131" t="str">
        <f>INDEX('imp-questions'!F:F, MATCH(A89, 'imp-questions'!A:A, 0))</f>
        <v>Do teams use security principles during design?</v>
      </c>
      <c r="E89" s="113" t="str">
        <f>CHAR(65+INDEX('imp-questions'!H:H, MATCH(A89, 'imp-questions'!A:A, 0)))</f>
        <v>A</v>
      </c>
      <c r="F89" s="151"/>
      <c r="G89" s="135">
        <f ca="1">IFERROR(INDEX(INDIRECT("Ans" &amp; E89 &amp; "TBL"), MATCH(F89, INDEX(INDIRECT("Ans" &amp; E89 &amp; "TBL"), 0, 1), 0), 2), 0)</f>
        <v>0</v>
      </c>
      <c r="H89" s="414">
        <f ca="1">IFERROR(AVERAGE(G89,G96),0)</f>
        <v>0</v>
      </c>
      <c r="I89" s="470"/>
      <c r="J89" s="539">
        <f ca="1">SUM(H89,H91,H93)</f>
        <v>0</v>
      </c>
      <c r="K89" s="95"/>
      <c r="L89" s="96"/>
      <c r="M89" s="96"/>
      <c r="N89" s="96"/>
      <c r="O89" s="96"/>
      <c r="P89" s="96"/>
      <c r="Q89" s="95"/>
      <c r="R89" s="95"/>
      <c r="S89" s="95"/>
      <c r="T89" s="95"/>
      <c r="U89" s="95"/>
      <c r="V89" s="95"/>
      <c r="W89" s="95"/>
      <c r="X89" s="95"/>
      <c r="Y89" s="95"/>
      <c r="Z89" s="95"/>
    </row>
    <row r="90" spans="1:26" ht="42" customHeight="1" x14ac:dyDescent="0.35">
      <c r="B90" s="475"/>
      <c r="C90" s="419"/>
      <c r="D90" s="420" t="str">
        <f>INDEX('imp-questions'!G:G, MATCH(A89, 'imp-questions'!A:A, 0))</f>
        <v>You have an agreed upon checklist of security principles
 You store your checklist in an accessible location
 Relevant stakeholders understand security principles</v>
      </c>
      <c r="E90" s="421"/>
      <c r="F90" s="423"/>
      <c r="G90" s="137"/>
      <c r="H90" s="461"/>
      <c r="I90" s="471"/>
      <c r="J90" s="540"/>
      <c r="K90" s="95"/>
      <c r="L90" s="96"/>
      <c r="M90" s="96"/>
      <c r="N90" s="96"/>
      <c r="O90" s="96"/>
      <c r="P90" s="96"/>
      <c r="Q90" s="95"/>
      <c r="R90" s="95"/>
      <c r="S90" s="95"/>
      <c r="T90" s="95"/>
      <c r="U90" s="95"/>
      <c r="V90" s="95"/>
      <c r="W90" s="95"/>
      <c r="X90" s="95"/>
      <c r="Y90" s="95"/>
      <c r="Z90" s="95"/>
    </row>
    <row r="91" spans="1:26" x14ac:dyDescent="0.35">
      <c r="A91" s="89" t="s">
        <v>55</v>
      </c>
      <c r="B91" s="475"/>
      <c r="C91" s="149">
        <f>INDEX('imp-questions'!E:E, MATCH(A91, 'imp-questions'!A:A, 0))</f>
        <v>2</v>
      </c>
      <c r="D91" s="112" t="str">
        <f>INDEX('imp-questions'!F:F, MATCH(A91, 'imp-questions'!A:A, 0))</f>
        <v>Do you use shared security services during design?</v>
      </c>
      <c r="E91" s="113" t="str">
        <f>CHAR(65+INDEX('imp-questions'!H:H, MATCH(A91, 'imp-questions'!A:A, 0)))</f>
        <v>A</v>
      </c>
      <c r="F91" s="151"/>
      <c r="G91" s="135">
        <f ca="1">IFERROR(INDEX(INDIRECT("Ans" &amp; E91 &amp; "TBL"), MATCH(F91, INDEX(INDIRECT("Ans" &amp; E91 &amp; "TBL"), 0, 1), 0), 2), 0)</f>
        <v>0</v>
      </c>
      <c r="H91" s="414">
        <f ca="1">IFERROR(AVERAGE(G91,G98),0)</f>
        <v>0</v>
      </c>
      <c r="I91" s="470"/>
      <c r="J91" s="141"/>
      <c r="K91" s="95"/>
      <c r="L91" s="96"/>
      <c r="M91" s="96"/>
      <c r="N91" s="96"/>
      <c r="O91" s="96"/>
      <c r="P91" s="96"/>
      <c r="Q91" s="95"/>
      <c r="R91" s="95"/>
      <c r="S91" s="95"/>
      <c r="T91" s="95"/>
      <c r="U91" s="95"/>
      <c r="V91" s="95"/>
      <c r="W91" s="95"/>
      <c r="X91" s="95"/>
      <c r="Y91" s="95"/>
      <c r="Z91" s="95"/>
    </row>
    <row r="92" spans="1:26" ht="42" customHeight="1" x14ac:dyDescent="0.35">
      <c r="B92" s="475"/>
      <c r="C92" s="419"/>
      <c r="D92" s="420" t="str">
        <f>INDEX('imp-questions'!G:G, MATCH(A91, 'imp-questions'!A:A, 0))</f>
        <v>You have a documented list of reusable security services, available to relevant stakeholders
 You have reviewed the baseline security posture for each selected service
 Your designers are trained to integrate each selected service following available guidance</v>
      </c>
      <c r="E92" s="421"/>
      <c r="F92" s="423"/>
      <c r="G92" s="137"/>
      <c r="H92" s="456"/>
      <c r="I92" s="471"/>
      <c r="J92" s="141"/>
      <c r="K92" s="95"/>
      <c r="L92" s="96"/>
      <c r="M92" s="96"/>
      <c r="N92" s="96"/>
      <c r="O92" s="96"/>
      <c r="P92" s="96"/>
      <c r="Q92" s="95"/>
      <c r="R92" s="95"/>
      <c r="S92" s="95"/>
      <c r="T92" s="95"/>
      <c r="U92" s="95"/>
      <c r="V92" s="95"/>
      <c r="W92" s="95"/>
      <c r="X92" s="95"/>
      <c r="Y92" s="95"/>
      <c r="Z92" s="95"/>
    </row>
    <row r="93" spans="1:26" x14ac:dyDescent="0.35">
      <c r="A93" s="89" t="s">
        <v>56</v>
      </c>
      <c r="B93" s="475"/>
      <c r="C93" s="149">
        <f>INDEX('imp-questions'!E:E, MATCH(A93, 'imp-questions'!A:A, 0))</f>
        <v>3</v>
      </c>
      <c r="D93" s="112" t="str">
        <f>INDEX('imp-questions'!F:F, MATCH(A93, 'imp-questions'!A:A, 0))</f>
        <v>Do you base your design on available reference architectures?</v>
      </c>
      <c r="E93" s="113" t="str">
        <f>CHAR(65+INDEX('imp-questions'!H:H, MATCH(A93, 'imp-questions'!A:A, 0)))</f>
        <v>A</v>
      </c>
      <c r="F93" s="151"/>
      <c r="G93" s="135">
        <f ca="1">IFERROR(INDEX(INDIRECT("Ans" &amp; E93 &amp; "TBL"), MATCH(F93, INDEX(INDIRECT("Ans" &amp; E93 &amp; "TBL"), 0, 1), 0), 2), 0)</f>
        <v>0</v>
      </c>
      <c r="H93" s="414">
        <f ca="1">IFERROR(AVERAGE(G93,G100),0)</f>
        <v>0</v>
      </c>
      <c r="I93" s="470"/>
      <c r="J93" s="141"/>
      <c r="K93" s="95"/>
      <c r="L93" s="96"/>
      <c r="M93" s="96"/>
      <c r="N93" s="96"/>
      <c r="O93" s="96"/>
      <c r="P93" s="96"/>
      <c r="Q93" s="95"/>
      <c r="R93" s="95"/>
      <c r="S93" s="95"/>
      <c r="T93" s="95"/>
      <c r="U93" s="95"/>
      <c r="V93" s="95"/>
      <c r="W93" s="95"/>
      <c r="X93" s="95"/>
      <c r="Y93" s="95"/>
      <c r="Z93" s="95"/>
    </row>
    <row r="94" spans="1:26" ht="42" customHeight="1" x14ac:dyDescent="0.35">
      <c r="B94" s="476"/>
      <c r="C94" s="419"/>
      <c r="D94" s="420" t="str">
        <f>INDEX('imp-questions'!G:G, MATCH(A93, 'imp-questions'!A:A, 0))</f>
        <v>You have one or more approved reference architectures documented and available to stakeholders
 You improve the reference architectures continuously based on insights and best practices
 You provide a set of components, libraries, and tools to implement each reference architecture</v>
      </c>
      <c r="E94" s="421"/>
      <c r="F94" s="423"/>
      <c r="G94" s="137"/>
      <c r="H94" s="456"/>
      <c r="I94" s="471"/>
      <c r="J94" s="141"/>
      <c r="K94" s="95"/>
      <c r="L94" s="96"/>
      <c r="M94" s="96"/>
      <c r="N94" s="96"/>
      <c r="O94" s="96"/>
      <c r="P94" s="96"/>
      <c r="Q94" s="95"/>
      <c r="R94" s="95"/>
      <c r="S94" s="95"/>
      <c r="T94" s="95"/>
      <c r="U94" s="95"/>
      <c r="V94" s="95"/>
      <c r="W94" s="95"/>
      <c r="X94" s="95"/>
      <c r="Y94" s="95"/>
      <c r="Z94" s="95"/>
    </row>
    <row r="95" spans="1:26" x14ac:dyDescent="0.35">
      <c r="B95" s="164"/>
      <c r="C95" s="124"/>
      <c r="D95" s="125"/>
      <c r="E95" s="125"/>
      <c r="F95" s="125"/>
      <c r="G95" s="153"/>
      <c r="H95" s="153"/>
      <c r="I95" s="459"/>
      <c r="J95" s="121"/>
      <c r="K95" s="95"/>
      <c r="L95" s="96"/>
      <c r="M95" s="96"/>
      <c r="N95" s="96"/>
      <c r="O95" s="96"/>
      <c r="P95" s="96"/>
      <c r="Q95" s="95"/>
      <c r="R95" s="95"/>
      <c r="S95" s="95"/>
      <c r="T95" s="95"/>
      <c r="U95" s="95"/>
      <c r="V95" s="95"/>
      <c r="W95" s="95"/>
      <c r="X95" s="95"/>
      <c r="Y95" s="95"/>
      <c r="Z95" s="95"/>
    </row>
    <row r="96" spans="1:26" ht="15" customHeight="1" x14ac:dyDescent="0.35">
      <c r="A96" s="89" t="s">
        <v>57</v>
      </c>
      <c r="B96" s="490" t="str">
        <f>INDEX('imp-questions'!D:D, MATCH(A96, 'imp-questions'!A:A, 0))</f>
        <v>Technology Management</v>
      </c>
      <c r="C96" s="162">
        <f>INDEX('imp-questions'!E:E, MATCH(A96, 'imp-questions'!A:A, 0))</f>
        <v>1</v>
      </c>
      <c r="D96" s="112" t="str">
        <f>INDEX('imp-questions'!F:F, MATCH(A96, 'imp-questions'!A:A, 0))</f>
        <v>Do you evaluate the security quality of important technologies used for development?</v>
      </c>
      <c r="E96" s="113" t="str">
        <f>CHAR(65+INDEX('imp-questions'!H:H, MATCH(A96, 'imp-questions'!A:A, 0)))</f>
        <v>A</v>
      </c>
      <c r="F96" s="151"/>
      <c r="G96" s="135">
        <f ca="1">IFERROR(INDEX(INDIRECT("Ans" &amp; E96 &amp; "TBL"), MATCH(F96, INDEX(INDIRECT("Ans" &amp; E96 &amp; "TBL"), 0, 1), 0), 2), 0)</f>
        <v>0</v>
      </c>
      <c r="H96" s="457"/>
      <c r="I96" s="492"/>
      <c r="J96" s="94"/>
      <c r="K96" s="95"/>
      <c r="L96" s="96"/>
      <c r="M96" s="96"/>
      <c r="N96" s="96"/>
      <c r="O96" s="96"/>
      <c r="P96" s="96"/>
      <c r="Q96" s="95"/>
      <c r="R96" s="95"/>
      <c r="S96" s="95"/>
      <c r="T96" s="95"/>
      <c r="U96" s="95"/>
      <c r="V96" s="95"/>
      <c r="W96" s="95"/>
      <c r="X96" s="95"/>
      <c r="Y96" s="95"/>
      <c r="Z96" s="95"/>
    </row>
    <row r="97" spans="1:26" ht="42" customHeight="1" x14ac:dyDescent="0.35">
      <c r="B97" s="475"/>
      <c r="C97" s="419"/>
      <c r="D97" s="420" t="str">
        <f>INDEX('imp-questions'!G:G, MATCH(A96, 'imp-questions'!A:A, 0))</f>
        <v>You have a list of the most important technologies used in, or in support of, each application
 You identify and track technological risks
 You ensure the risks to these technologies are in line with the organizational baseline</v>
      </c>
      <c r="E97" s="421"/>
      <c r="F97" s="423"/>
      <c r="G97" s="137"/>
      <c r="H97" s="458"/>
      <c r="I97" s="471"/>
      <c r="J97" s="94"/>
      <c r="K97" s="95"/>
      <c r="L97" s="96"/>
      <c r="M97" s="96"/>
      <c r="N97" s="96"/>
      <c r="O97" s="96"/>
      <c r="P97" s="96"/>
      <c r="Q97" s="95"/>
      <c r="R97" s="95"/>
      <c r="S97" s="95"/>
      <c r="T97" s="95"/>
      <c r="U97" s="95"/>
      <c r="V97" s="95"/>
      <c r="W97" s="95"/>
      <c r="X97" s="95"/>
      <c r="Y97" s="95"/>
      <c r="Z97" s="95"/>
    </row>
    <row r="98" spans="1:26" x14ac:dyDescent="0.35">
      <c r="A98" s="89" t="s">
        <v>58</v>
      </c>
      <c r="B98" s="475"/>
      <c r="C98" s="149">
        <f>INDEX('imp-questions'!E:E, MATCH(A98, 'imp-questions'!A:A, 0))</f>
        <v>2</v>
      </c>
      <c r="D98" s="112" t="str">
        <f>INDEX('imp-questions'!F:F, MATCH(A98, 'imp-questions'!A:A, 0))</f>
        <v>Do you have a list of recommended technologies for the organization?</v>
      </c>
      <c r="E98" s="113" t="str">
        <f>CHAR(65+INDEX('imp-questions'!H:H, MATCH(A98, 'imp-questions'!A:A, 0)))</f>
        <v>M</v>
      </c>
      <c r="F98" s="163"/>
      <c r="G98" s="135">
        <f ca="1">IFERROR(INDEX(INDIRECT("Ans" &amp; E98 &amp; "TBL"), MATCH(F98, INDEX(INDIRECT("Ans" &amp; E98 &amp; "TBL"), 0, 1), 0), 2), 0)</f>
        <v>0</v>
      </c>
      <c r="H98" s="457"/>
      <c r="I98" s="492"/>
      <c r="J98" s="94"/>
      <c r="K98" s="95"/>
      <c r="L98" s="96"/>
      <c r="M98" s="96"/>
      <c r="N98" s="96"/>
      <c r="O98" s="96"/>
      <c r="P98" s="96"/>
      <c r="Q98" s="95"/>
      <c r="R98" s="95"/>
      <c r="S98" s="95"/>
      <c r="T98" s="95"/>
      <c r="U98" s="95"/>
      <c r="V98" s="95"/>
      <c r="W98" s="95"/>
      <c r="X98" s="95"/>
      <c r="Y98" s="95"/>
      <c r="Z98" s="95"/>
    </row>
    <row r="99" spans="1:26" ht="56" customHeight="1" x14ac:dyDescent="0.35">
      <c r="B99" s="475"/>
      <c r="C99" s="419"/>
      <c r="D99" s="420" t="str">
        <f>INDEX('imp-questions'!G:G, MATCH(A98, 'imp-questions'!A:A, 0))</f>
        <v>The list is based on technologies used in the software portfolio
 Lead architects and developers review and approve the list
 You share the list across the organization
 You review and update the list at least yearly</v>
      </c>
      <c r="E99" s="421"/>
      <c r="F99" s="423"/>
      <c r="G99" s="137"/>
      <c r="H99" s="458"/>
      <c r="I99" s="471"/>
      <c r="J99" s="94"/>
      <c r="K99" s="95"/>
      <c r="L99" s="96"/>
      <c r="M99" s="96"/>
      <c r="N99" s="96"/>
      <c r="O99" s="96"/>
      <c r="P99" s="96"/>
      <c r="Q99" s="95"/>
      <c r="R99" s="95"/>
      <c r="S99" s="95"/>
      <c r="T99" s="95"/>
      <c r="U99" s="95"/>
      <c r="V99" s="95"/>
      <c r="W99" s="95"/>
      <c r="X99" s="95"/>
      <c r="Y99" s="95"/>
      <c r="Z99" s="95"/>
    </row>
    <row r="100" spans="1:26" x14ac:dyDescent="0.35">
      <c r="A100" s="89" t="s">
        <v>59</v>
      </c>
      <c r="B100" s="475"/>
      <c r="C100" s="149">
        <f>INDEX('imp-questions'!E:E, MATCH(A100, 'imp-questions'!A:A, 0))</f>
        <v>3</v>
      </c>
      <c r="D100" s="112" t="str">
        <f>INDEX('imp-questions'!F:F, MATCH(A100, 'imp-questions'!A:A, 0))</f>
        <v>Do you enforce the use of recommended technologies within the organization?</v>
      </c>
      <c r="E100" s="113" t="str">
        <f>CHAR(65+INDEX('imp-questions'!H:H, MATCH(A100, 'imp-questions'!A:A, 0)))</f>
        <v>A</v>
      </c>
      <c r="F100" s="151"/>
      <c r="G100" s="135">
        <f ca="1">IFERROR(INDEX(INDIRECT("Ans" &amp; E100 &amp; "TBL"), MATCH(F100, INDEX(INDIRECT("Ans" &amp; E100 &amp; "TBL"), 0, 1), 0), 2), 0)</f>
        <v>0</v>
      </c>
      <c r="H100" s="457"/>
      <c r="I100" s="492"/>
      <c r="J100" s="94"/>
      <c r="K100" s="95"/>
      <c r="L100" s="96"/>
      <c r="M100" s="96"/>
      <c r="N100" s="96"/>
      <c r="O100" s="96"/>
      <c r="P100" s="96"/>
      <c r="Q100" s="95"/>
      <c r="R100" s="95"/>
      <c r="S100" s="95"/>
      <c r="T100" s="95"/>
      <c r="U100" s="95"/>
      <c r="V100" s="95"/>
      <c r="W100" s="95"/>
      <c r="X100" s="95"/>
      <c r="Y100" s="95"/>
      <c r="Z100" s="95"/>
    </row>
    <row r="101" spans="1:26" ht="42" customHeight="1" x14ac:dyDescent="0.35">
      <c r="B101" s="476"/>
      <c r="C101" s="419"/>
      <c r="D101" s="424" t="str">
        <f>INDEX('imp-questions'!G:G, MATCH(A100, 'imp-questions'!A:A, 0))</f>
        <v>You monitor applications regularly for the correct use of the recommended technologies
 You solve violations against the list accoranding to organizational policies
 You take action if the number of violations falls outside the yearly objectives</v>
      </c>
      <c r="E101" s="425"/>
      <c r="F101" s="426"/>
      <c r="G101" s="166"/>
      <c r="H101" s="458"/>
      <c r="I101" s="471"/>
      <c r="J101" s="94"/>
      <c r="K101" s="95"/>
      <c r="L101" s="96"/>
      <c r="M101" s="96"/>
      <c r="N101" s="96"/>
      <c r="O101" s="96"/>
      <c r="P101" s="96"/>
      <c r="Q101" s="95"/>
      <c r="R101" s="95"/>
      <c r="S101" s="95"/>
      <c r="T101" s="95"/>
      <c r="U101" s="95"/>
      <c r="V101" s="95"/>
      <c r="W101" s="95"/>
      <c r="X101" s="95"/>
      <c r="Y101" s="95"/>
      <c r="Z101" s="95"/>
    </row>
    <row r="102" spans="1:26" ht="22.25" customHeight="1" x14ac:dyDescent="0.35">
      <c r="B102" s="558" t="s">
        <v>60</v>
      </c>
      <c r="C102" s="482"/>
      <c r="D102" s="482"/>
      <c r="E102" s="482"/>
      <c r="F102" s="482"/>
      <c r="G102" s="482"/>
      <c r="H102" s="482"/>
      <c r="I102" s="482"/>
      <c r="J102" s="482"/>
      <c r="K102" s="95"/>
      <c r="L102" s="96"/>
      <c r="M102" s="96"/>
      <c r="N102" s="96"/>
      <c r="O102" s="96"/>
      <c r="P102" s="96"/>
      <c r="Q102" s="95"/>
      <c r="R102" s="95"/>
      <c r="S102" s="95"/>
      <c r="T102" s="95"/>
      <c r="U102" s="95"/>
      <c r="V102" s="95"/>
      <c r="W102" s="95"/>
      <c r="X102" s="95"/>
      <c r="Y102" s="95"/>
      <c r="Z102" s="95"/>
    </row>
    <row r="103" spans="1:26" x14ac:dyDescent="0.35">
      <c r="B103" s="559" t="s">
        <v>61</v>
      </c>
      <c r="C103" s="527"/>
      <c r="D103" s="495"/>
      <c r="E103" s="168"/>
      <c r="F103" s="167" t="s">
        <v>15</v>
      </c>
      <c r="G103" s="169"/>
      <c r="H103" s="170"/>
      <c r="I103" s="466" t="s">
        <v>16</v>
      </c>
      <c r="J103" s="171" t="s">
        <v>17</v>
      </c>
      <c r="K103" s="95"/>
      <c r="L103" s="96"/>
      <c r="M103" s="96"/>
      <c r="N103" s="96"/>
      <c r="O103" s="96"/>
      <c r="P103" s="96"/>
      <c r="Q103" s="95"/>
      <c r="R103" s="95"/>
      <c r="S103" s="95"/>
      <c r="T103" s="95"/>
      <c r="U103" s="95"/>
      <c r="V103" s="95"/>
      <c r="W103" s="95"/>
      <c r="X103" s="95"/>
      <c r="Y103" s="95"/>
      <c r="Z103" s="95"/>
    </row>
    <row r="104" spans="1:26" x14ac:dyDescent="0.35">
      <c r="A104" s="89" t="s">
        <v>62</v>
      </c>
      <c r="B104" s="500" t="str">
        <f>INDEX('imp-questions'!D:D, MATCH(A104, 'imp-questions'!A:A, 0))</f>
        <v>Build Process</v>
      </c>
      <c r="C104" s="172">
        <f>INDEX('imp-questions'!E:E, MATCH(A104, 'imp-questions'!A:A, 0))</f>
        <v>1</v>
      </c>
      <c r="D104" s="112" t="str">
        <f>INDEX('imp-questions'!F:F, MATCH(A104, 'imp-questions'!A:A, 0))</f>
        <v>Is your full build process formally described?</v>
      </c>
      <c r="E104" s="113" t="str">
        <f>CHAR(65+INDEX('imp-questions'!H:H, MATCH(A104, 'imp-questions'!A:A, 0)))</f>
        <v>A</v>
      </c>
      <c r="F104" s="151"/>
      <c r="G104" s="135">
        <f ca="1">IFERROR(INDEX(INDIRECT("Ans" &amp; E104 &amp; "TBL"), MATCH(F104, INDEX(INDIRECT("Ans" &amp; E104 &amp; "TBL"), 0, 1), 0), 2), 0)</f>
        <v>0</v>
      </c>
      <c r="H104" s="414">
        <f ca="1">IFERROR(AVERAGE(G104,G111),0)</f>
        <v>0</v>
      </c>
      <c r="I104" s="470"/>
      <c r="J104" s="541">
        <f ca="1">SUM(H104,H106,H108)</f>
        <v>0</v>
      </c>
      <c r="K104" s="95"/>
      <c r="L104" s="96"/>
      <c r="M104" s="96"/>
      <c r="N104" s="96"/>
      <c r="O104" s="96"/>
      <c r="P104" s="96"/>
      <c r="Q104" s="95"/>
      <c r="R104" s="95"/>
      <c r="S104" s="95"/>
      <c r="T104" s="95"/>
      <c r="U104" s="95"/>
      <c r="V104" s="95"/>
      <c r="W104" s="95"/>
      <c r="X104" s="95"/>
      <c r="Y104" s="95"/>
      <c r="Z104" s="95"/>
    </row>
    <row r="105" spans="1:26" ht="70.05" customHeight="1" x14ac:dyDescent="0.35">
      <c r="B105" s="475"/>
      <c r="C105" s="427"/>
      <c r="D105" s="428" t="str">
        <f>INDEX('imp-questions'!G:G, MATCH(A104, 'imp-questions'!A:A, 0))</f>
        <v>You have enough information to recreate the build processes
 Your build documentation up to date
 Your build documentation is stored in an accessible location
 Produced artifact checksums are created during build to support later verification
 You harden the tools that are used within the build process</v>
      </c>
      <c r="E105" s="429"/>
      <c r="F105" s="430"/>
      <c r="G105" s="137"/>
      <c r="H105" s="461"/>
      <c r="I105" s="471"/>
      <c r="J105" s="540"/>
      <c r="K105" s="95"/>
      <c r="L105" s="96"/>
      <c r="M105" s="96"/>
      <c r="N105" s="96"/>
      <c r="O105" s="96"/>
      <c r="P105" s="96"/>
      <c r="Q105" s="95"/>
      <c r="R105" s="95"/>
      <c r="S105" s="95"/>
      <c r="T105" s="95"/>
      <c r="U105" s="95"/>
      <c r="V105" s="95"/>
      <c r="W105" s="95"/>
      <c r="X105" s="95"/>
      <c r="Y105" s="95"/>
      <c r="Z105" s="95"/>
    </row>
    <row r="106" spans="1:26" x14ac:dyDescent="0.35">
      <c r="A106" s="89" t="s">
        <v>63</v>
      </c>
      <c r="B106" s="475"/>
      <c r="C106" s="172">
        <f>INDEX('imp-questions'!E:E, MATCH(A106, 'imp-questions'!A:A, 0))</f>
        <v>2</v>
      </c>
      <c r="D106" s="112" t="str">
        <f>INDEX('imp-questions'!F:F, MATCH(A106, 'imp-questions'!A:A, 0))</f>
        <v>Is the build process fully automated?</v>
      </c>
      <c r="E106" s="113" t="str">
        <f>CHAR(65+INDEX('imp-questions'!H:H, MATCH(A106, 'imp-questions'!A:A, 0)))</f>
        <v>A</v>
      </c>
      <c r="F106" s="151"/>
      <c r="G106" s="135">
        <f ca="1">IFERROR(INDEX(INDIRECT("Ans" &amp; E106 &amp; "TBL"), MATCH(F106, INDEX(INDIRECT("Ans" &amp; E106 &amp; "TBL"), 0, 1), 0), 2), 0)</f>
        <v>0</v>
      </c>
      <c r="H106" s="414">
        <f ca="1">IFERROR(AVERAGE(G106,G113),0)</f>
        <v>0</v>
      </c>
      <c r="I106" s="470"/>
      <c r="J106" s="141"/>
      <c r="K106" s="95"/>
      <c r="L106" s="96"/>
      <c r="M106" s="96"/>
      <c r="N106" s="96"/>
      <c r="O106" s="96"/>
      <c r="P106" s="96"/>
      <c r="Q106" s="95"/>
      <c r="R106" s="95"/>
      <c r="S106" s="95"/>
      <c r="T106" s="95"/>
      <c r="U106" s="95"/>
      <c r="V106" s="95"/>
      <c r="W106" s="95"/>
      <c r="X106" s="95"/>
      <c r="Y106" s="95"/>
      <c r="Z106" s="95"/>
    </row>
    <row r="107" spans="1:26" ht="42" customHeight="1" x14ac:dyDescent="0.35">
      <c r="B107" s="475"/>
      <c r="C107" s="427"/>
      <c r="D107" s="428" t="str">
        <f>INDEX('imp-questions'!G:G, MATCH(A106, 'imp-questions'!A:A, 0))</f>
        <v>The build process itself doesn't require any human interaction
 Your build tools are hardened as per best practice and vendor guidance
 You encrypt the secrets required by the build tools and control access based on the principle of least privilege</v>
      </c>
      <c r="E107" s="429"/>
      <c r="F107" s="430"/>
      <c r="G107" s="137"/>
      <c r="H107" s="456"/>
      <c r="I107" s="471"/>
      <c r="J107" s="141"/>
      <c r="K107" s="95"/>
      <c r="L107" s="96"/>
      <c r="M107" s="96"/>
      <c r="N107" s="96"/>
      <c r="O107" s="96"/>
      <c r="P107" s="96"/>
      <c r="Q107" s="95"/>
      <c r="R107" s="95"/>
      <c r="S107" s="95"/>
      <c r="T107" s="95"/>
      <c r="U107" s="95"/>
      <c r="V107" s="95"/>
      <c r="W107" s="95"/>
      <c r="X107" s="95"/>
      <c r="Y107" s="95"/>
      <c r="Z107" s="95"/>
    </row>
    <row r="108" spans="1:26" x14ac:dyDescent="0.35">
      <c r="A108" s="89" t="s">
        <v>64</v>
      </c>
      <c r="B108" s="475"/>
      <c r="C108" s="172">
        <f>INDEX('imp-questions'!E:E, MATCH(A108, 'imp-questions'!A:A, 0))</f>
        <v>3</v>
      </c>
      <c r="D108" s="112" t="str">
        <f>INDEX('imp-questions'!F:F, MATCH(A108, 'imp-questions'!A:A, 0))</f>
        <v>Do you enforce automated security checks in your build processes?</v>
      </c>
      <c r="E108" s="113" t="str">
        <f>CHAR(65+INDEX('imp-questions'!H:H, MATCH(A108, 'imp-questions'!A:A, 0)))</f>
        <v>A</v>
      </c>
      <c r="F108" s="151"/>
      <c r="G108" s="135">
        <f ca="1">IFERROR(INDEX(INDIRECT("Ans" &amp; E108 &amp; "TBL"), MATCH(F108, INDEX(INDIRECT("Ans" &amp; E108 &amp; "TBL"), 0, 1), 0), 2), 0)</f>
        <v>0</v>
      </c>
      <c r="H108" s="414">
        <f ca="1">IFERROR(AVERAGE(G108,G115),0)</f>
        <v>0</v>
      </c>
      <c r="I108" s="470"/>
      <c r="J108" s="141"/>
      <c r="K108" s="95"/>
      <c r="L108" s="96"/>
      <c r="M108" s="96"/>
      <c r="N108" s="96"/>
      <c r="O108" s="96"/>
      <c r="P108" s="96"/>
      <c r="Q108" s="95"/>
      <c r="R108" s="95"/>
      <c r="S108" s="95"/>
      <c r="T108" s="95"/>
      <c r="U108" s="95"/>
      <c r="V108" s="95"/>
      <c r="W108" s="95"/>
      <c r="X108" s="95"/>
      <c r="Y108" s="95"/>
      <c r="Z108" s="95"/>
    </row>
    <row r="109" spans="1:26" ht="56" customHeight="1" x14ac:dyDescent="0.35">
      <c r="B109" s="476"/>
      <c r="C109" s="427"/>
      <c r="D109" s="428" t="str">
        <f>INDEX('imp-questions'!G:G, MATCH(A108, 'imp-questions'!A:A, 0))</f>
        <v>Builds fail if the application doesn't meet a predefined security baseline
 You have a maximum accepted severity for vulnerabilities
 You log warnings and failures in a centralized system
 You select and configure tools to evaluate each application against its security requirements at least once a year</v>
      </c>
      <c r="E109" s="429"/>
      <c r="F109" s="430"/>
      <c r="G109" s="137"/>
      <c r="H109" s="456"/>
      <c r="I109" s="471"/>
      <c r="J109" s="141"/>
      <c r="K109" s="95"/>
      <c r="L109" s="96"/>
      <c r="M109" s="96"/>
      <c r="N109" s="96"/>
      <c r="O109" s="96"/>
      <c r="P109" s="96"/>
      <c r="Q109" s="95"/>
      <c r="R109" s="95"/>
      <c r="S109" s="95"/>
      <c r="T109" s="95"/>
      <c r="U109" s="95"/>
      <c r="V109" s="95"/>
      <c r="W109" s="95"/>
      <c r="X109" s="95"/>
      <c r="Y109" s="95"/>
      <c r="Z109" s="95"/>
    </row>
    <row r="110" spans="1:26" x14ac:dyDescent="0.35">
      <c r="B110" s="123"/>
      <c r="C110" s="124"/>
      <c r="D110" s="125"/>
      <c r="E110" s="125"/>
      <c r="F110" s="125"/>
      <c r="G110" s="153"/>
      <c r="H110" s="153"/>
      <c r="I110" s="459"/>
      <c r="J110" s="121"/>
      <c r="K110" s="95"/>
      <c r="L110" s="96"/>
      <c r="M110" s="96"/>
      <c r="N110" s="96"/>
      <c r="O110" s="96"/>
      <c r="P110" s="96"/>
      <c r="Q110" s="95"/>
      <c r="R110" s="95"/>
      <c r="S110" s="95"/>
      <c r="T110" s="95"/>
      <c r="U110" s="95"/>
      <c r="V110" s="95"/>
      <c r="W110" s="95"/>
      <c r="X110" s="95"/>
      <c r="Y110" s="95"/>
      <c r="Z110" s="95"/>
    </row>
    <row r="111" spans="1:26" ht="15" customHeight="1" x14ac:dyDescent="0.35">
      <c r="A111" s="89" t="s">
        <v>65</v>
      </c>
      <c r="B111" s="500" t="str">
        <f>INDEX('imp-questions'!D:D, MATCH(A111, 'imp-questions'!A:A, 0))</f>
        <v>Software Dependencies</v>
      </c>
      <c r="C111" s="173">
        <f>INDEX('imp-questions'!E:E, MATCH(A111, 'imp-questions'!A:A, 0))</f>
        <v>1</v>
      </c>
      <c r="D111" s="112" t="str">
        <f>INDEX('imp-questions'!F:F, MATCH(A111, 'imp-questions'!A:A, 0))</f>
        <v>Do you have solid knowledge about dependencies you're relying on?</v>
      </c>
      <c r="E111" s="113" t="str">
        <f>CHAR(65+INDEX('imp-questions'!H:H, MATCH(A111, 'imp-questions'!A:A, 0)))</f>
        <v>A</v>
      </c>
      <c r="F111" s="151"/>
      <c r="G111" s="135">
        <f ca="1">IFERROR(INDEX(INDIRECT("Ans" &amp; E111 &amp; "TBL"), MATCH(F111, INDEX(INDIRECT("Ans" &amp; E111 &amp; "TBL"), 0, 1), 0), 2), 0)</f>
        <v>0</v>
      </c>
      <c r="H111" s="414"/>
      <c r="I111" s="492"/>
      <c r="J111" s="94"/>
      <c r="K111" s="95"/>
      <c r="L111" s="96"/>
      <c r="M111" s="96"/>
      <c r="N111" s="96"/>
      <c r="O111" s="96"/>
      <c r="P111" s="96"/>
      <c r="Q111" s="95"/>
      <c r="R111" s="95"/>
      <c r="S111" s="95"/>
      <c r="T111" s="95"/>
      <c r="U111" s="95"/>
      <c r="V111" s="95"/>
      <c r="W111" s="95"/>
      <c r="X111" s="95"/>
      <c r="Y111" s="95"/>
      <c r="Z111" s="95"/>
    </row>
    <row r="112" spans="1:26" ht="42" customHeight="1" x14ac:dyDescent="0.35">
      <c r="B112" s="475"/>
      <c r="C112" s="427"/>
      <c r="D112" s="428" t="str">
        <f>INDEX('imp-questions'!G:G, MATCH(A111, 'imp-questions'!A:A, 0))</f>
        <v>You have a current bill of materials (BOM) for every application
 You can quickly find out which applications are affected by a particular CVE
 You have analyzed, addressed, and documented findings from dependencies at least once in the last three months</v>
      </c>
      <c r="E112" s="429"/>
      <c r="F112" s="430"/>
      <c r="G112" s="174"/>
      <c r="H112" s="465"/>
      <c r="I112" s="471"/>
      <c r="J112" s="94"/>
      <c r="K112" s="95"/>
      <c r="L112" s="96"/>
      <c r="M112" s="96"/>
      <c r="N112" s="96"/>
      <c r="O112" s="96"/>
      <c r="P112" s="96"/>
      <c r="Q112" s="95"/>
      <c r="R112" s="95"/>
      <c r="S112" s="95"/>
      <c r="T112" s="95"/>
      <c r="U112" s="95"/>
      <c r="V112" s="95"/>
      <c r="W112" s="95"/>
      <c r="X112" s="95"/>
      <c r="Y112" s="95"/>
      <c r="Z112" s="95"/>
    </row>
    <row r="113" spans="1:26" x14ac:dyDescent="0.35">
      <c r="A113" s="89" t="s">
        <v>66</v>
      </c>
      <c r="B113" s="475"/>
      <c r="C113" s="172">
        <f>INDEX('imp-questions'!E:E, MATCH(A113, 'imp-questions'!A:A, 0))</f>
        <v>2</v>
      </c>
      <c r="D113" s="112" t="str">
        <f>INDEX('imp-questions'!F:F, MATCH(A113, 'imp-questions'!A:A, 0))</f>
        <v>Do you handle 3rd party dependency risk by a formal process?</v>
      </c>
      <c r="E113" s="113" t="str">
        <f>CHAR(65+INDEX('imp-questions'!H:H, MATCH(A113, 'imp-questions'!A:A, 0)))</f>
        <v>A</v>
      </c>
      <c r="F113" s="151"/>
      <c r="G113" s="135">
        <f ca="1">IFERROR(INDEX(INDIRECT("Ans" &amp; E113 &amp; "TBL"), MATCH(F113, INDEX(INDIRECT("Ans" &amp; E113 &amp; "TBL"), 0, 1), 0), 2), 0)</f>
        <v>0</v>
      </c>
      <c r="H113" s="457"/>
      <c r="I113" s="492"/>
      <c r="J113" s="94"/>
      <c r="K113" s="95"/>
      <c r="L113" s="96"/>
      <c r="M113" s="96"/>
      <c r="N113" s="96"/>
      <c r="O113" s="96"/>
      <c r="P113" s="96"/>
      <c r="Q113" s="95"/>
      <c r="R113" s="95"/>
      <c r="S113" s="95"/>
      <c r="T113" s="95"/>
      <c r="U113" s="95"/>
      <c r="V113" s="95"/>
      <c r="W113" s="95"/>
      <c r="X113" s="95"/>
      <c r="Y113" s="95"/>
      <c r="Z113" s="95"/>
    </row>
    <row r="114" spans="1:26" ht="70.05" customHeight="1" x14ac:dyDescent="0.35">
      <c r="B114" s="475"/>
      <c r="C114" s="427"/>
      <c r="D114" s="428" t="str">
        <f>INDEX('imp-questions'!G:G, MATCH(A113, 'imp-questions'!A:A, 0))</f>
        <v>You keep a list of approved dependencies that meet predefined criteria
 You automatically evaluate dependencies for new CVEs and alert responsible staff
 You automatically detect and alert to license changes with possible impact on legal application usage
 You track and alert to usage of unmaintained dependencies
 You reliably detect and remove unnecessary dependencies from the software</v>
      </c>
      <c r="E114" s="429"/>
      <c r="F114" s="430"/>
      <c r="G114" s="137"/>
      <c r="H114" s="460"/>
      <c r="I114" s="471"/>
      <c r="J114" s="94"/>
      <c r="K114" s="95"/>
      <c r="L114" s="96"/>
      <c r="M114" s="96"/>
      <c r="N114" s="96"/>
      <c r="O114" s="96"/>
      <c r="P114" s="96"/>
      <c r="Q114" s="95"/>
      <c r="R114" s="95"/>
      <c r="S114" s="95"/>
      <c r="T114" s="95"/>
      <c r="U114" s="95"/>
      <c r="V114" s="95"/>
      <c r="W114" s="95"/>
      <c r="X114" s="95"/>
      <c r="Y114" s="95"/>
      <c r="Z114" s="95"/>
    </row>
    <row r="115" spans="1:26" x14ac:dyDescent="0.35">
      <c r="A115" s="89" t="s">
        <v>67</v>
      </c>
      <c r="B115" s="475"/>
      <c r="C115" s="172">
        <f>INDEX('imp-questions'!E:E, MATCH(A115, 'imp-questions'!A:A, 0))</f>
        <v>3</v>
      </c>
      <c r="D115" s="112" t="str">
        <f>INDEX('imp-questions'!F:F, MATCH(A115, 'imp-questions'!A:A, 0))</f>
        <v>Do you prevent build of software if it's affected by vulnerabilities in dependencies?</v>
      </c>
      <c r="E115" s="113" t="str">
        <f>CHAR(65+INDEX('imp-questions'!H:H, MATCH(A115, 'imp-questions'!A:A, 0)))</f>
        <v>A</v>
      </c>
      <c r="F115" s="151"/>
      <c r="G115" s="135">
        <f ca="1">IFERROR(INDEX(INDIRECT("Ans" &amp; E115 &amp; "TBL"), MATCH(F115, INDEX(INDIRECT("Ans" &amp; E115 &amp; "TBL"), 0, 1), 0), 2), 0)</f>
        <v>0</v>
      </c>
      <c r="H115" s="414"/>
      <c r="I115" s="492"/>
      <c r="J115" s="94"/>
      <c r="K115" s="95"/>
      <c r="L115" s="96"/>
      <c r="M115" s="96"/>
      <c r="N115" s="96"/>
      <c r="O115" s="96"/>
      <c r="P115" s="96"/>
      <c r="Q115" s="95"/>
      <c r="R115" s="95"/>
      <c r="S115" s="95"/>
      <c r="T115" s="95"/>
      <c r="U115" s="95"/>
      <c r="V115" s="95"/>
      <c r="W115" s="95"/>
      <c r="X115" s="95"/>
      <c r="Y115" s="95"/>
      <c r="Z115" s="95"/>
    </row>
    <row r="116" spans="1:26" ht="70.05" customHeight="1" x14ac:dyDescent="0.35">
      <c r="B116" s="476"/>
      <c r="C116" s="427"/>
      <c r="D116" s="431" t="str">
        <f>INDEX('imp-questions'!G:G, MATCH(A115, 'imp-questions'!A:A, 0))</f>
        <v>Your build system is connected to a system for tracking 3rd party dependency risk, causing build to fail unless the vulnerability is evaluated to be a false positive or the risk is explicitly accepted
 You scan your dependencies using a static analysis tool
 You report findings back to dependency authors using an established responsible disclosure process
 Using a new dependency not evaluated for security risks causes the build to fail</v>
      </c>
      <c r="E116" s="429"/>
      <c r="F116" s="430"/>
      <c r="G116" s="174"/>
      <c r="H116" s="465"/>
      <c r="I116" s="471"/>
      <c r="J116" s="94"/>
      <c r="K116" s="95"/>
      <c r="L116" s="96"/>
      <c r="M116" s="96"/>
      <c r="N116" s="96"/>
      <c r="O116" s="96"/>
      <c r="P116" s="96"/>
      <c r="Q116" s="95"/>
      <c r="R116" s="95"/>
      <c r="S116" s="95"/>
      <c r="T116" s="95"/>
      <c r="U116" s="95"/>
      <c r="V116" s="95"/>
      <c r="W116" s="95"/>
      <c r="X116" s="95"/>
      <c r="Y116" s="95"/>
      <c r="Z116" s="95"/>
    </row>
    <row r="117" spans="1:26" ht="12.75" customHeight="1" x14ac:dyDescent="0.35">
      <c r="B117" s="543" t="s">
        <v>68</v>
      </c>
      <c r="C117" s="544"/>
      <c r="D117" s="545"/>
      <c r="E117" s="175"/>
      <c r="F117" s="176" t="s">
        <v>15</v>
      </c>
      <c r="G117" s="169"/>
      <c r="H117" s="177"/>
      <c r="I117" s="466" t="s">
        <v>16</v>
      </c>
      <c r="J117" s="178" t="s">
        <v>17</v>
      </c>
      <c r="K117" s="95"/>
      <c r="L117" s="96"/>
      <c r="M117" s="96"/>
      <c r="N117" s="96"/>
      <c r="O117" s="96"/>
      <c r="P117" s="96"/>
      <c r="Q117" s="95"/>
      <c r="R117" s="95"/>
      <c r="S117" s="95"/>
      <c r="T117" s="95"/>
      <c r="U117" s="95"/>
      <c r="V117" s="95"/>
      <c r="W117" s="95"/>
      <c r="X117" s="95"/>
      <c r="Y117" s="95"/>
      <c r="Z117" s="95"/>
    </row>
    <row r="118" spans="1:26" ht="14" customHeight="1" x14ac:dyDescent="0.35">
      <c r="A118" s="89" t="s">
        <v>69</v>
      </c>
      <c r="B118" s="493" t="str">
        <f>INDEX('imp-questions'!D:D, MATCH(A118, 'imp-questions'!A:A, 0))</f>
        <v>Deployment Process</v>
      </c>
      <c r="C118" s="179">
        <f>INDEX('imp-questions'!E:E, MATCH(A118, 'imp-questions'!A:A, 0))</f>
        <v>1</v>
      </c>
      <c r="D118" s="131" t="str">
        <f>INDEX('imp-questions'!F:F, MATCH(A118, 'imp-questions'!A:A, 0))</f>
        <v>Do you use repeatable deployment processes?</v>
      </c>
      <c r="E118" s="113" t="str">
        <f>CHAR(65+INDEX('imp-questions'!H:H, MATCH(A118, 'imp-questions'!A:A, 0)))</f>
        <v>A</v>
      </c>
      <c r="F118" s="151"/>
      <c r="G118" s="135">
        <f ca="1">IFERROR(INDEX(INDIRECT("Ans" &amp; E118 &amp; "TBL"), MATCH(F118, INDEX(INDIRECT("Ans" &amp; E118 &amp; "TBL"), 0, 1), 0), 2), 0)</f>
        <v>0</v>
      </c>
      <c r="H118" s="414">
        <f ca="1">IFERROR(AVERAGE(G118,G125),0)</f>
        <v>0</v>
      </c>
      <c r="I118" s="470"/>
      <c r="J118" s="541">
        <f ca="1">SUM(H118,H120,H122)</f>
        <v>0</v>
      </c>
      <c r="K118" s="95"/>
      <c r="L118" s="96"/>
      <c r="M118" s="96"/>
      <c r="N118" s="96"/>
      <c r="O118" s="96"/>
      <c r="P118" s="96"/>
      <c r="Q118" s="95"/>
      <c r="R118" s="95"/>
      <c r="S118" s="95"/>
      <c r="T118" s="95"/>
      <c r="U118" s="95"/>
      <c r="V118" s="95"/>
      <c r="W118" s="95"/>
      <c r="X118" s="95"/>
      <c r="Y118" s="95"/>
      <c r="Z118" s="95"/>
    </row>
    <row r="119" spans="1:26" ht="70.05" customHeight="1" x14ac:dyDescent="0.35">
      <c r="B119" s="475"/>
      <c r="C119" s="427"/>
      <c r="D119" s="428" t="str">
        <f>INDEX('imp-questions'!G:G, MATCH(A118, 'imp-questions'!A:A, 0))</f>
        <v>You have enough information to run the deployment processes
 Your deployment documentation up to date
 Your deployment documentation is accessible to relevant stakeholders
 You ensure that only defined qualified personnel can trigger a deployment
 You harden the tools that are used within the deployment process</v>
      </c>
      <c r="E119" s="429"/>
      <c r="F119" s="430"/>
      <c r="G119" s="137"/>
      <c r="H119" s="461"/>
      <c r="I119" s="471"/>
      <c r="J119" s="540"/>
      <c r="K119" s="95"/>
      <c r="L119" s="96"/>
      <c r="M119" s="96"/>
      <c r="N119" s="96"/>
      <c r="O119" s="96"/>
      <c r="P119" s="96"/>
      <c r="Q119" s="95"/>
      <c r="R119" s="95"/>
      <c r="S119" s="95"/>
      <c r="T119" s="95"/>
      <c r="U119" s="95"/>
      <c r="V119" s="95"/>
      <c r="W119" s="95"/>
      <c r="X119" s="95"/>
      <c r="Y119" s="95"/>
      <c r="Z119" s="95"/>
    </row>
    <row r="120" spans="1:26" x14ac:dyDescent="0.35">
      <c r="A120" s="89" t="s">
        <v>70</v>
      </c>
      <c r="B120" s="475"/>
      <c r="C120" s="172">
        <f>INDEX('imp-questions'!E:E, MATCH(A120, 'imp-questions'!A:A, 0))</f>
        <v>2</v>
      </c>
      <c r="D120" s="112" t="str">
        <f>INDEX('imp-questions'!F:F, MATCH(A120, 'imp-questions'!A:A, 0))</f>
        <v>Are deployment processes automated and employing security checks?</v>
      </c>
      <c r="E120" s="113" t="str">
        <f>CHAR(65+INDEX('imp-questions'!H:H, MATCH(A120, 'imp-questions'!A:A, 0)))</f>
        <v>A</v>
      </c>
      <c r="F120" s="150"/>
      <c r="G120" s="135">
        <f ca="1">IFERROR(INDEX(INDIRECT("Ans" &amp; E120 &amp; "TBL"), MATCH(F120, INDEX(INDIRECT("Ans" &amp; E120 &amp; "TBL"), 0, 1), 0), 2), 0)</f>
        <v>0</v>
      </c>
      <c r="H120" s="331">
        <f ca="1">IFERROR(AVERAGE(G120,G127),0)</f>
        <v>0</v>
      </c>
      <c r="I120" s="470"/>
      <c r="J120" s="141"/>
      <c r="K120" s="95"/>
      <c r="L120" s="96"/>
      <c r="M120" s="96"/>
      <c r="N120" s="96"/>
      <c r="O120" s="96"/>
      <c r="P120" s="96"/>
      <c r="Q120" s="95"/>
      <c r="R120" s="95"/>
      <c r="S120" s="95"/>
      <c r="T120" s="95"/>
      <c r="U120" s="95"/>
      <c r="V120" s="95"/>
      <c r="W120" s="95"/>
      <c r="X120" s="95"/>
      <c r="Y120" s="95"/>
      <c r="Z120" s="95"/>
    </row>
    <row r="121" spans="1:26" ht="56" customHeight="1" x14ac:dyDescent="0.35">
      <c r="B121" s="475"/>
      <c r="C121" s="427"/>
      <c r="D121" s="428" t="str">
        <f>INDEX('imp-questions'!G:G, MATCH(A120, 'imp-questions'!A:A, 0))</f>
        <v>Deployment processes are automated on all stages
 Deployment includes automated security testing procedures
 You alert responsible staff to identified vulnerabilities
 You have logs available for your past deployments for a defined period of time</v>
      </c>
      <c r="E121" s="429"/>
      <c r="F121" s="430"/>
      <c r="G121" s="137"/>
      <c r="H121" s="456"/>
      <c r="I121" s="471"/>
      <c r="J121" s="141"/>
      <c r="K121" s="95"/>
      <c r="L121" s="96"/>
      <c r="M121" s="96"/>
      <c r="N121" s="96"/>
      <c r="O121" s="96"/>
      <c r="P121" s="96"/>
      <c r="Q121" s="95"/>
      <c r="R121" s="95"/>
      <c r="S121" s="95"/>
      <c r="T121" s="95"/>
      <c r="U121" s="95"/>
      <c r="V121" s="95"/>
      <c r="W121" s="95"/>
      <c r="X121" s="95"/>
      <c r="Y121" s="95"/>
      <c r="Z121" s="95"/>
    </row>
    <row r="122" spans="1:26" x14ac:dyDescent="0.35">
      <c r="A122" s="89" t="s">
        <v>71</v>
      </c>
      <c r="B122" s="475"/>
      <c r="C122" s="172">
        <f>INDEX('imp-questions'!E:E, MATCH(A122, 'imp-questions'!A:A, 0))</f>
        <v>3</v>
      </c>
      <c r="D122" s="112" t="str">
        <f>INDEX('imp-questions'!F:F, MATCH(A122, 'imp-questions'!A:A, 0))</f>
        <v>Do you consistently validate the integrity of deployed artifacts?</v>
      </c>
      <c r="E122" s="113" t="str">
        <f>CHAR(65+INDEX('imp-questions'!H:H, MATCH(A122, 'imp-questions'!A:A, 0)))</f>
        <v>A</v>
      </c>
      <c r="F122" s="151"/>
      <c r="G122" s="135">
        <f ca="1">IFERROR(INDEX(INDIRECT("Ans" &amp; E122 &amp; "TBL"), MATCH(F122, INDEX(INDIRECT("Ans" &amp; E122 &amp; "TBL"), 0, 1), 0), 2), 0)</f>
        <v>0</v>
      </c>
      <c r="H122" s="414">
        <f ca="1">IFERROR(AVERAGE(G122,G129),0)</f>
        <v>0</v>
      </c>
      <c r="I122" s="470"/>
      <c r="J122" s="141"/>
      <c r="K122" s="95"/>
      <c r="L122" s="96"/>
      <c r="M122" s="96"/>
      <c r="N122" s="96"/>
      <c r="O122" s="96"/>
      <c r="P122" s="96"/>
      <c r="Q122" s="95"/>
      <c r="R122" s="95"/>
      <c r="S122" s="95"/>
      <c r="T122" s="95"/>
      <c r="U122" s="95"/>
      <c r="V122" s="95"/>
      <c r="W122" s="95"/>
      <c r="X122" s="95"/>
      <c r="Y122" s="95"/>
      <c r="Z122" s="95"/>
    </row>
    <row r="123" spans="1:26" ht="42" customHeight="1" x14ac:dyDescent="0.35">
      <c r="B123" s="476"/>
      <c r="C123" s="427"/>
      <c r="D123" s="428" t="str">
        <f>INDEX('imp-questions'!G:G, MATCH(A122, 'imp-questions'!A:A, 0))</f>
        <v>You prevent or roll back deployment if you detect an integrity breach
 The verification is done against signatures created during the build time
 If checking of signatures is not possible (e.g. externally build software), you introduce compensating measures</v>
      </c>
      <c r="E123" s="429"/>
      <c r="F123" s="430"/>
      <c r="G123" s="137"/>
      <c r="H123" s="456"/>
      <c r="I123" s="471"/>
      <c r="J123" s="141"/>
      <c r="K123" s="95"/>
      <c r="L123" s="96"/>
      <c r="M123" s="96"/>
      <c r="N123" s="96"/>
      <c r="O123" s="96"/>
      <c r="P123" s="96"/>
      <c r="Q123" s="95"/>
      <c r="R123" s="95"/>
      <c r="S123" s="95"/>
      <c r="T123" s="95"/>
      <c r="U123" s="95"/>
      <c r="V123" s="95"/>
      <c r="W123" s="95"/>
      <c r="X123" s="95"/>
      <c r="Y123" s="95"/>
      <c r="Z123" s="95"/>
    </row>
    <row r="124" spans="1:26" x14ac:dyDescent="0.35">
      <c r="B124" s="123"/>
      <c r="C124" s="124"/>
      <c r="D124" s="125"/>
      <c r="E124" s="125"/>
      <c r="F124" s="125"/>
      <c r="G124" s="125"/>
      <c r="H124" s="153"/>
      <c r="I124" s="459"/>
      <c r="J124" s="121"/>
      <c r="K124" s="95"/>
      <c r="L124" s="96"/>
      <c r="M124" s="96"/>
      <c r="N124" s="96"/>
      <c r="O124" s="96"/>
      <c r="P124" s="96"/>
      <c r="Q124" s="95"/>
      <c r="R124" s="95"/>
      <c r="S124" s="95"/>
      <c r="T124" s="95"/>
      <c r="U124" s="95"/>
      <c r="V124" s="95"/>
      <c r="W124" s="95"/>
      <c r="X124" s="95"/>
      <c r="Y124" s="95"/>
      <c r="Z124" s="95"/>
    </row>
    <row r="125" spans="1:26" ht="15" customHeight="1" x14ac:dyDescent="0.35">
      <c r="A125" s="89" t="s">
        <v>72</v>
      </c>
      <c r="B125" s="500" t="str">
        <f>INDEX('imp-questions'!D:D, MATCH(A125, 'imp-questions'!A:A, 0))</f>
        <v>Secret Management</v>
      </c>
      <c r="C125" s="179">
        <f>INDEX('imp-questions'!E:E, MATCH(A125, 'imp-questions'!A:A, 0))</f>
        <v>1</v>
      </c>
      <c r="D125" s="112" t="str">
        <f>INDEX('imp-questions'!F:F, MATCH(A125, 'imp-questions'!A:A, 0))</f>
        <v>Do you limit access to application secrets according to the least privilege principle?</v>
      </c>
      <c r="E125" s="113" t="str">
        <f>CHAR(65+INDEX('imp-questions'!H:H, MATCH(A125, 'imp-questions'!A:A, 0)))</f>
        <v>A</v>
      </c>
      <c r="F125" s="150"/>
      <c r="G125" s="135">
        <f ca="1">IFERROR(INDEX(INDIRECT("Ans" &amp; E125 &amp; "TBL"), MATCH(F125, INDEX(INDIRECT("Ans" &amp; E125 &amp; "TBL"), 0, 1), 0), 2), 0)</f>
        <v>0</v>
      </c>
      <c r="H125" s="457"/>
      <c r="I125" s="492"/>
      <c r="J125" s="94"/>
      <c r="K125" s="95"/>
      <c r="L125" s="96"/>
      <c r="M125" s="96"/>
      <c r="N125" s="96"/>
      <c r="O125" s="96"/>
      <c r="P125" s="96"/>
      <c r="Q125" s="95"/>
      <c r="R125" s="95"/>
      <c r="S125" s="95"/>
      <c r="T125" s="95"/>
      <c r="U125" s="95"/>
      <c r="V125" s="95"/>
      <c r="W125" s="95"/>
      <c r="X125" s="95"/>
      <c r="Y125" s="95"/>
      <c r="Z125" s="95"/>
    </row>
    <row r="126" spans="1:26" ht="42" customHeight="1" x14ac:dyDescent="0.35">
      <c r="B126" s="475"/>
      <c r="C126" s="427"/>
      <c r="D126" s="428" t="str">
        <f>INDEX('imp-questions'!G:G, MATCH(A125, 'imp-questions'!A:A, 0))</f>
        <v>You store production secrets protected in a secured location
 Developers do not have access to production secrets
 Production secrets are not available in non-production environments</v>
      </c>
      <c r="E126" s="429"/>
      <c r="F126" s="430"/>
      <c r="G126" s="137"/>
      <c r="H126" s="460"/>
      <c r="I126" s="471"/>
      <c r="J126" s="94"/>
      <c r="K126" s="95"/>
      <c r="L126" s="96"/>
      <c r="M126" s="96"/>
      <c r="N126" s="96"/>
      <c r="O126" s="96"/>
      <c r="P126" s="96"/>
      <c r="Q126" s="95"/>
      <c r="R126" s="95"/>
      <c r="S126" s="95"/>
      <c r="T126" s="95"/>
      <c r="U126" s="95"/>
      <c r="V126" s="95"/>
      <c r="W126" s="95"/>
      <c r="X126" s="95"/>
      <c r="Y126" s="95"/>
      <c r="Z126" s="95"/>
    </row>
    <row r="127" spans="1:26" x14ac:dyDescent="0.35">
      <c r="A127" s="89" t="s">
        <v>73</v>
      </c>
      <c r="B127" s="475"/>
      <c r="C127" s="172">
        <f>INDEX('imp-questions'!E:E, MATCH(A127, 'imp-questions'!A:A, 0))</f>
        <v>2</v>
      </c>
      <c r="D127" s="112" t="str">
        <f>INDEX('imp-questions'!F:F, MATCH(A127, 'imp-questions'!A:A, 0))</f>
        <v>Do you inject production secrets into configuration files during deployment?</v>
      </c>
      <c r="E127" s="113" t="str">
        <f>CHAR(65+INDEX('imp-questions'!H:H, MATCH(A127, 'imp-questions'!A:A, 0)))</f>
        <v>A</v>
      </c>
      <c r="F127" s="150"/>
      <c r="G127" s="135">
        <f ca="1">IFERROR(INDEX(INDIRECT("Ans" &amp; E127 &amp; "TBL"), MATCH(F127, INDEX(INDIRECT("Ans" &amp; E127 &amp; "TBL"), 0, 1), 0), 2), 0)</f>
        <v>0</v>
      </c>
      <c r="H127" s="457"/>
      <c r="I127" s="492"/>
      <c r="J127" s="94"/>
      <c r="K127" s="95"/>
      <c r="L127" s="96"/>
      <c r="M127" s="96"/>
      <c r="N127" s="96"/>
      <c r="O127" s="96"/>
      <c r="P127" s="96"/>
      <c r="Q127" s="95"/>
      <c r="R127" s="95"/>
      <c r="S127" s="95"/>
      <c r="T127" s="95"/>
      <c r="U127" s="95"/>
      <c r="V127" s="95"/>
      <c r="W127" s="95"/>
      <c r="X127" s="95"/>
      <c r="Y127" s="95"/>
      <c r="Z127" s="95"/>
    </row>
    <row r="128" spans="1:26" ht="42" customHeight="1" x14ac:dyDescent="0.35">
      <c r="B128" s="475"/>
      <c r="C128" s="427"/>
      <c r="D128" s="428" t="str">
        <f>INDEX('imp-questions'!G:G, MATCH(A127, 'imp-questions'!A:A, 0))</f>
        <v>Source code files no longer contain active application secrets
 Under normal circumstances, no humans access secrets during deployment procedures
 You log and alert when abnormal secrets access is attempted</v>
      </c>
      <c r="E128" s="429"/>
      <c r="F128" s="430"/>
      <c r="G128" s="137"/>
      <c r="H128" s="460"/>
      <c r="I128" s="471"/>
      <c r="J128" s="94"/>
      <c r="K128" s="95"/>
      <c r="L128" s="96"/>
      <c r="M128" s="96"/>
      <c r="N128" s="96"/>
      <c r="O128" s="96"/>
      <c r="P128" s="96"/>
      <c r="Q128" s="95"/>
      <c r="R128" s="95"/>
      <c r="S128" s="95"/>
      <c r="T128" s="95"/>
      <c r="U128" s="95"/>
      <c r="V128" s="95"/>
      <c r="W128" s="95"/>
      <c r="X128" s="95"/>
      <c r="Y128" s="95"/>
      <c r="Z128" s="95"/>
    </row>
    <row r="129" spans="1:26" x14ac:dyDescent="0.35">
      <c r="A129" s="89" t="s">
        <v>74</v>
      </c>
      <c r="B129" s="475"/>
      <c r="C129" s="172">
        <f>INDEX('imp-questions'!E:E, MATCH(A129, 'imp-questions'!A:A, 0))</f>
        <v>3</v>
      </c>
      <c r="D129" s="112" t="str">
        <f>INDEX('imp-questions'!F:F, MATCH(A129, 'imp-questions'!A:A, 0))</f>
        <v>Do you practice proper lifecycle management for application secrets?</v>
      </c>
      <c r="E129" s="113" t="str">
        <f>CHAR(65+INDEX('imp-questions'!H:H, MATCH(A129, 'imp-questions'!A:A, 0)))</f>
        <v>A</v>
      </c>
      <c r="F129" s="150"/>
      <c r="G129" s="135">
        <f ca="1">IFERROR(INDEX(INDIRECT("Ans" &amp; E129 &amp; "TBL"), MATCH(F129, INDEX(INDIRECT("Ans" &amp; E129 &amp; "TBL"), 0, 1), 0), 2), 0)</f>
        <v>0</v>
      </c>
      <c r="H129" s="457"/>
      <c r="I129" s="492"/>
      <c r="J129" s="94"/>
      <c r="K129" s="95"/>
      <c r="L129" s="96"/>
      <c r="M129" s="96"/>
      <c r="N129" s="96"/>
      <c r="O129" s="96"/>
      <c r="P129" s="96"/>
      <c r="Q129" s="95"/>
      <c r="R129" s="95"/>
      <c r="S129" s="95"/>
      <c r="T129" s="95"/>
      <c r="U129" s="95"/>
      <c r="V129" s="95"/>
      <c r="W129" s="95"/>
      <c r="X129" s="95"/>
      <c r="Y129" s="95"/>
      <c r="Z129" s="95"/>
    </row>
    <row r="130" spans="1:26" ht="42" customHeight="1" x14ac:dyDescent="0.35">
      <c r="B130" s="476"/>
      <c r="C130" s="427"/>
      <c r="D130" s="431" t="str">
        <f>INDEX('imp-questions'!G:G, MATCH(A129, 'imp-questions'!A:A, 0))</f>
        <v>You generate and synchronize secrets using a vetted solution
 Secrets are different between different application instances
 Secrets are regularly updated</v>
      </c>
      <c r="E130" s="429"/>
      <c r="F130" s="430"/>
      <c r="G130" s="137"/>
      <c r="H130" s="460"/>
      <c r="I130" s="471"/>
      <c r="J130" s="94"/>
      <c r="K130" s="95"/>
      <c r="L130" s="96"/>
      <c r="M130" s="96"/>
      <c r="N130" s="96"/>
      <c r="O130" s="96"/>
      <c r="P130" s="96"/>
      <c r="Q130" s="95"/>
      <c r="R130" s="95"/>
      <c r="S130" s="95"/>
      <c r="T130" s="95"/>
      <c r="U130" s="95"/>
      <c r="V130" s="95"/>
      <c r="W130" s="95"/>
      <c r="X130" s="95"/>
      <c r="Y130" s="95"/>
      <c r="Z130" s="95"/>
    </row>
    <row r="131" spans="1:26" x14ac:dyDescent="0.35">
      <c r="B131" s="546" t="s">
        <v>75</v>
      </c>
      <c r="C131" s="498"/>
      <c r="D131" s="499"/>
      <c r="E131" s="180"/>
      <c r="F131" s="176" t="s">
        <v>15</v>
      </c>
      <c r="G131" s="176"/>
      <c r="H131" s="177"/>
      <c r="I131" s="467" t="s">
        <v>16</v>
      </c>
      <c r="J131" s="178" t="s">
        <v>17</v>
      </c>
      <c r="K131" s="95"/>
      <c r="L131" s="96"/>
      <c r="M131" s="96"/>
      <c r="N131" s="96"/>
      <c r="O131" s="96"/>
      <c r="P131" s="96"/>
      <c r="Q131" s="95"/>
      <c r="R131" s="95"/>
      <c r="S131" s="95"/>
      <c r="T131" s="95"/>
      <c r="U131" s="95"/>
      <c r="V131" s="95"/>
      <c r="W131" s="95"/>
      <c r="X131" s="95"/>
      <c r="Y131" s="95"/>
      <c r="Z131" s="95"/>
    </row>
    <row r="132" spans="1:26" ht="14" customHeight="1" x14ac:dyDescent="0.35">
      <c r="A132" s="89" t="s">
        <v>76</v>
      </c>
      <c r="B132" s="493" t="str">
        <f>INDEX('imp-questions'!D:D, MATCH(A132, 'imp-questions'!A:A, 0))</f>
        <v>Defect Tracking</v>
      </c>
      <c r="C132" s="179">
        <f>INDEX('imp-questions'!E:E, MATCH(A132, 'imp-questions'!A:A, 0))</f>
        <v>1</v>
      </c>
      <c r="D132" s="131" t="str">
        <f>INDEX('imp-questions'!F:F, MATCH(A132, 'imp-questions'!A:A, 0))</f>
        <v>Do you track all known security defects in accessible locations?</v>
      </c>
      <c r="E132" s="113" t="str">
        <f>CHAR(65+INDEX('imp-questions'!H:H, MATCH(A132, 'imp-questions'!A:A, 0)))</f>
        <v>A</v>
      </c>
      <c r="F132" s="150"/>
      <c r="G132" s="135">
        <f ca="1">IFERROR(INDEX(INDIRECT("Ans" &amp; E132 &amp; "TBL"), MATCH(F132, INDEX(INDIRECT("Ans" &amp; E132 &amp; "TBL"), 0, 1), 0), 2), 0)</f>
        <v>0</v>
      </c>
      <c r="H132" s="127">
        <f ca="1">IFERROR(AVERAGE(G132,G139),0)</f>
        <v>0</v>
      </c>
      <c r="I132" s="477"/>
      <c r="J132" s="538">
        <f ca="1">SUM(H132,H134,H136)</f>
        <v>0</v>
      </c>
      <c r="K132" s="95"/>
      <c r="L132" s="96"/>
      <c r="M132" s="96"/>
      <c r="N132" s="96"/>
      <c r="O132" s="96"/>
      <c r="P132" s="96"/>
      <c r="Q132" s="95"/>
      <c r="R132" s="95"/>
      <c r="S132" s="95"/>
      <c r="T132" s="95"/>
      <c r="U132" s="95"/>
      <c r="V132" s="95"/>
      <c r="W132" s="95"/>
      <c r="X132" s="95"/>
      <c r="Y132" s="95"/>
      <c r="Z132" s="95"/>
    </row>
    <row r="133" spans="1:26" ht="56" customHeight="1" x14ac:dyDescent="0.35">
      <c r="B133" s="475"/>
      <c r="C133" s="427"/>
      <c r="D133" s="428" t="str">
        <f>INDEX('imp-questions'!G:G, MATCH(A132, 'imp-questions'!A:A, 0))</f>
        <v>You can easily get an overview of all security defects impacting one application
 You have at least a rudimentary classification scheme in place
 The process includes a strategy for handling false positives and duplicate entries
 The defect management system covers defects from various sources and activities</v>
      </c>
      <c r="E133" s="429"/>
      <c r="F133" s="430"/>
      <c r="G133" s="137"/>
      <c r="H133" s="139"/>
      <c r="I133" s="478"/>
      <c r="J133" s="533"/>
      <c r="K133" s="95"/>
      <c r="L133" s="96"/>
      <c r="M133" s="96"/>
      <c r="N133" s="96"/>
      <c r="O133" s="96"/>
      <c r="P133" s="96"/>
      <c r="Q133" s="95"/>
      <c r="R133" s="95"/>
      <c r="S133" s="95"/>
      <c r="T133" s="95"/>
      <c r="U133" s="95"/>
      <c r="V133" s="95"/>
      <c r="W133" s="95"/>
      <c r="X133" s="95"/>
      <c r="Y133" s="95"/>
      <c r="Z133" s="95"/>
    </row>
    <row r="134" spans="1:26" x14ac:dyDescent="0.35">
      <c r="A134" s="89" t="s">
        <v>77</v>
      </c>
      <c r="B134" s="475"/>
      <c r="C134" s="172">
        <f>INDEX('imp-questions'!E:E, MATCH(A134, 'imp-questions'!A:A, 0))</f>
        <v>2</v>
      </c>
      <c r="D134" s="112" t="str">
        <f>INDEX('imp-questions'!F:F, MATCH(A134, 'imp-questions'!A:A, 0))</f>
        <v>Do you keep an overview of the state of security defects across the organization?</v>
      </c>
      <c r="E134" s="113" t="str">
        <f>CHAR(65+INDEX('imp-questions'!H:H, MATCH(A134, 'imp-questions'!A:A, 0)))</f>
        <v>A</v>
      </c>
      <c r="F134" s="150"/>
      <c r="G134" s="135">
        <f ca="1">IFERROR(INDEX(INDIRECT("Ans" &amp; E134 &amp; "TBL"), MATCH(F134, INDEX(INDIRECT("Ans" &amp; E134 &amp; "TBL"), 0, 1), 0), 2), 0)</f>
        <v>0</v>
      </c>
      <c r="H134" s="127">
        <f ca="1">IFERROR(AVERAGE(G134,G141),0)</f>
        <v>0</v>
      </c>
      <c r="I134" s="488"/>
      <c r="J134" s="141"/>
      <c r="K134" s="95"/>
      <c r="L134" s="96"/>
      <c r="M134" s="96"/>
      <c r="N134" s="96"/>
      <c r="O134" s="96"/>
      <c r="P134" s="96"/>
      <c r="Q134" s="95"/>
      <c r="R134" s="95"/>
      <c r="S134" s="95"/>
      <c r="T134" s="95"/>
      <c r="U134" s="95"/>
      <c r="V134" s="95"/>
      <c r="W134" s="95"/>
      <c r="X134" s="95"/>
      <c r="Y134" s="95"/>
      <c r="Z134" s="95"/>
    </row>
    <row r="135" spans="1:26" ht="42" customHeight="1" x14ac:dyDescent="0.35">
      <c r="B135" s="475"/>
      <c r="C135" s="427"/>
      <c r="D135" s="428" t="str">
        <f>INDEX('imp-questions'!G:G, MATCH(A134, 'imp-questions'!A:A, 0))</f>
        <v>A single severity scheme is applied to all defects across the organization
 The scheme includes SLAs for fixing particular severity classes
 You regularly report compliance to SLAs</v>
      </c>
      <c r="E135" s="429"/>
      <c r="F135" s="430"/>
      <c r="G135" s="137"/>
      <c r="H135" s="142"/>
      <c r="I135" s="480"/>
      <c r="J135" s="141"/>
      <c r="K135" s="95"/>
      <c r="L135" s="96"/>
      <c r="M135" s="96"/>
      <c r="N135" s="96"/>
      <c r="O135" s="96"/>
      <c r="P135" s="96"/>
      <c r="Q135" s="95"/>
      <c r="R135" s="95"/>
      <c r="S135" s="95"/>
      <c r="T135" s="95"/>
      <c r="U135" s="95"/>
      <c r="V135" s="95"/>
      <c r="W135" s="95"/>
      <c r="X135" s="95"/>
      <c r="Y135" s="95"/>
      <c r="Z135" s="95"/>
    </row>
    <row r="136" spans="1:26" x14ac:dyDescent="0.35">
      <c r="A136" s="89" t="s">
        <v>78</v>
      </c>
      <c r="B136" s="475"/>
      <c r="C136" s="172">
        <f>INDEX('imp-questions'!E:E, MATCH(A136, 'imp-questions'!A:A, 0))</f>
        <v>3</v>
      </c>
      <c r="D136" s="112" t="str">
        <f>INDEX('imp-questions'!F:F, MATCH(A136, 'imp-questions'!A:A, 0))</f>
        <v>Do you enforce SLAs for fixing security defects?</v>
      </c>
      <c r="E136" s="113" t="str">
        <f>CHAR(65+INDEX('imp-questions'!H:H, MATCH(A136, 'imp-questions'!A:A, 0)))</f>
        <v>A</v>
      </c>
      <c r="F136" s="150"/>
      <c r="G136" s="135">
        <f ca="1">IFERROR(INDEX(INDIRECT("Ans" &amp; E136 &amp; "TBL"), MATCH(F136, INDEX(INDIRECT("Ans" &amp; E136 &amp; "TBL"), 0, 1), 0), 2), 0)</f>
        <v>0</v>
      </c>
      <c r="H136" s="127">
        <f ca="1">IFERROR(AVERAGE(G136,G143),0)</f>
        <v>0</v>
      </c>
      <c r="I136" s="479"/>
      <c r="J136" s="141"/>
      <c r="K136" s="95"/>
      <c r="L136" s="96"/>
      <c r="M136" s="96"/>
      <c r="N136" s="96"/>
      <c r="O136" s="96"/>
      <c r="P136" s="96"/>
      <c r="Q136" s="95"/>
      <c r="R136" s="95"/>
      <c r="S136" s="95"/>
      <c r="T136" s="95"/>
      <c r="U136" s="95"/>
      <c r="V136" s="95"/>
      <c r="W136" s="95"/>
      <c r="X136" s="95"/>
      <c r="Y136" s="95"/>
      <c r="Z136" s="95"/>
    </row>
    <row r="137" spans="1:26" ht="28.05" customHeight="1" x14ac:dyDescent="0.35">
      <c r="B137" s="476"/>
      <c r="C137" s="427"/>
      <c r="D137" s="428" t="str">
        <f>INDEX('imp-questions'!G:G, MATCH(A136, 'imp-questions'!A:A, 0))</f>
        <v>You automatically alert of SLA breaches and transfer respective defects to the risk management process
 You integrate relevant tooling (e.g. monitoring, build, deployment) with the defect management system</v>
      </c>
      <c r="E137" s="429"/>
      <c r="F137" s="430"/>
      <c r="G137" s="137"/>
      <c r="H137" s="142"/>
      <c r="I137" s="480"/>
      <c r="J137" s="141"/>
      <c r="K137" s="95"/>
      <c r="L137" s="96"/>
      <c r="M137" s="96"/>
      <c r="N137" s="96"/>
      <c r="O137" s="96"/>
      <c r="P137" s="96"/>
      <c r="Q137" s="95"/>
      <c r="R137" s="95"/>
      <c r="S137" s="95"/>
      <c r="T137" s="95"/>
      <c r="U137" s="95"/>
      <c r="V137" s="95"/>
      <c r="W137" s="95"/>
      <c r="X137" s="95"/>
      <c r="Y137" s="95"/>
      <c r="Z137" s="95"/>
    </row>
    <row r="138" spans="1:26" x14ac:dyDescent="0.35">
      <c r="B138" s="123"/>
      <c r="C138" s="124"/>
      <c r="D138" s="125"/>
      <c r="E138" s="125"/>
      <c r="F138" s="125"/>
      <c r="G138" s="125"/>
      <c r="H138" s="153"/>
      <c r="I138" s="126"/>
      <c r="J138" s="121"/>
      <c r="K138" s="95"/>
      <c r="L138" s="96"/>
      <c r="M138" s="96"/>
      <c r="N138" s="96"/>
      <c r="O138" s="96"/>
      <c r="P138" s="96"/>
      <c r="Q138" s="95"/>
      <c r="R138" s="95"/>
      <c r="S138" s="95"/>
      <c r="T138" s="95"/>
      <c r="U138" s="95"/>
      <c r="V138" s="95"/>
      <c r="W138" s="95"/>
      <c r="X138" s="95"/>
      <c r="Y138" s="95"/>
      <c r="Z138" s="95"/>
    </row>
    <row r="139" spans="1:26" ht="15" customHeight="1" x14ac:dyDescent="0.35">
      <c r="A139" s="89" t="s">
        <v>79</v>
      </c>
      <c r="B139" s="500" t="str">
        <f>INDEX('imp-questions'!D:D, MATCH(A139, 'imp-questions'!A:A, 0))</f>
        <v>Metrics and Feedback</v>
      </c>
      <c r="C139" s="179">
        <f>INDEX('imp-questions'!E:E, MATCH(A139, 'imp-questions'!A:A, 0))</f>
        <v>1</v>
      </c>
      <c r="D139" s="112" t="str">
        <f>INDEX('imp-questions'!F:F, MATCH(A139, 'imp-questions'!A:A, 0))</f>
        <v>Do you use basic metrics about recorded security defects to carry out quick win improvement activities?</v>
      </c>
      <c r="E139" s="113" t="str">
        <f>CHAR(65+INDEX('imp-questions'!H:H, MATCH(A139, 'imp-questions'!A:A, 0)))</f>
        <v>A</v>
      </c>
      <c r="F139" s="150"/>
      <c r="G139" s="135">
        <f ca="1">IFERROR(INDEX(INDIRECT("Ans" &amp; E139 &amp; "TBL"), MATCH(F139, INDEX(INDIRECT("Ans" &amp; E139 &amp; "TBL"), 0, 1), 0), 2), 0)</f>
        <v>0</v>
      </c>
      <c r="H139" s="155"/>
      <c r="I139" s="494"/>
      <c r="J139" s="121"/>
      <c r="K139" s="95"/>
      <c r="L139" s="96"/>
      <c r="M139" s="96"/>
      <c r="N139" s="96"/>
      <c r="O139" s="96"/>
      <c r="P139" s="96"/>
      <c r="Q139" s="95"/>
      <c r="R139" s="95"/>
      <c r="S139" s="95"/>
      <c r="T139" s="95"/>
      <c r="U139" s="95"/>
      <c r="V139" s="95"/>
      <c r="W139" s="95"/>
      <c r="X139" s="95"/>
      <c r="Y139" s="95"/>
      <c r="Z139" s="95"/>
    </row>
    <row r="140" spans="1:26" ht="42" customHeight="1" x14ac:dyDescent="0.35">
      <c r="B140" s="475"/>
      <c r="C140" s="427"/>
      <c r="D140" s="428" t="str">
        <f>INDEX('imp-questions'!G:G, MATCH(A139, 'imp-questions'!A:A, 0))</f>
        <v>You analyzed your recorded metrics at least once in the last year
 At least basic information about this initiative is recorded and available
 You have identified and carried out at least one quick win activity based on the data</v>
      </c>
      <c r="E140" s="429"/>
      <c r="F140" s="430"/>
      <c r="G140" s="137"/>
      <c r="H140" s="156"/>
      <c r="I140" s="495"/>
      <c r="J140" s="121"/>
      <c r="K140" s="95"/>
      <c r="L140" s="96"/>
      <c r="M140" s="96"/>
      <c r="N140" s="96"/>
      <c r="O140" s="96"/>
      <c r="P140" s="96"/>
      <c r="Q140" s="95"/>
      <c r="R140" s="95"/>
      <c r="S140" s="95"/>
      <c r="T140" s="95"/>
      <c r="U140" s="95"/>
      <c r="V140" s="95"/>
      <c r="W140" s="95"/>
      <c r="X140" s="95"/>
      <c r="Y140" s="95"/>
      <c r="Z140" s="95"/>
    </row>
    <row r="141" spans="1:26" x14ac:dyDescent="0.35">
      <c r="A141" s="89" t="s">
        <v>80</v>
      </c>
      <c r="B141" s="475"/>
      <c r="C141" s="172">
        <f>INDEX('imp-questions'!E:E, MATCH(A141, 'imp-questions'!A:A, 0))</f>
        <v>2</v>
      </c>
      <c r="D141" s="112" t="str">
        <f>INDEX('imp-questions'!F:F, MATCH(A141, 'imp-questions'!A:A, 0))</f>
        <v>Do you improve your security assurance program upon standardized metrics?</v>
      </c>
      <c r="E141" s="113" t="str">
        <f>CHAR(65+INDEX('imp-questions'!H:H, MATCH(A141, 'imp-questions'!A:A, 0)))</f>
        <v>A</v>
      </c>
      <c r="F141" s="150"/>
      <c r="G141" s="135">
        <f ca="1">IFERROR(INDEX(INDIRECT("Ans" &amp; E141 &amp; "TBL"), MATCH(F141, INDEX(INDIRECT("Ans" &amp; E141 &amp; "TBL"), 0, 1), 0), 2), 0)</f>
        <v>0</v>
      </c>
      <c r="H141" s="155"/>
      <c r="I141" s="494"/>
      <c r="J141" s="121"/>
      <c r="K141" s="95"/>
      <c r="L141" s="96"/>
      <c r="M141" s="96"/>
      <c r="N141" s="96"/>
      <c r="O141" s="96"/>
      <c r="P141" s="96"/>
      <c r="Q141" s="95"/>
      <c r="R141" s="95"/>
      <c r="S141" s="95"/>
      <c r="T141" s="95"/>
      <c r="U141" s="95"/>
      <c r="V141" s="95"/>
      <c r="W141" s="95"/>
      <c r="X141" s="95"/>
      <c r="Y141" s="95"/>
      <c r="Z141" s="95"/>
    </row>
    <row r="142" spans="1:26" ht="42" customHeight="1" x14ac:dyDescent="0.35">
      <c r="B142" s="475"/>
      <c r="C142" s="427"/>
      <c r="D142" s="428" t="str">
        <f>INDEX('imp-questions'!G:G, MATCH(A141, 'imp-questions'!A:A, 0))</f>
        <v>You document metrics for defect classification and categorization and keep them up to date
 Executive management regularly receives information about defects and has acted upon it in the last year
 You regularly share technical details about security defects among teams</v>
      </c>
      <c r="E142" s="429"/>
      <c r="F142" s="430"/>
      <c r="G142" s="137"/>
      <c r="H142" s="156"/>
      <c r="I142" s="495"/>
      <c r="J142" s="121"/>
      <c r="K142" s="95"/>
      <c r="L142" s="96"/>
      <c r="M142" s="96"/>
      <c r="N142" s="96"/>
      <c r="O142" s="96"/>
      <c r="P142" s="96"/>
      <c r="Q142" s="95"/>
      <c r="R142" s="95"/>
      <c r="S142" s="95"/>
      <c r="T142" s="95"/>
      <c r="U142" s="95"/>
      <c r="V142" s="95"/>
      <c r="W142" s="95"/>
      <c r="X142" s="95"/>
      <c r="Y142" s="95"/>
      <c r="Z142" s="95"/>
    </row>
    <row r="143" spans="1:26" ht="15" customHeight="1" x14ac:dyDescent="0.35">
      <c r="A143" s="89" t="s">
        <v>81</v>
      </c>
      <c r="B143" s="475"/>
      <c r="C143" s="172">
        <f>INDEX('imp-questions'!E:E, MATCH(A143, 'imp-questions'!A:A, 0))</f>
        <v>3</v>
      </c>
      <c r="D143" s="112" t="str">
        <f>INDEX('imp-questions'!F:F, MATCH(A143, 'imp-questions'!A:A, 0))</f>
        <v>Do you regularly evaluate the effectiveness of your security metrics so that its input helps drive your security strategy?</v>
      </c>
      <c r="E143" s="113" t="str">
        <f>CHAR(65+INDEX('imp-questions'!H:H, MATCH(A143, 'imp-questions'!A:A, 0)))</f>
        <v>A</v>
      </c>
      <c r="F143" s="150"/>
      <c r="G143" s="135">
        <f ca="1">IFERROR(INDEX(INDIRECT("Ans" &amp; E143 &amp; "TBL"), MATCH(F143, INDEX(INDIRECT("Ans" &amp; E143 &amp; "TBL"), 0, 1), 0), 2), 0)</f>
        <v>0</v>
      </c>
      <c r="H143" s="155"/>
      <c r="I143" s="494"/>
      <c r="J143" s="121"/>
      <c r="K143" s="95"/>
      <c r="L143" s="96"/>
      <c r="M143" s="96"/>
      <c r="N143" s="96"/>
      <c r="O143" s="96"/>
      <c r="P143" s="96"/>
      <c r="Q143" s="95"/>
      <c r="R143" s="95"/>
      <c r="S143" s="95"/>
      <c r="T143" s="95"/>
      <c r="U143" s="95"/>
      <c r="V143" s="95"/>
      <c r="W143" s="95"/>
      <c r="X143" s="95"/>
      <c r="Y143" s="95"/>
      <c r="Z143" s="95"/>
    </row>
    <row r="144" spans="1:26" ht="56" customHeight="1" x14ac:dyDescent="0.35">
      <c r="B144" s="476"/>
      <c r="C144" s="427"/>
      <c r="D144" s="431" t="str">
        <f>INDEX('imp-questions'!G:G, MATCH(A143, 'imp-questions'!A:A, 0))</f>
        <v>You have analyzed the effectiveness of the security metrics at least once in the last year
 Where possible, you verify the correctness of the data automatically
 The metrics is aggregated with other sources like threat intelligence or incident management
 You derived at least one strategic activity from the metrics in the last year</v>
      </c>
      <c r="E144" s="432"/>
      <c r="F144" s="433"/>
      <c r="G144" s="166"/>
      <c r="H144" s="156"/>
      <c r="I144" s="495"/>
      <c r="J144" s="121"/>
      <c r="K144" s="95"/>
      <c r="L144" s="96"/>
      <c r="M144" s="96"/>
      <c r="N144" s="96"/>
      <c r="O144" s="96"/>
      <c r="P144" s="96"/>
      <c r="Q144" s="95"/>
      <c r="R144" s="95"/>
      <c r="S144" s="95"/>
      <c r="T144" s="95"/>
      <c r="U144" s="95"/>
      <c r="V144" s="95"/>
      <c r="W144" s="95"/>
      <c r="X144" s="95"/>
      <c r="Y144" s="95"/>
      <c r="Z144" s="95"/>
    </row>
    <row r="145" spans="1:26" ht="22.25" customHeight="1" x14ac:dyDescent="0.35">
      <c r="B145" s="531" t="s">
        <v>82</v>
      </c>
      <c r="C145" s="482"/>
      <c r="D145" s="482"/>
      <c r="E145" s="482"/>
      <c r="F145" s="482"/>
      <c r="G145" s="482"/>
      <c r="H145" s="482"/>
      <c r="I145" s="482"/>
      <c r="J145" s="482"/>
      <c r="K145" s="95"/>
      <c r="L145" s="96"/>
      <c r="M145" s="96"/>
      <c r="N145" s="96"/>
      <c r="O145" s="96"/>
      <c r="P145" s="96"/>
      <c r="Q145" s="95"/>
      <c r="R145" s="95"/>
      <c r="S145" s="95"/>
      <c r="T145" s="95"/>
      <c r="U145" s="95"/>
      <c r="V145" s="95"/>
      <c r="W145" s="95"/>
      <c r="X145" s="95"/>
      <c r="Y145" s="95"/>
      <c r="Z145" s="95"/>
    </row>
    <row r="146" spans="1:26" x14ac:dyDescent="0.35">
      <c r="B146" s="552" t="s">
        <v>83</v>
      </c>
      <c r="C146" s="527"/>
      <c r="D146" s="495"/>
      <c r="E146" s="182"/>
      <c r="F146" s="181" t="s">
        <v>15</v>
      </c>
      <c r="G146" s="181"/>
      <c r="H146" s="183"/>
      <c r="I146" s="184" t="s">
        <v>16</v>
      </c>
      <c r="J146" s="184" t="s">
        <v>17</v>
      </c>
      <c r="K146" s="95"/>
      <c r="L146" s="96"/>
      <c r="M146" s="96"/>
      <c r="N146" s="96"/>
      <c r="O146" s="96"/>
      <c r="P146" s="96"/>
      <c r="Q146" s="95"/>
      <c r="R146" s="95"/>
      <c r="S146" s="95"/>
      <c r="T146" s="95"/>
      <c r="U146" s="95"/>
      <c r="V146" s="95"/>
      <c r="W146" s="95"/>
      <c r="X146" s="95"/>
      <c r="Y146" s="95"/>
      <c r="Z146" s="95"/>
    </row>
    <row r="147" spans="1:26" ht="12.75" customHeight="1" x14ac:dyDescent="0.35">
      <c r="A147" s="89" t="s">
        <v>84</v>
      </c>
      <c r="B147" s="528" t="str">
        <f>INDEX('imp-questions'!D:D, MATCH(A147, 'imp-questions'!A:A, 0))</f>
        <v>Architecture Validation</v>
      </c>
      <c r="C147" s="185">
        <f>INDEX('imp-questions'!E:E, MATCH(A147, 'imp-questions'!A:A, 0))</f>
        <v>1</v>
      </c>
      <c r="D147" s="112" t="str">
        <f>INDEX('imp-questions'!F:F, MATCH(A147, 'imp-questions'!A:A, 0))</f>
        <v>Do you review the application architecture for key security objectives on an ad-hoc basis?</v>
      </c>
      <c r="E147" s="113" t="str">
        <f>CHAR(65+INDEX('imp-questions'!H:H, MATCH(A147, 'imp-questions'!A:A, 0)))</f>
        <v>A</v>
      </c>
      <c r="F147" s="150"/>
      <c r="G147" s="135">
        <f ca="1">IFERROR(INDEX(INDIRECT("Ans" &amp; E147 &amp; "TBL"), MATCH(F147, INDEX(INDIRECT("Ans" &amp; E147 &amp; "TBL"), 0, 1), 0), 2), 0)</f>
        <v>0</v>
      </c>
      <c r="H147" s="127">
        <f ca="1">IFERROR(AVERAGE(G147,G154),0)</f>
        <v>0</v>
      </c>
      <c r="I147" s="477"/>
      <c r="J147" s="532">
        <f ca="1">SUM(H147,H149,H151)</f>
        <v>0</v>
      </c>
      <c r="K147" s="95"/>
      <c r="L147" s="96"/>
      <c r="M147" s="96"/>
      <c r="N147" s="96"/>
      <c r="O147" s="96"/>
      <c r="P147" s="96"/>
      <c r="Q147" s="95"/>
      <c r="R147" s="95"/>
      <c r="S147" s="95"/>
      <c r="T147" s="95"/>
      <c r="U147" s="95"/>
      <c r="V147" s="95"/>
      <c r="W147" s="95"/>
      <c r="X147" s="95"/>
      <c r="Y147" s="95"/>
      <c r="Z147" s="95"/>
    </row>
    <row r="148" spans="1:26" ht="56" customHeight="1" x14ac:dyDescent="0.35">
      <c r="B148" s="475"/>
      <c r="C148" s="443"/>
      <c r="D148" s="444" t="str">
        <f>INDEX('imp-questions'!G:G, MATCH(A147, 'imp-questions'!A:A, 0))</f>
        <v>You have an agreed upon model of the overall software architecture
 You include components, interfaces, and integrations in the architecture model
 You verify the correct provision of general security mechanisms
 You log missing security controls as defects</v>
      </c>
      <c r="E148" s="445"/>
      <c r="F148" s="446"/>
      <c r="G148" s="137"/>
      <c r="H148" s="139"/>
      <c r="I148" s="478"/>
      <c r="J148" s="533"/>
      <c r="K148" s="95"/>
      <c r="L148" s="96"/>
      <c r="M148" s="96"/>
      <c r="N148" s="96"/>
      <c r="O148" s="96"/>
      <c r="P148" s="96"/>
      <c r="Q148" s="95"/>
      <c r="R148" s="95"/>
      <c r="S148" s="95"/>
      <c r="T148" s="95"/>
      <c r="U148" s="95"/>
      <c r="V148" s="95"/>
      <c r="W148" s="95"/>
      <c r="X148" s="95"/>
      <c r="Y148" s="95"/>
      <c r="Z148" s="95"/>
    </row>
    <row r="149" spans="1:26" x14ac:dyDescent="0.35">
      <c r="A149" s="89" t="s">
        <v>85</v>
      </c>
      <c r="B149" s="475"/>
      <c r="C149" s="185">
        <f>INDEX('imp-questions'!E:E, MATCH(A149, 'imp-questions'!A:A, 0))</f>
        <v>2</v>
      </c>
      <c r="D149" s="112" t="str">
        <f>INDEX('imp-questions'!F:F, MATCH(A149, 'imp-questions'!A:A, 0))</f>
        <v>Do you regularly review the security mechanisms of your architecture?</v>
      </c>
      <c r="E149" s="113" t="str">
        <f>CHAR(65+INDEX('imp-questions'!H:H, MATCH(A149, 'imp-questions'!A:A, 0)))</f>
        <v>A</v>
      </c>
      <c r="F149" s="150"/>
      <c r="G149" s="135">
        <f ca="1">IFERROR(INDEX(INDIRECT("Ans" &amp; E149 &amp; "TBL"), MATCH(F149, INDEX(INDIRECT("Ans" &amp; E149 &amp; "TBL"), 0, 1), 0), 2), 0)</f>
        <v>0</v>
      </c>
      <c r="H149" s="127">
        <f ca="1">IFERROR(AVERAGE(G149,G156),0)</f>
        <v>0</v>
      </c>
      <c r="I149" s="488"/>
      <c r="J149" s="141"/>
      <c r="K149" s="95"/>
      <c r="L149" s="96"/>
      <c r="M149" s="96"/>
      <c r="N149" s="96"/>
      <c r="O149" s="96"/>
      <c r="P149" s="96"/>
      <c r="Q149" s="95"/>
      <c r="R149" s="95"/>
      <c r="S149" s="95"/>
      <c r="T149" s="95"/>
      <c r="U149" s="95"/>
      <c r="V149" s="95"/>
      <c r="W149" s="95"/>
      <c r="X149" s="95"/>
      <c r="Y149" s="95"/>
      <c r="Z149" s="95"/>
    </row>
    <row r="150" spans="1:26" ht="56" customHeight="1" x14ac:dyDescent="0.35">
      <c r="B150" s="475"/>
      <c r="C150" s="443"/>
      <c r="D150" s="444" t="str">
        <f>INDEX('imp-questions'!G:G, MATCH(A149, 'imp-questions'!A:A, 0))</f>
        <v>You review compliance with internal and external requirements
 You systematically review each interface in the system
 You use a formalized review method and structured validation
 You log missing security mechanisms as defects</v>
      </c>
      <c r="E150" s="445"/>
      <c r="F150" s="446"/>
      <c r="G150" s="137"/>
      <c r="H150" s="142"/>
      <c r="I150" s="480"/>
      <c r="J150" s="141"/>
      <c r="K150" s="95"/>
      <c r="L150" s="96"/>
      <c r="M150" s="96"/>
      <c r="N150" s="96"/>
      <c r="O150" s="96"/>
      <c r="P150" s="96"/>
      <c r="Q150" s="95"/>
      <c r="R150" s="95"/>
      <c r="S150" s="95"/>
      <c r="T150" s="95"/>
      <c r="U150" s="95"/>
      <c r="V150" s="95"/>
      <c r="W150" s="95"/>
      <c r="X150" s="95"/>
      <c r="Y150" s="95"/>
      <c r="Z150" s="95"/>
    </row>
    <row r="151" spans="1:26" x14ac:dyDescent="0.35">
      <c r="A151" s="89" t="s">
        <v>86</v>
      </c>
      <c r="B151" s="475"/>
      <c r="C151" s="185">
        <f>INDEX('imp-questions'!E:E, MATCH(A151, 'imp-questions'!A:A, 0))</f>
        <v>3</v>
      </c>
      <c r="D151" s="112" t="str">
        <f>INDEX('imp-questions'!F:F, MATCH(A151, 'imp-questions'!A:A, 0))</f>
        <v>Do you regularly review the effectiveness of the security controls?</v>
      </c>
      <c r="E151" s="113" t="str">
        <f>CHAR(65+INDEX('imp-questions'!H:H, MATCH(A151, 'imp-questions'!A:A, 0)))</f>
        <v>A</v>
      </c>
      <c r="F151" s="150"/>
      <c r="G151" s="135">
        <f ca="1">IFERROR(INDEX(INDIRECT("Ans" &amp; E151 &amp; "TBL"), MATCH(F151, INDEX(INDIRECT("Ans" &amp; E151 &amp; "TBL"), 0, 1), 0), 2), 0)</f>
        <v>0</v>
      </c>
      <c r="H151" s="127">
        <f ca="1">IFERROR(AVERAGE(G151,G158),0)</f>
        <v>0</v>
      </c>
      <c r="I151" s="479"/>
      <c r="J151" s="141"/>
      <c r="K151" s="95"/>
      <c r="L151" s="96"/>
      <c r="M151" s="96"/>
      <c r="N151" s="96"/>
      <c r="O151" s="96"/>
      <c r="P151" s="96"/>
      <c r="Q151" s="95"/>
      <c r="R151" s="95"/>
      <c r="S151" s="95"/>
      <c r="T151" s="95"/>
      <c r="U151" s="95"/>
      <c r="V151" s="95"/>
      <c r="W151" s="95"/>
      <c r="X151" s="95"/>
      <c r="Y151" s="95"/>
      <c r="Z151" s="95"/>
    </row>
    <row r="152" spans="1:26" ht="56" customHeight="1" x14ac:dyDescent="0.35">
      <c r="B152" s="476"/>
      <c r="C152" s="443"/>
      <c r="D152" s="444" t="str">
        <f>INDEX('imp-questions'!G:G, MATCH(A151, 'imp-questions'!A:A, 0))</f>
        <v>You evaluate the preventive, detective, and response capabilities of security controls
 You evaluate the strategy alignment, appropriate support, and scalability of security controls
 You evaluate the effectiveness at least yearly
 You log identified shortcomings as defects</v>
      </c>
      <c r="E152" s="445"/>
      <c r="F152" s="446"/>
      <c r="G152" s="137"/>
      <c r="H152" s="142"/>
      <c r="I152" s="480"/>
      <c r="J152" s="141"/>
      <c r="K152" s="95"/>
      <c r="L152" s="96"/>
      <c r="M152" s="96"/>
      <c r="N152" s="96"/>
      <c r="O152" s="96"/>
      <c r="P152" s="96"/>
      <c r="Q152" s="95"/>
      <c r="R152" s="95"/>
      <c r="S152" s="95"/>
      <c r="T152" s="95"/>
      <c r="U152" s="95"/>
      <c r="V152" s="95"/>
      <c r="W152" s="95"/>
      <c r="X152" s="95"/>
      <c r="Y152" s="95"/>
      <c r="Z152" s="95"/>
    </row>
    <row r="153" spans="1:26" x14ac:dyDescent="0.35">
      <c r="B153" s="123"/>
      <c r="C153" s="124"/>
      <c r="D153" s="125"/>
      <c r="E153" s="125"/>
      <c r="F153" s="125"/>
      <c r="G153" s="125"/>
      <c r="H153" s="153"/>
      <c r="I153" s="126"/>
      <c r="J153" s="121"/>
      <c r="K153" s="95"/>
      <c r="L153" s="96"/>
      <c r="M153" s="96"/>
      <c r="N153" s="96"/>
      <c r="O153" s="96"/>
      <c r="P153" s="96"/>
      <c r="Q153" s="95"/>
      <c r="R153" s="95"/>
      <c r="S153" s="95"/>
      <c r="T153" s="95"/>
      <c r="U153" s="95"/>
      <c r="V153" s="95"/>
      <c r="W153" s="95"/>
      <c r="X153" s="95"/>
      <c r="Y153" s="95"/>
      <c r="Z153" s="95"/>
    </row>
    <row r="154" spans="1:26" ht="15" customHeight="1" x14ac:dyDescent="0.35">
      <c r="A154" s="89" t="s">
        <v>87</v>
      </c>
      <c r="B154" s="528" t="str">
        <f>INDEX('imp-questions'!D:D, MATCH(A154, 'imp-questions'!A:A, 0))</f>
        <v>Architecture Mitigation</v>
      </c>
      <c r="C154" s="186">
        <f>INDEX('imp-questions'!E:E, MATCH(A154, 'imp-questions'!A:A, 0))</f>
        <v>1</v>
      </c>
      <c r="D154" s="112" t="str">
        <f>INDEX('imp-questions'!F:F, MATCH(A154, 'imp-questions'!A:A, 0))</f>
        <v>Do you review the application architecture for mitigations of typical threats on an ad-hoc basis?</v>
      </c>
      <c r="E154" s="113" t="str">
        <f>CHAR(65+INDEX('imp-questions'!H:H, MATCH(A154, 'imp-questions'!A:A, 0)))</f>
        <v>A</v>
      </c>
      <c r="F154" s="150"/>
      <c r="G154" s="135">
        <f ca="1">IFERROR(INDEX(INDIRECT("Ans" &amp; E154 &amp; "TBL"), MATCH(F154, INDEX(INDIRECT("Ans" &amp; E154 &amp; "TBL"), 0, 1), 0), 2), 0)</f>
        <v>0</v>
      </c>
      <c r="H154" s="155"/>
      <c r="I154" s="494"/>
      <c r="J154" s="121"/>
      <c r="K154" s="95"/>
      <c r="L154" s="96"/>
      <c r="M154" s="96"/>
      <c r="N154" s="96"/>
      <c r="O154" s="96"/>
      <c r="P154" s="96"/>
      <c r="Q154" s="95"/>
      <c r="R154" s="95"/>
      <c r="S154" s="95"/>
      <c r="T154" s="95"/>
      <c r="U154" s="95"/>
      <c r="V154" s="95"/>
      <c r="W154" s="95"/>
      <c r="X154" s="95"/>
      <c r="Y154" s="95"/>
      <c r="Z154" s="95"/>
    </row>
    <row r="155" spans="1:26" ht="42" customHeight="1" x14ac:dyDescent="0.35">
      <c r="B155" s="475"/>
      <c r="C155" s="443"/>
      <c r="D155" s="444" t="str">
        <f>INDEX('imp-questions'!G:G, MATCH(A154, 'imp-questions'!A:A, 0))</f>
        <v>You have an agreed upon model of the overall software architecture
 Security savvy staff conduct the review
 You consider different types of threats, including insider and data-related ones</v>
      </c>
      <c r="E155" s="445"/>
      <c r="F155" s="446"/>
      <c r="G155" s="137"/>
      <c r="H155" s="156"/>
      <c r="I155" s="495"/>
      <c r="J155" s="121"/>
      <c r="K155" s="95"/>
      <c r="L155" s="96"/>
      <c r="M155" s="96"/>
      <c r="N155" s="96"/>
      <c r="O155" s="96"/>
      <c r="P155" s="96"/>
      <c r="Q155" s="95"/>
      <c r="R155" s="95"/>
      <c r="S155" s="95"/>
      <c r="T155" s="95"/>
      <c r="U155" s="95"/>
      <c r="V155" s="95"/>
      <c r="W155" s="95"/>
      <c r="X155" s="95"/>
      <c r="Y155" s="95"/>
      <c r="Z155" s="95"/>
    </row>
    <row r="156" spans="1:26" x14ac:dyDescent="0.35">
      <c r="A156" s="89" t="s">
        <v>88</v>
      </c>
      <c r="B156" s="475"/>
      <c r="C156" s="185">
        <f>INDEX('imp-questions'!E:E, MATCH(A156, 'imp-questions'!A:A, 0))</f>
        <v>2</v>
      </c>
      <c r="D156" s="112" t="str">
        <f>INDEX('imp-questions'!F:F, MATCH(A156, 'imp-questions'!A:A, 0))</f>
        <v>Do you regularly evaluate the threats to your architecture?</v>
      </c>
      <c r="E156" s="113" t="str">
        <f>CHAR(65+INDEX('imp-questions'!H:H, MATCH(A156, 'imp-questions'!A:A, 0)))</f>
        <v>A</v>
      </c>
      <c r="F156" s="150"/>
      <c r="G156" s="135">
        <f ca="1">IFERROR(INDEX(INDIRECT("Ans" &amp; E156 &amp; "TBL"), MATCH(F156, INDEX(INDIRECT("Ans" &amp; E156 &amp; "TBL"), 0, 1), 0), 2), 0)</f>
        <v>0</v>
      </c>
      <c r="H156" s="155"/>
      <c r="I156" s="494"/>
      <c r="J156" s="121"/>
      <c r="K156" s="95"/>
      <c r="L156" s="96"/>
      <c r="M156" s="96"/>
      <c r="N156" s="96"/>
      <c r="O156" s="96"/>
      <c r="P156" s="96"/>
      <c r="Q156" s="95"/>
      <c r="R156" s="95"/>
      <c r="S156" s="95"/>
      <c r="T156" s="95"/>
      <c r="U156" s="95"/>
      <c r="V156" s="95"/>
      <c r="W156" s="95"/>
      <c r="X156" s="95"/>
      <c r="Y156" s="95"/>
      <c r="Z156" s="95"/>
    </row>
    <row r="157" spans="1:26" ht="56" customHeight="1" x14ac:dyDescent="0.35">
      <c r="B157" s="475"/>
      <c r="C157" s="443"/>
      <c r="D157" s="444" t="str">
        <f>INDEX('imp-questions'!G:G, MATCH(A156, 'imp-questions'!A:A, 0))</f>
        <v>You systematically review each threat identified in the Threat Assessment
 Trained or experienced people lead review exercise
 You identify mitigating design-level features for each identified threat
 You log unhandled threats as defects</v>
      </c>
      <c r="E157" s="445"/>
      <c r="F157" s="446"/>
      <c r="G157" s="137"/>
      <c r="H157" s="156"/>
      <c r="I157" s="495"/>
      <c r="J157" s="121"/>
      <c r="K157" s="95"/>
      <c r="L157" s="96"/>
      <c r="M157" s="96"/>
      <c r="N157" s="96"/>
      <c r="O157" s="96"/>
      <c r="P157" s="96"/>
      <c r="Q157" s="95"/>
      <c r="R157" s="95"/>
      <c r="S157" s="95"/>
      <c r="T157" s="95"/>
      <c r="U157" s="95"/>
      <c r="V157" s="95"/>
      <c r="W157" s="95"/>
      <c r="X157" s="95"/>
      <c r="Y157" s="95"/>
      <c r="Z157" s="95"/>
    </row>
    <row r="158" spans="1:26" x14ac:dyDescent="0.35">
      <c r="A158" s="89" t="s">
        <v>89</v>
      </c>
      <c r="B158" s="475"/>
      <c r="C158" s="185">
        <f>INDEX('imp-questions'!E:E, MATCH(A158, 'imp-questions'!A:A, 0))</f>
        <v>3</v>
      </c>
      <c r="D158" s="112" t="str">
        <f>INDEX('imp-questions'!F:F, MATCH(A158, 'imp-questions'!A:A, 0))</f>
        <v>Do you regularly update your reference architectures based on architecture assessment findings?</v>
      </c>
      <c r="E158" s="113" t="str">
        <f>CHAR(65+INDEX('imp-questions'!H:H, MATCH(A158, 'imp-questions'!A:A, 0)))</f>
        <v>A</v>
      </c>
      <c r="F158" s="150"/>
      <c r="G158" s="135">
        <f ca="1">IFERROR(INDEX(INDIRECT("Ans" &amp; E158 &amp; "TBL"), MATCH(F158, INDEX(INDIRECT("Ans" &amp; E158 &amp; "TBL"), 0, 1), 0), 2), 0)</f>
        <v>0</v>
      </c>
      <c r="H158" s="155"/>
      <c r="I158" s="494"/>
      <c r="J158" s="121"/>
      <c r="K158" s="95"/>
      <c r="L158" s="96"/>
      <c r="M158" s="96"/>
      <c r="N158" s="96"/>
      <c r="O158" s="96"/>
      <c r="P158" s="96"/>
      <c r="Q158" s="95"/>
      <c r="R158" s="95"/>
      <c r="S158" s="95"/>
      <c r="T158" s="95"/>
      <c r="U158" s="95"/>
      <c r="V158" s="95"/>
      <c r="W158" s="95"/>
      <c r="X158" s="95"/>
      <c r="Y158" s="95"/>
      <c r="Z158" s="95"/>
    </row>
    <row r="159" spans="1:26" ht="56" customHeight="1" x14ac:dyDescent="0.35">
      <c r="B159" s="476"/>
      <c r="C159" s="443"/>
      <c r="D159" s="447" t="str">
        <f>INDEX('imp-questions'!G:G, MATCH(A158, 'imp-questions'!A:A, 0))</f>
        <v>You assess your architectures in a standardized, documented manner
 You use recurring findings to trigger a review of reference architectures
 You independently review the quality of the architecture assessments on an ad-hoc basis
 You use reference architecture updates to trigger reviews of relevant shared solutions, in a risk-based manner</v>
      </c>
      <c r="E159" s="445"/>
      <c r="F159" s="446"/>
      <c r="G159" s="137"/>
      <c r="H159" s="138"/>
      <c r="I159" s="495"/>
      <c r="J159" s="121"/>
      <c r="K159" s="95"/>
      <c r="L159" s="96"/>
      <c r="M159" s="96"/>
      <c r="N159" s="96"/>
      <c r="O159" s="96"/>
      <c r="P159" s="96"/>
      <c r="Q159" s="95"/>
      <c r="R159" s="95"/>
      <c r="S159" s="95"/>
      <c r="T159" s="95"/>
      <c r="U159" s="95"/>
      <c r="V159" s="95"/>
      <c r="W159" s="95"/>
      <c r="X159" s="95"/>
      <c r="Y159" s="95"/>
      <c r="Z159" s="95"/>
    </row>
    <row r="160" spans="1:26" x14ac:dyDescent="0.35">
      <c r="B160" s="530" t="s">
        <v>90</v>
      </c>
      <c r="C160" s="498"/>
      <c r="D160" s="499"/>
      <c r="E160" s="187"/>
      <c r="F160" s="188" t="s">
        <v>15</v>
      </c>
      <c r="G160" s="188"/>
      <c r="H160" s="189"/>
      <c r="I160" s="190" t="s">
        <v>16</v>
      </c>
      <c r="J160" s="190" t="s">
        <v>17</v>
      </c>
      <c r="K160" s="95"/>
      <c r="L160" s="96"/>
      <c r="M160" s="96"/>
      <c r="N160" s="96"/>
      <c r="O160" s="96"/>
      <c r="P160" s="96"/>
      <c r="Q160" s="95"/>
      <c r="R160" s="95"/>
      <c r="S160" s="95"/>
      <c r="T160" s="95"/>
      <c r="U160" s="95"/>
      <c r="V160" s="95"/>
      <c r="W160" s="95"/>
      <c r="X160" s="95"/>
      <c r="Y160" s="95"/>
      <c r="Z160" s="95"/>
    </row>
    <row r="161" spans="1:26" ht="14" customHeight="1" x14ac:dyDescent="0.35">
      <c r="A161" s="89" t="s">
        <v>91</v>
      </c>
      <c r="B161" s="529" t="str">
        <f>INDEX('imp-questions'!D:D, MATCH(A161, 'imp-questions'!A:A, 0))</f>
        <v>Control Verification</v>
      </c>
      <c r="C161" s="186">
        <f>INDEX('imp-questions'!E:E, MATCH(A161, 'imp-questions'!A:A, 0))</f>
        <v>1</v>
      </c>
      <c r="D161" s="131" t="str">
        <f>INDEX('imp-questions'!F:F, MATCH(A161, 'imp-questions'!A:A, 0))</f>
        <v>Do you test applications for the correct functioning of standard security controls?</v>
      </c>
      <c r="E161" s="113" t="str">
        <f>CHAR(65+INDEX('imp-questions'!H:H, MATCH(A161, 'imp-questions'!A:A, 0)))</f>
        <v>B</v>
      </c>
      <c r="F161" s="150"/>
      <c r="G161" s="135">
        <f ca="1">IFERROR(INDEX(INDIRECT("Ans" &amp; E161 &amp; "TBL"), MATCH(F161, INDEX(INDIRECT("Ans" &amp; E161 &amp; "TBL"), 0, 1), 0), 2), 0)</f>
        <v>0</v>
      </c>
      <c r="H161" s="127">
        <f ca="1">IFERROR(AVERAGE(G161,G168),0)</f>
        <v>0</v>
      </c>
      <c r="I161" s="477"/>
      <c r="J161" s="532">
        <f ca="1">SUM(H161,H163,H165)</f>
        <v>0</v>
      </c>
      <c r="K161" s="95"/>
      <c r="L161" s="96"/>
      <c r="M161" s="96"/>
      <c r="N161" s="96"/>
      <c r="O161" s="96"/>
      <c r="P161" s="96"/>
      <c r="Q161" s="95"/>
      <c r="R161" s="95"/>
      <c r="S161" s="95"/>
      <c r="T161" s="95"/>
      <c r="U161" s="95"/>
      <c r="V161" s="95"/>
      <c r="W161" s="95"/>
      <c r="X161" s="95"/>
      <c r="Y161" s="95"/>
      <c r="Z161" s="95"/>
    </row>
    <row r="162" spans="1:26" ht="42" customHeight="1" x14ac:dyDescent="0.35">
      <c r="B162" s="475"/>
      <c r="C162" s="443"/>
      <c r="D162" s="444" t="str">
        <f>INDEX('imp-questions'!G:G, MATCH(A161, 'imp-questions'!A:A, 0))</f>
        <v>Security testing at least verifies the implementation of authentication, access control, input validation, encoding and escaping data, and encryption controls
 Security testing executes whenever the application changes its use of the controls</v>
      </c>
      <c r="E162" s="445"/>
      <c r="F162" s="446"/>
      <c r="G162" s="137"/>
      <c r="H162" s="139"/>
      <c r="I162" s="478"/>
      <c r="J162" s="533"/>
      <c r="K162" s="95"/>
      <c r="L162" s="96"/>
      <c r="M162" s="96"/>
      <c r="N162" s="96"/>
      <c r="O162" s="96"/>
      <c r="P162" s="96"/>
      <c r="Q162" s="95"/>
      <c r="R162" s="95"/>
      <c r="S162" s="95"/>
      <c r="T162" s="95"/>
      <c r="U162" s="95"/>
      <c r="V162" s="95"/>
      <c r="W162" s="95"/>
      <c r="X162" s="95"/>
      <c r="Y162" s="95"/>
      <c r="Z162" s="95"/>
    </row>
    <row r="163" spans="1:26" x14ac:dyDescent="0.35">
      <c r="A163" s="89" t="s">
        <v>92</v>
      </c>
      <c r="B163" s="475"/>
      <c r="C163" s="185">
        <f>INDEX('imp-questions'!E:E, MATCH(A163, 'imp-questions'!A:A, 0))</f>
        <v>2</v>
      </c>
      <c r="D163" s="112" t="str">
        <f>INDEX('imp-questions'!F:F, MATCH(A163, 'imp-questions'!A:A, 0))</f>
        <v>Do you consistently write and execute test scripts to verify the functionality of security requirements?</v>
      </c>
      <c r="E163" s="113" t="str">
        <f>CHAR(65+INDEX('imp-questions'!H:H, MATCH(A163, 'imp-questions'!A:A, 0)))</f>
        <v>B</v>
      </c>
      <c r="F163" s="150"/>
      <c r="G163" s="135">
        <f ca="1">IFERROR(INDEX(INDIRECT("Ans" &amp; E163 &amp; "TBL"), MATCH(F163, INDEX(INDIRECT("Ans" &amp; E163 &amp; "TBL"), 0, 1), 0), 2), 0)</f>
        <v>0</v>
      </c>
      <c r="H163" s="127">
        <f ca="1">IFERROR(AVERAGE(G163,G170),0)</f>
        <v>0</v>
      </c>
      <c r="I163" s="488"/>
      <c r="J163" s="141"/>
      <c r="K163" s="95"/>
      <c r="L163" s="96"/>
      <c r="M163" s="96"/>
      <c r="N163" s="96"/>
      <c r="O163" s="96"/>
      <c r="P163" s="96"/>
      <c r="Q163" s="95"/>
      <c r="R163" s="95"/>
      <c r="S163" s="95"/>
      <c r="T163" s="95"/>
      <c r="U163" s="95"/>
      <c r="V163" s="95"/>
      <c r="W163" s="95"/>
      <c r="X163" s="95"/>
      <c r="Y163" s="95"/>
      <c r="Z163" s="95"/>
    </row>
    <row r="164" spans="1:26" ht="42" customHeight="1" x14ac:dyDescent="0.35">
      <c r="B164" s="475"/>
      <c r="C164" s="443"/>
      <c r="D164" s="444" t="str">
        <f>INDEX('imp-questions'!G:G, MATCH(A163, 'imp-questions'!A:A, 0))</f>
        <v>You tailor tests to each application and assert expected security functionality
 You capture test results as a pass or fail condition
 Tests use a standardized framework or DSL</v>
      </c>
      <c r="E164" s="445"/>
      <c r="F164" s="446"/>
      <c r="G164" s="137"/>
      <c r="H164" s="142"/>
      <c r="I164" s="480"/>
      <c r="J164" s="141"/>
      <c r="K164" s="95"/>
      <c r="L164" s="96"/>
      <c r="M164" s="96"/>
      <c r="N164" s="96"/>
      <c r="O164" s="96"/>
      <c r="P164" s="96"/>
      <c r="Q164" s="95"/>
      <c r="R164" s="95"/>
      <c r="S164" s="95"/>
      <c r="T164" s="95"/>
      <c r="U164" s="95"/>
      <c r="V164" s="95"/>
      <c r="W164" s="95"/>
      <c r="X164" s="95"/>
      <c r="Y164" s="95"/>
      <c r="Z164" s="95"/>
    </row>
    <row r="165" spans="1:26" x14ac:dyDescent="0.35">
      <c r="A165" s="89" t="s">
        <v>93</v>
      </c>
      <c r="B165" s="475"/>
      <c r="C165" s="185">
        <f>INDEX('imp-questions'!E:E, MATCH(A165, 'imp-questions'!A:A, 0))</f>
        <v>3</v>
      </c>
      <c r="D165" s="112" t="str">
        <f>INDEX('imp-questions'!F:F, MATCH(A165, 'imp-questions'!A:A, 0))</f>
        <v>Do you automatically test applications for security regressions?</v>
      </c>
      <c r="E165" s="113" t="str">
        <f>CHAR(65+INDEX('imp-questions'!H:H, MATCH(A165, 'imp-questions'!A:A, 0)))</f>
        <v>A</v>
      </c>
      <c r="F165" s="150"/>
      <c r="G165" s="135">
        <f ca="1">IFERROR(INDEX(INDIRECT("Ans" &amp; E165 &amp; "TBL"), MATCH(F165, INDEX(INDIRECT("Ans" &amp; E165 &amp; "TBL"), 0, 1), 0), 2), 0)</f>
        <v>0</v>
      </c>
      <c r="H165" s="127">
        <f ca="1">IFERROR(AVERAGE(G165,G172),0)</f>
        <v>0</v>
      </c>
      <c r="I165" s="479"/>
      <c r="J165" s="141"/>
      <c r="K165" s="95"/>
      <c r="L165" s="96"/>
      <c r="M165" s="96"/>
      <c r="N165" s="96"/>
      <c r="O165" s="96"/>
      <c r="P165" s="96"/>
      <c r="Q165" s="95"/>
      <c r="R165" s="95"/>
      <c r="S165" s="95"/>
      <c r="T165" s="95"/>
      <c r="U165" s="95"/>
      <c r="V165" s="95"/>
      <c r="W165" s="95"/>
      <c r="X165" s="95"/>
      <c r="Y165" s="95"/>
      <c r="Z165" s="95"/>
    </row>
    <row r="166" spans="1:26" ht="28.05" customHeight="1" x14ac:dyDescent="0.35">
      <c r="B166" s="476"/>
      <c r="C166" s="443"/>
      <c r="D166" s="444" t="str">
        <f>INDEX('imp-questions'!G:G, MATCH(A165, 'imp-questions'!A:A, 0))</f>
        <v>You consistently write tests for all identified bugs (possibly exceeding a pre-defined severity threshold)
 You collect security tests in a test suite that is part of the existing unit testing framework</v>
      </c>
      <c r="E166" s="445"/>
      <c r="F166" s="446"/>
      <c r="G166" s="137"/>
      <c r="H166" s="142"/>
      <c r="I166" s="480"/>
      <c r="J166" s="141"/>
      <c r="K166" s="95"/>
      <c r="L166" s="96"/>
      <c r="M166" s="96"/>
      <c r="N166" s="96"/>
      <c r="O166" s="96"/>
      <c r="P166" s="96"/>
      <c r="Q166" s="95"/>
      <c r="R166" s="95"/>
      <c r="S166" s="95"/>
      <c r="T166" s="95"/>
      <c r="U166" s="95"/>
      <c r="V166" s="95"/>
      <c r="W166" s="95"/>
      <c r="X166" s="95"/>
      <c r="Y166" s="95"/>
      <c r="Z166" s="95"/>
    </row>
    <row r="167" spans="1:26" x14ac:dyDescent="0.35">
      <c r="B167" s="123"/>
      <c r="C167" s="124"/>
      <c r="D167" s="125"/>
      <c r="E167" s="125"/>
      <c r="F167" s="125"/>
      <c r="G167" s="125"/>
      <c r="H167" s="153"/>
      <c r="I167" s="126"/>
      <c r="J167" s="121"/>
      <c r="K167" s="95"/>
      <c r="L167" s="96"/>
      <c r="M167" s="96"/>
      <c r="N167" s="96"/>
      <c r="O167" s="96"/>
      <c r="P167" s="96"/>
      <c r="Q167" s="95"/>
      <c r="R167" s="95"/>
      <c r="S167" s="95"/>
      <c r="T167" s="95"/>
      <c r="U167" s="95"/>
      <c r="V167" s="95"/>
      <c r="W167" s="95"/>
      <c r="X167" s="95"/>
      <c r="Y167" s="95"/>
      <c r="Z167" s="95"/>
    </row>
    <row r="168" spans="1:26" ht="15" customHeight="1" x14ac:dyDescent="0.35">
      <c r="A168" s="89" t="s">
        <v>94</v>
      </c>
      <c r="B168" s="528" t="str">
        <f>INDEX('imp-questions'!D:D, MATCH(A168, 'imp-questions'!A:A, 0))</f>
        <v>Misuse/Abuse Testing</v>
      </c>
      <c r="C168" s="186">
        <f>INDEX('imp-questions'!E:E, MATCH(A168, 'imp-questions'!A:A, 0))</f>
        <v>1</v>
      </c>
      <c r="D168" s="112" t="str">
        <f>INDEX('imp-questions'!F:F, MATCH(A168, 'imp-questions'!A:A, 0))</f>
        <v>Do you test applications using randomization or fuzzing techniques?</v>
      </c>
      <c r="E168" s="113" t="str">
        <f>CHAR(65+INDEX('imp-questions'!H:H, MATCH(A168, 'imp-questions'!A:A, 0)))</f>
        <v>A</v>
      </c>
      <c r="F168" s="150"/>
      <c r="G168" s="135">
        <f ca="1">IFERROR(INDEX(INDIRECT("Ans" &amp; E168 &amp; "TBL"), MATCH(F168, INDEX(INDIRECT("Ans" &amp; E168 &amp; "TBL"), 0, 1), 0), 2), 0)</f>
        <v>0</v>
      </c>
      <c r="H168" s="155"/>
      <c r="I168" s="494"/>
      <c r="J168" s="121"/>
      <c r="K168" s="95"/>
      <c r="L168" s="96"/>
      <c r="M168" s="96"/>
      <c r="N168" s="96"/>
      <c r="O168" s="96"/>
      <c r="P168" s="96"/>
      <c r="Q168" s="95"/>
      <c r="R168" s="95"/>
      <c r="S168" s="95"/>
      <c r="T168" s="95"/>
      <c r="U168" s="95"/>
      <c r="V168" s="95"/>
      <c r="W168" s="95"/>
      <c r="X168" s="95"/>
      <c r="Y168" s="95"/>
      <c r="Z168" s="95"/>
    </row>
    <row r="169" spans="1:26" ht="28.05" customHeight="1" x14ac:dyDescent="0.35">
      <c r="B169" s="475"/>
      <c r="C169" s="443"/>
      <c r="D169" s="444" t="str">
        <f>INDEX('imp-questions'!G:G, MATCH(A168, 'imp-questions'!A:A, 0))</f>
        <v>Testing covers most or all of the application's main input parameters
 You record and inspect all application crashes for security impact on a best-effort basis</v>
      </c>
      <c r="E169" s="445"/>
      <c r="F169" s="446"/>
      <c r="G169" s="137"/>
      <c r="H169" s="156"/>
      <c r="I169" s="495"/>
      <c r="J169" s="121"/>
      <c r="K169" s="95"/>
      <c r="L169" s="96"/>
      <c r="M169" s="96"/>
      <c r="N169" s="96"/>
      <c r="O169" s="96"/>
      <c r="P169" s="96"/>
      <c r="Q169" s="95"/>
      <c r="R169" s="95"/>
      <c r="S169" s="95"/>
      <c r="T169" s="95"/>
      <c r="U169" s="95"/>
      <c r="V169" s="95"/>
      <c r="W169" s="95"/>
      <c r="X169" s="95"/>
      <c r="Y169" s="95"/>
      <c r="Z169" s="95"/>
    </row>
    <row r="170" spans="1:26" x14ac:dyDescent="0.35">
      <c r="A170" s="89" t="s">
        <v>95</v>
      </c>
      <c r="B170" s="475"/>
      <c r="C170" s="185">
        <f>INDEX('imp-questions'!E:E, MATCH(A170, 'imp-questions'!A:A, 0))</f>
        <v>2</v>
      </c>
      <c r="D170" s="112" t="str">
        <f>INDEX('imp-questions'!F:F, MATCH(A170, 'imp-questions'!A:A, 0))</f>
        <v>Do you create abuse cases from functional requirements and use them to drive security tests?</v>
      </c>
      <c r="E170" s="113" t="str">
        <f>CHAR(65+INDEX('imp-questions'!H:H, MATCH(A170, 'imp-questions'!A:A, 0)))</f>
        <v>E</v>
      </c>
      <c r="F170" s="191"/>
      <c r="G170" s="135">
        <f ca="1">IFERROR(INDEX(INDIRECT("Ans" &amp; E170 &amp; "TBL"), MATCH(F170, INDEX(INDIRECT("Ans" &amp; E170 &amp; "TBL"), 0, 1), 0), 2), 0)</f>
        <v>0</v>
      </c>
      <c r="H170" s="155"/>
      <c r="I170" s="494"/>
      <c r="J170" s="121"/>
      <c r="K170" s="95"/>
      <c r="L170" s="96"/>
      <c r="M170" s="96"/>
      <c r="N170" s="96"/>
      <c r="O170" s="96"/>
      <c r="P170" s="96"/>
      <c r="Q170" s="95"/>
      <c r="R170" s="95"/>
      <c r="S170" s="95"/>
      <c r="T170" s="95"/>
      <c r="U170" s="95"/>
      <c r="V170" s="95"/>
      <c r="W170" s="95"/>
      <c r="X170" s="95"/>
      <c r="Y170" s="95"/>
      <c r="Z170" s="95"/>
    </row>
    <row r="171" spans="1:26" ht="42" customHeight="1" x14ac:dyDescent="0.35">
      <c r="B171" s="475"/>
      <c r="C171" s="443"/>
      <c r="D171" s="444" t="str">
        <f>INDEX('imp-questions'!G:G, MATCH(A170, 'imp-questions'!A:A, 0))</f>
        <v>Important business functionality has corresponding abuse cases
 You build abuse stories around relevant personas with well-defined motivations and characteristics
 You capture identified weaknesses as security requirements</v>
      </c>
      <c r="E171" s="445"/>
      <c r="F171" s="446"/>
      <c r="G171" s="137"/>
      <c r="H171" s="156"/>
      <c r="I171" s="495"/>
      <c r="J171" s="121"/>
      <c r="K171" s="95"/>
      <c r="L171" s="96"/>
      <c r="M171" s="96"/>
      <c r="N171" s="96"/>
      <c r="O171" s="96"/>
      <c r="P171" s="96"/>
      <c r="Q171" s="95"/>
      <c r="R171" s="95"/>
      <c r="S171" s="95"/>
      <c r="T171" s="95"/>
      <c r="U171" s="95"/>
      <c r="V171" s="95"/>
      <c r="W171" s="95"/>
      <c r="X171" s="95"/>
      <c r="Y171" s="95"/>
      <c r="Z171" s="95"/>
    </row>
    <row r="172" spans="1:26" x14ac:dyDescent="0.35">
      <c r="A172" s="89" t="s">
        <v>96</v>
      </c>
      <c r="B172" s="475"/>
      <c r="C172" s="185">
        <f>INDEX('imp-questions'!E:E, MATCH(A172, 'imp-questions'!A:A, 0))</f>
        <v>3</v>
      </c>
      <c r="D172" s="112" t="str">
        <f>INDEX('imp-questions'!F:F, MATCH(A172, 'imp-questions'!A:A, 0))</f>
        <v>Do you perform denial of service and security stress testing?</v>
      </c>
      <c r="E172" s="113" t="str">
        <f>CHAR(65+INDEX('imp-questions'!H:H, MATCH(A172, 'imp-questions'!A:A, 0)))</f>
        <v>E</v>
      </c>
      <c r="F172" s="191"/>
      <c r="G172" s="135">
        <f ca="1">IFERROR(INDEX(INDIRECT("Ans" &amp; E172 &amp; "TBL"), MATCH(F172, INDEX(INDIRECT("Ans" &amp; E172 &amp; "TBL"), 0, 1), 0), 2), 0)</f>
        <v>0</v>
      </c>
      <c r="H172" s="155"/>
      <c r="I172" s="494"/>
      <c r="J172" s="121"/>
      <c r="K172" s="95"/>
      <c r="L172" s="96"/>
      <c r="M172" s="96"/>
      <c r="N172" s="96"/>
      <c r="O172" s="96"/>
      <c r="P172" s="96"/>
      <c r="Q172" s="95"/>
      <c r="R172" s="95"/>
      <c r="S172" s="95"/>
      <c r="T172" s="95"/>
      <c r="U172" s="95"/>
      <c r="V172" s="95"/>
      <c r="W172" s="95"/>
      <c r="X172" s="95"/>
      <c r="Y172" s="95"/>
      <c r="Z172" s="95"/>
    </row>
    <row r="173" spans="1:26" ht="42" customHeight="1" x14ac:dyDescent="0.35">
      <c r="B173" s="476"/>
      <c r="C173" s="443"/>
      <c r="D173" s="447" t="str">
        <f>INDEX('imp-questions'!G:G, MATCH(A172, 'imp-questions'!A:A, 0))</f>
        <v>Stress tests target specific application resources (e.g. memory exhaustion by saving large amounts of data to a user session)
 You design tests around relevant personas with well-defined capabilities (knowledge, resources)
 You feed the results back to the Design practices</v>
      </c>
      <c r="E173" s="445"/>
      <c r="F173" s="446"/>
      <c r="G173" s="137"/>
      <c r="H173" s="138"/>
      <c r="I173" s="495"/>
      <c r="J173" s="121"/>
      <c r="K173" s="95"/>
      <c r="L173" s="96"/>
      <c r="M173" s="96"/>
      <c r="N173" s="96"/>
      <c r="O173" s="96"/>
      <c r="P173" s="96"/>
      <c r="Q173" s="95"/>
      <c r="R173" s="95"/>
      <c r="S173" s="95"/>
      <c r="T173" s="95"/>
      <c r="U173" s="95"/>
      <c r="V173" s="95"/>
      <c r="W173" s="95"/>
      <c r="X173" s="95"/>
      <c r="Y173" s="95"/>
      <c r="Z173" s="95"/>
    </row>
    <row r="174" spans="1:26" x14ac:dyDescent="0.35">
      <c r="B174" s="530" t="s">
        <v>97</v>
      </c>
      <c r="C174" s="498"/>
      <c r="D174" s="499"/>
      <c r="E174" s="187"/>
      <c r="F174" s="188" t="s">
        <v>15</v>
      </c>
      <c r="G174" s="188"/>
      <c r="H174" s="189"/>
      <c r="I174" s="190" t="s">
        <v>16</v>
      </c>
      <c r="J174" s="190" t="s">
        <v>17</v>
      </c>
      <c r="K174" s="95"/>
      <c r="L174" s="96"/>
      <c r="M174" s="96"/>
      <c r="N174" s="96"/>
      <c r="O174" s="96"/>
      <c r="P174" s="96"/>
      <c r="Q174" s="95"/>
      <c r="R174" s="95"/>
      <c r="S174" s="95"/>
      <c r="T174" s="95"/>
      <c r="U174" s="95"/>
      <c r="V174" s="95"/>
      <c r="W174" s="95"/>
      <c r="X174" s="95"/>
      <c r="Y174" s="95"/>
      <c r="Z174" s="95"/>
    </row>
    <row r="175" spans="1:26" ht="14" customHeight="1" x14ac:dyDescent="0.35">
      <c r="A175" s="89" t="s">
        <v>98</v>
      </c>
      <c r="B175" s="529" t="str">
        <f>INDEX('imp-questions'!D:D, MATCH(A175, 'imp-questions'!A:A, 0))</f>
        <v>Scalable Baseline</v>
      </c>
      <c r="C175" s="186">
        <f>INDEX('imp-questions'!E:E, MATCH(A175, 'imp-questions'!A:A, 0))</f>
        <v>1</v>
      </c>
      <c r="D175" s="131" t="str">
        <f>INDEX('imp-questions'!F:F, MATCH(A175, 'imp-questions'!A:A, 0))</f>
        <v>Do you scan applications with automated security testing tools?</v>
      </c>
      <c r="E175" s="113" t="str">
        <f>CHAR(65+INDEX('imp-questions'!H:H, MATCH(A175, 'imp-questions'!A:A, 0)))</f>
        <v>B</v>
      </c>
      <c r="F175" s="150"/>
      <c r="G175" s="135">
        <f ca="1">IFERROR(INDEX(INDIRECT("Ans" &amp; E175 &amp; "TBL"), MATCH(F175, INDEX(INDIRECT("Ans" &amp; E175 &amp; "TBL"), 0, 1), 0), 2), 0)</f>
        <v>0</v>
      </c>
      <c r="H175" s="127">
        <f ca="1">IFERROR(AVERAGE(G175,G182),0)</f>
        <v>0</v>
      </c>
      <c r="I175" s="477"/>
      <c r="J175" s="532">
        <f ca="1">SUM(H175,H177,H179)</f>
        <v>0</v>
      </c>
      <c r="K175" s="95"/>
      <c r="L175" s="96"/>
      <c r="M175" s="96"/>
      <c r="N175" s="96"/>
      <c r="O175" s="96"/>
      <c r="P175" s="96"/>
      <c r="Q175" s="95"/>
      <c r="R175" s="95"/>
      <c r="S175" s="95"/>
      <c r="T175" s="95"/>
      <c r="U175" s="95"/>
      <c r="V175" s="95"/>
      <c r="W175" s="95"/>
      <c r="X175" s="95"/>
      <c r="Y175" s="95"/>
      <c r="Z175" s="95"/>
    </row>
    <row r="176" spans="1:26" ht="42" customHeight="1" x14ac:dyDescent="0.35">
      <c r="B176" s="475"/>
      <c r="C176" s="443"/>
      <c r="D176" s="444" t="str">
        <f>INDEX('imp-questions'!G:G, MATCH(A175, 'imp-questions'!A:A, 0))</f>
        <v>You dynamically generate inputs for security tests using automated tools
 You choose the security testing tools to fit the organization's architecture and technology stack, and balance depth and accuracy of inspection with usability of findings to the organization</v>
      </c>
      <c r="E176" s="445"/>
      <c r="F176" s="446"/>
      <c r="G176" s="137"/>
      <c r="H176" s="139"/>
      <c r="I176" s="478"/>
      <c r="J176" s="533"/>
      <c r="K176" s="95"/>
      <c r="L176" s="96"/>
      <c r="M176" s="96"/>
      <c r="N176" s="96"/>
      <c r="O176" s="96"/>
      <c r="P176" s="96"/>
      <c r="Q176" s="95"/>
      <c r="R176" s="95"/>
      <c r="S176" s="95"/>
      <c r="T176" s="95"/>
      <c r="U176" s="95"/>
      <c r="V176" s="95"/>
      <c r="W176" s="95"/>
      <c r="X176" s="95"/>
      <c r="Y176" s="95"/>
      <c r="Z176" s="95"/>
    </row>
    <row r="177" spans="1:26" x14ac:dyDescent="0.35">
      <c r="A177" s="89" t="s">
        <v>99</v>
      </c>
      <c r="B177" s="475"/>
      <c r="C177" s="185">
        <f>INDEX('imp-questions'!E:E, MATCH(A177, 'imp-questions'!A:A, 0))</f>
        <v>2</v>
      </c>
      <c r="D177" s="112" t="str">
        <f>INDEX('imp-questions'!F:F, MATCH(A177, 'imp-questions'!A:A, 0))</f>
        <v>Do you customize the automated security tools to your applications and technology stacks?</v>
      </c>
      <c r="E177" s="113" t="str">
        <f>CHAR(65+INDEX('imp-questions'!H:H, MATCH(A177, 'imp-questions'!A:A, 0)))</f>
        <v>B</v>
      </c>
      <c r="F177" s="191"/>
      <c r="G177" s="135">
        <f ca="1">IFERROR(INDEX(INDIRECT("Ans" &amp; E177 &amp; "TBL"), MATCH(F177, INDEX(INDIRECT("Ans" &amp; E177 &amp; "TBL"), 0, 1), 0), 2), 0)</f>
        <v>0</v>
      </c>
      <c r="H177" s="127">
        <f ca="1">IFERROR(AVERAGE(G177,G184),0)</f>
        <v>0</v>
      </c>
      <c r="I177" s="488"/>
      <c r="J177" s="141"/>
      <c r="K177" s="95"/>
      <c r="L177" s="96"/>
      <c r="M177" s="96"/>
      <c r="N177" s="96"/>
      <c r="O177" s="96"/>
      <c r="P177" s="96"/>
      <c r="Q177" s="95"/>
      <c r="R177" s="95"/>
      <c r="S177" s="95"/>
      <c r="T177" s="95"/>
      <c r="U177" s="95"/>
      <c r="V177" s="95"/>
      <c r="W177" s="95"/>
      <c r="X177" s="95"/>
      <c r="Y177" s="95"/>
      <c r="Z177" s="95"/>
    </row>
    <row r="178" spans="1:26" ht="42" customHeight="1" x14ac:dyDescent="0.35">
      <c r="B178" s="475"/>
      <c r="C178" s="443"/>
      <c r="D178" s="444" t="str">
        <f>INDEX('imp-questions'!G:G, MATCH(A177, 'imp-questions'!A:A, 0))</f>
        <v>You tune and select tool features which match your application or technology stack
 You minimize false positives by silencing or automatically filter irrelevant warnings or low probability findings
 You minimize false negatives by leverage tool extensions or DSLs to customize tools for your application or organizational standards</v>
      </c>
      <c r="E178" s="445"/>
      <c r="F178" s="446"/>
      <c r="G178" s="137"/>
      <c r="H178" s="142"/>
      <c r="I178" s="480"/>
      <c r="J178" s="141"/>
      <c r="K178" s="95"/>
      <c r="L178" s="96"/>
      <c r="M178" s="96"/>
      <c r="N178" s="96"/>
      <c r="O178" s="96"/>
      <c r="P178" s="96"/>
      <c r="Q178" s="95"/>
      <c r="R178" s="95"/>
      <c r="S178" s="95"/>
      <c r="T178" s="95"/>
      <c r="U178" s="95"/>
      <c r="V178" s="95"/>
      <c r="W178" s="95"/>
      <c r="X178" s="95"/>
      <c r="Y178" s="95"/>
      <c r="Z178" s="95"/>
    </row>
    <row r="179" spans="1:26" x14ac:dyDescent="0.35">
      <c r="A179" s="89" t="s">
        <v>100</v>
      </c>
      <c r="B179" s="475"/>
      <c r="C179" s="185">
        <f>INDEX('imp-questions'!E:E, MATCH(A179, 'imp-questions'!A:A, 0))</f>
        <v>3</v>
      </c>
      <c r="D179" s="112" t="str">
        <f>INDEX('imp-questions'!F:F, MATCH(A179, 'imp-questions'!A:A, 0))</f>
        <v>Do you integrate automated security testing into the build and deploy process?</v>
      </c>
      <c r="E179" s="113" t="str">
        <f>CHAR(65+INDEX('imp-questions'!H:H, MATCH(A179, 'imp-questions'!A:A, 0)))</f>
        <v>W</v>
      </c>
      <c r="F179" s="191"/>
      <c r="G179" s="135">
        <f ca="1">IFERROR(INDEX(INDIRECT("Ans" &amp; E179 &amp; "TBL"), MATCH(F179, INDEX(INDIRECT("Ans" &amp; E179 &amp; "TBL"), 0, 1), 0), 2), 0)</f>
        <v>0</v>
      </c>
      <c r="H179" s="127">
        <f ca="1">IFERROR(AVERAGE(G179,G186),0)</f>
        <v>0</v>
      </c>
      <c r="I179" s="479"/>
      <c r="J179" s="141"/>
      <c r="K179" s="95"/>
      <c r="L179" s="96"/>
      <c r="M179" s="96"/>
      <c r="N179" s="96"/>
      <c r="O179" s="96"/>
      <c r="P179" s="96"/>
      <c r="Q179" s="95"/>
      <c r="R179" s="95"/>
      <c r="S179" s="95"/>
      <c r="T179" s="95"/>
      <c r="U179" s="95"/>
      <c r="V179" s="95"/>
      <c r="W179" s="95"/>
      <c r="X179" s="95"/>
      <c r="Y179" s="95"/>
      <c r="Z179" s="95"/>
    </row>
    <row r="180" spans="1:26" ht="28.05" customHeight="1" x14ac:dyDescent="0.35">
      <c r="B180" s="476"/>
      <c r="C180" s="443"/>
      <c r="D180" s="444" t="str">
        <f>INDEX('imp-questions'!G:G, MATCH(A179, 'imp-questions'!A:A, 0))</f>
        <v>Management and business stakeholders track and review test results throughout the development cycle
 You merge test results into a central dashboard and feed them into defect management</v>
      </c>
      <c r="E180" s="445"/>
      <c r="F180" s="446"/>
      <c r="G180" s="137"/>
      <c r="H180" s="142"/>
      <c r="I180" s="480"/>
      <c r="J180" s="141"/>
      <c r="K180" s="95"/>
      <c r="L180" s="96"/>
      <c r="M180" s="96"/>
      <c r="N180" s="96"/>
      <c r="O180" s="96"/>
      <c r="P180" s="96"/>
      <c r="Q180" s="95"/>
      <c r="R180" s="95"/>
      <c r="S180" s="95"/>
      <c r="T180" s="95"/>
      <c r="U180" s="95"/>
      <c r="V180" s="95"/>
      <c r="W180" s="95"/>
      <c r="X180" s="95"/>
      <c r="Y180" s="95"/>
      <c r="Z180" s="95"/>
    </row>
    <row r="181" spans="1:26" x14ac:dyDescent="0.35">
      <c r="B181" s="123"/>
      <c r="C181" s="124"/>
      <c r="D181" s="125"/>
      <c r="E181" s="125"/>
      <c r="F181" s="125"/>
      <c r="G181" s="125"/>
      <c r="H181" s="153"/>
      <c r="I181" s="126"/>
      <c r="J181" s="121"/>
      <c r="K181" s="95"/>
      <c r="L181" s="96"/>
      <c r="M181" s="96"/>
      <c r="N181" s="96"/>
      <c r="O181" s="96"/>
      <c r="P181" s="96"/>
      <c r="Q181" s="95"/>
      <c r="R181" s="95"/>
      <c r="S181" s="95"/>
      <c r="T181" s="95"/>
      <c r="U181" s="95"/>
      <c r="V181" s="95"/>
      <c r="W181" s="95"/>
      <c r="X181" s="95"/>
      <c r="Y181" s="95"/>
      <c r="Z181" s="95"/>
    </row>
    <row r="182" spans="1:26" ht="15" customHeight="1" x14ac:dyDescent="0.35">
      <c r="A182" s="89" t="s">
        <v>101</v>
      </c>
      <c r="B182" s="528" t="str">
        <f>INDEX('imp-questions'!D:D, MATCH(A182, 'imp-questions'!A:A, 0))</f>
        <v>Deep Understanding</v>
      </c>
      <c r="C182" s="186">
        <f>INDEX('imp-questions'!E:E, MATCH(A182, 'imp-questions'!A:A, 0))</f>
        <v>1</v>
      </c>
      <c r="D182" s="112" t="str">
        <f>INDEX('imp-questions'!F:F, MATCH(A182, 'imp-questions'!A:A, 0))</f>
        <v>Do you manually review the security quality of selected high-risk components?</v>
      </c>
      <c r="E182" s="113" t="str">
        <f>CHAR(65+INDEX('imp-questions'!H:H, MATCH(A182, 'imp-questions'!A:A, 0)))</f>
        <v>G</v>
      </c>
      <c r="F182" s="150"/>
      <c r="G182" s="135">
        <f ca="1">IFERROR(INDEX(INDIRECT("Ans" &amp; E182 &amp; "TBL"), MATCH(F182, INDEX(INDIRECT("Ans" &amp; E182 &amp; "TBL"), 0, 1), 0), 2), 0)</f>
        <v>0</v>
      </c>
      <c r="H182" s="155"/>
      <c r="I182" s="494"/>
      <c r="J182" s="121"/>
      <c r="K182" s="95"/>
      <c r="L182" s="96"/>
      <c r="M182" s="96"/>
      <c r="N182" s="96"/>
      <c r="O182" s="96"/>
      <c r="P182" s="96"/>
      <c r="Q182" s="95"/>
      <c r="R182" s="95"/>
      <c r="S182" s="95"/>
      <c r="T182" s="95"/>
      <c r="U182" s="95"/>
      <c r="V182" s="95"/>
      <c r="W182" s="95"/>
      <c r="X182" s="95"/>
      <c r="Y182" s="95"/>
      <c r="Z182" s="95"/>
    </row>
    <row r="183" spans="1:26" ht="42" customHeight="1" x14ac:dyDescent="0.35">
      <c r="B183" s="475"/>
      <c r="C183" s="443"/>
      <c r="D183" s="444" t="str">
        <f>INDEX('imp-questions'!G:G, MATCH(A182, 'imp-questions'!A:A, 0))</f>
        <v>Criteria exist to help the reviewer focus on high-risk components
 Qualified personnel conduct reviews following documented guidelines
 You address findings in accordance with the organization's defect management policy</v>
      </c>
      <c r="E183" s="445"/>
      <c r="F183" s="446"/>
      <c r="G183" s="137"/>
      <c r="H183" s="138"/>
      <c r="I183" s="495"/>
      <c r="J183" s="121"/>
      <c r="K183" s="95"/>
      <c r="L183" s="96"/>
      <c r="M183" s="96"/>
      <c r="N183" s="96"/>
      <c r="O183" s="96"/>
      <c r="P183" s="96"/>
      <c r="Q183" s="95"/>
      <c r="R183" s="95"/>
      <c r="S183" s="95"/>
      <c r="T183" s="95"/>
      <c r="U183" s="95"/>
      <c r="V183" s="95"/>
      <c r="W183" s="95"/>
      <c r="X183" s="95"/>
      <c r="Y183" s="95"/>
      <c r="Z183" s="95"/>
    </row>
    <row r="184" spans="1:26" x14ac:dyDescent="0.35">
      <c r="A184" s="89" t="s">
        <v>102</v>
      </c>
      <c r="B184" s="475"/>
      <c r="C184" s="185">
        <f>INDEX('imp-questions'!E:E, MATCH(A184, 'imp-questions'!A:A, 0))</f>
        <v>2</v>
      </c>
      <c r="D184" s="112" t="str">
        <f>INDEX('imp-questions'!F:F, MATCH(A184, 'imp-questions'!A:A, 0))</f>
        <v>Do you perform penetration testing for your applications at regular intervals?</v>
      </c>
      <c r="E184" s="113" t="str">
        <f>CHAR(65+INDEX('imp-questions'!H:H, MATCH(A184, 'imp-questions'!A:A, 0)))</f>
        <v>A</v>
      </c>
      <c r="F184" s="150"/>
      <c r="G184" s="135">
        <f ca="1">IFERROR(INDEX(INDIRECT("Ans" &amp; E184 &amp; "TBL"), MATCH(F184, INDEX(INDIRECT("Ans" &amp; E184 &amp; "TBL"), 0, 1), 0), 2), 0)</f>
        <v>0</v>
      </c>
      <c r="H184" s="155"/>
      <c r="I184" s="494"/>
      <c r="J184" s="121"/>
      <c r="K184" s="95"/>
      <c r="L184" s="96"/>
      <c r="M184" s="96"/>
      <c r="N184" s="96"/>
      <c r="O184" s="96"/>
      <c r="P184" s="96"/>
      <c r="Q184" s="95"/>
      <c r="R184" s="95"/>
      <c r="S184" s="95"/>
      <c r="T184" s="95"/>
      <c r="U184" s="95"/>
      <c r="V184" s="95"/>
      <c r="W184" s="95"/>
      <c r="X184" s="95"/>
      <c r="Y184" s="95"/>
      <c r="Z184" s="95"/>
    </row>
    <row r="185" spans="1:26" ht="56" customHeight="1" x14ac:dyDescent="0.35">
      <c r="B185" s="475"/>
      <c r="C185" s="443"/>
      <c r="D185" s="444" t="str">
        <f>INDEX('imp-questions'!G:G, MATCH(A184, 'imp-questions'!A:A, 0))</f>
        <v>Penetration testing uses application-specific security test cases to evaluate security
 Penetration testing looks for both technical and logical issues in the application
 Stakeholders review the test results and handle them in accordance with the organization's risk management
 Qualified personnel performs penetration testing</v>
      </c>
      <c r="E185" s="445"/>
      <c r="F185" s="446"/>
      <c r="G185" s="137"/>
      <c r="H185" s="138"/>
      <c r="I185" s="495"/>
      <c r="J185" s="121"/>
      <c r="K185" s="95"/>
      <c r="L185" s="96"/>
      <c r="M185" s="96"/>
      <c r="N185" s="96"/>
      <c r="O185" s="96"/>
      <c r="P185" s="96"/>
      <c r="Q185" s="95"/>
      <c r="R185" s="95"/>
      <c r="S185" s="95"/>
      <c r="T185" s="95"/>
      <c r="U185" s="95"/>
      <c r="V185" s="95"/>
      <c r="W185" s="95"/>
      <c r="X185" s="95"/>
      <c r="Y185" s="95"/>
      <c r="Z185" s="95"/>
    </row>
    <row r="186" spans="1:26" x14ac:dyDescent="0.35">
      <c r="A186" s="89" t="s">
        <v>103</v>
      </c>
      <c r="B186" s="475"/>
      <c r="C186" s="185">
        <f>INDEX('imp-questions'!E:E, MATCH(A186, 'imp-questions'!A:A, 0))</f>
        <v>3</v>
      </c>
      <c r="D186" s="112" t="str">
        <f>INDEX('imp-questions'!F:F, MATCH(A186, 'imp-questions'!A:A, 0))</f>
        <v>Do you use the results of security testing to improve the development lifecycle?</v>
      </c>
      <c r="E186" s="113" t="str">
        <f>CHAR(65+INDEX('imp-questions'!H:H, MATCH(A186, 'imp-questions'!A:A, 0)))</f>
        <v>X</v>
      </c>
      <c r="F186" s="191"/>
      <c r="G186" s="135">
        <f ca="1">IFERROR(INDEX(INDIRECT("Ans" &amp; E186 &amp; "TBL"), MATCH(F186, INDEX(INDIRECT("Ans" &amp; E186 &amp; "TBL"), 0, 1), 0), 2), 0)</f>
        <v>0</v>
      </c>
      <c r="H186" s="155"/>
      <c r="I186" s="494"/>
      <c r="J186" s="121"/>
      <c r="K186" s="95"/>
      <c r="L186" s="96"/>
      <c r="M186" s="96"/>
      <c r="N186" s="96"/>
      <c r="O186" s="96"/>
      <c r="P186" s="96"/>
      <c r="Q186" s="95"/>
      <c r="R186" s="95"/>
      <c r="S186" s="95"/>
      <c r="T186" s="95"/>
      <c r="U186" s="95"/>
      <c r="V186" s="95"/>
      <c r="W186" s="95"/>
      <c r="X186" s="95"/>
      <c r="Y186" s="95"/>
      <c r="Z186" s="95"/>
    </row>
    <row r="187" spans="1:26" ht="42" customHeight="1" x14ac:dyDescent="0.35">
      <c r="B187" s="476"/>
      <c r="C187" s="443"/>
      <c r="D187" s="444" t="str">
        <f>INDEX('imp-questions'!G:G, MATCH(A186, 'imp-questions'!A:A, 0))</f>
        <v>You use results from other security activities to improve integrated security testing during development
 You review test results and incorporate them into security awareness training and security testing playbooks
 Stakeholders review the test results and handle them in accordance with the organization's risk management</v>
      </c>
      <c r="E187" s="445"/>
      <c r="F187" s="446"/>
      <c r="G187" s="137"/>
      <c r="H187" s="138"/>
      <c r="I187" s="495"/>
      <c r="J187" s="121"/>
      <c r="K187" s="95"/>
      <c r="L187" s="96"/>
      <c r="M187" s="96"/>
      <c r="N187" s="96"/>
      <c r="O187" s="96"/>
      <c r="P187" s="96"/>
      <c r="Q187" s="95"/>
      <c r="R187" s="95"/>
      <c r="S187" s="95"/>
      <c r="T187" s="95"/>
      <c r="U187" s="95"/>
      <c r="V187" s="95"/>
      <c r="W187" s="95"/>
      <c r="X187" s="95"/>
      <c r="Y187" s="95"/>
      <c r="Z187" s="95"/>
    </row>
    <row r="188" spans="1:26" ht="22.25" customHeight="1" x14ac:dyDescent="0.35">
      <c r="B188" s="542" t="s">
        <v>104</v>
      </c>
      <c r="C188" s="527"/>
      <c r="D188" s="527"/>
      <c r="E188" s="527"/>
      <c r="F188" s="527"/>
      <c r="G188" s="527"/>
      <c r="H188" s="527"/>
      <c r="I188" s="527"/>
      <c r="J188" s="527"/>
      <c r="K188" s="95"/>
      <c r="L188" s="96"/>
      <c r="M188" s="96"/>
      <c r="N188" s="96"/>
      <c r="O188" s="96"/>
      <c r="P188" s="96"/>
      <c r="Q188" s="95"/>
      <c r="R188" s="95"/>
      <c r="S188" s="95"/>
      <c r="T188" s="95"/>
      <c r="U188" s="95"/>
      <c r="V188" s="95"/>
      <c r="W188" s="95"/>
      <c r="X188" s="95"/>
      <c r="Y188" s="95"/>
      <c r="Z188" s="95"/>
    </row>
    <row r="189" spans="1:26" x14ac:dyDescent="0.35">
      <c r="B189" s="534" t="s">
        <v>105</v>
      </c>
      <c r="C189" s="535"/>
      <c r="D189" s="536"/>
      <c r="E189" s="193"/>
      <c r="F189" s="192" t="s">
        <v>15</v>
      </c>
      <c r="G189" s="192"/>
      <c r="H189" s="194"/>
      <c r="I189" s="195" t="s">
        <v>16</v>
      </c>
      <c r="J189" s="195" t="s">
        <v>17</v>
      </c>
      <c r="K189" s="95"/>
      <c r="L189" s="96"/>
      <c r="M189" s="96"/>
      <c r="N189" s="96"/>
      <c r="O189" s="96"/>
      <c r="P189" s="96"/>
      <c r="Q189" s="95"/>
      <c r="R189" s="95"/>
      <c r="S189" s="95"/>
      <c r="T189" s="95"/>
      <c r="U189" s="95"/>
      <c r="V189" s="95"/>
      <c r="W189" s="95"/>
      <c r="X189" s="95"/>
      <c r="Y189" s="95"/>
      <c r="Z189" s="95"/>
    </row>
    <row r="190" spans="1:26" ht="12.75" customHeight="1" x14ac:dyDescent="0.35">
      <c r="A190" s="89" t="s">
        <v>106</v>
      </c>
      <c r="B190" s="547" t="str">
        <f>INDEX('imp-questions'!D:D, MATCH(A190, 'imp-questions'!A:A, 0))</f>
        <v>Incident Detection</v>
      </c>
      <c r="C190" s="196">
        <f>INDEX('imp-questions'!E:E, MATCH(A190, 'imp-questions'!A:A, 0))</f>
        <v>1</v>
      </c>
      <c r="D190" s="112" t="str">
        <f>INDEX('imp-questions'!F:F, MATCH(A190, 'imp-questions'!A:A, 0))</f>
        <v>Do you analyze log data for security incidents periodically?</v>
      </c>
      <c r="E190" s="113" t="str">
        <f>CHAR(65+INDEX('imp-questions'!H:H, MATCH(A190, 'imp-questions'!A:A, 0)))</f>
        <v>A</v>
      </c>
      <c r="F190" s="150"/>
      <c r="G190" s="135">
        <f ca="1">IFERROR(INDEX(INDIRECT("Ans" &amp; E190 &amp; "TBL"), MATCH(F190, INDEX(INDIRECT("Ans" &amp; E190 &amp; "TBL"), 0, 1), 0), 2), 0)</f>
        <v>0</v>
      </c>
      <c r="H190" s="127">
        <f ca="1">IFERROR(AVERAGE(G190,G197),0)</f>
        <v>0</v>
      </c>
      <c r="I190" s="477"/>
      <c r="J190" s="537">
        <f ca="1">SUM(H190,H192,H194)</f>
        <v>0</v>
      </c>
      <c r="K190" s="95"/>
      <c r="L190" s="96"/>
      <c r="M190" s="96"/>
      <c r="N190" s="96"/>
      <c r="O190" s="96"/>
      <c r="P190" s="96"/>
      <c r="Q190" s="95"/>
      <c r="R190" s="95"/>
      <c r="S190" s="95"/>
      <c r="T190" s="95"/>
      <c r="U190" s="95"/>
      <c r="V190" s="95"/>
      <c r="W190" s="95"/>
      <c r="X190" s="95"/>
      <c r="Y190" s="95"/>
      <c r="Z190" s="95"/>
    </row>
    <row r="191" spans="1:26" ht="42" customHeight="1" x14ac:dyDescent="0.35">
      <c r="B191" s="475"/>
      <c r="C191" s="448"/>
      <c r="D191" s="449" t="str">
        <f>INDEX('imp-questions'!G:G, MATCH(A190, 'imp-questions'!A:A, 0))</f>
        <v>You have a contact point for the creation of security incidents
 You analyze data in accordance with the log data retention periods
 The frequency of this analysis is aligned with the criticality of your applications</v>
      </c>
      <c r="E191" s="450"/>
      <c r="F191" s="451"/>
      <c r="G191" s="143"/>
      <c r="H191" s="139"/>
      <c r="I191" s="478"/>
      <c r="J191" s="533"/>
      <c r="K191" s="95"/>
      <c r="L191" s="96"/>
      <c r="M191" s="96"/>
      <c r="N191" s="96"/>
      <c r="O191" s="96"/>
      <c r="P191" s="96"/>
      <c r="Q191" s="95"/>
      <c r="R191" s="95"/>
      <c r="S191" s="95"/>
      <c r="T191" s="95"/>
      <c r="U191" s="95"/>
      <c r="V191" s="95"/>
      <c r="W191" s="95"/>
      <c r="X191" s="95"/>
      <c r="Y191" s="95"/>
      <c r="Z191" s="95"/>
    </row>
    <row r="192" spans="1:26" x14ac:dyDescent="0.35">
      <c r="A192" s="89" t="s">
        <v>107</v>
      </c>
      <c r="B192" s="475"/>
      <c r="C192" s="196">
        <f>INDEX('imp-questions'!E:E, MATCH(A192, 'imp-questions'!A:A, 0))</f>
        <v>2</v>
      </c>
      <c r="D192" s="112" t="str">
        <f>INDEX('imp-questions'!F:F, MATCH(A192, 'imp-questions'!A:A, 0))</f>
        <v>Do you follow a documented process for incident detection?</v>
      </c>
      <c r="E192" s="113" t="str">
        <f>CHAR(65+INDEX('imp-questions'!H:H, MATCH(A192, 'imp-questions'!A:A, 0)))</f>
        <v>A</v>
      </c>
      <c r="F192" s="150"/>
      <c r="G192" s="135">
        <f ca="1">IFERROR(INDEX(INDIRECT("Ans" &amp; E192 &amp; "TBL"), MATCH(F192, INDEX(INDIRECT("Ans" &amp; E192 &amp; "TBL"), 0, 1), 0), 2), 0)</f>
        <v>0</v>
      </c>
      <c r="H192" s="127">
        <f ca="1">IFERROR(AVERAGE(G192,G199),0)</f>
        <v>0</v>
      </c>
      <c r="I192" s="488"/>
      <c r="J192" s="141"/>
      <c r="K192" s="95"/>
      <c r="L192" s="96"/>
      <c r="M192" s="96"/>
      <c r="N192" s="96"/>
      <c r="O192" s="96"/>
      <c r="P192" s="96"/>
      <c r="Q192" s="95"/>
      <c r="R192" s="95"/>
      <c r="S192" s="95"/>
      <c r="T192" s="95"/>
      <c r="U192" s="95"/>
      <c r="V192" s="95"/>
      <c r="W192" s="95"/>
      <c r="X192" s="95"/>
      <c r="Y192" s="95"/>
      <c r="Z192" s="95"/>
    </row>
    <row r="193" spans="1:26" ht="70.05" customHeight="1" x14ac:dyDescent="0.35">
      <c r="B193" s="475"/>
      <c r="C193" s="448"/>
      <c r="D193" s="449" t="str">
        <f>INDEX('imp-questions'!G:G, MATCH(A192, 'imp-questions'!A:A, 0))</f>
        <v>The process has a dedicated owner
 You store process documentation in an accessible location
 The process considers an escalation path for further analysis
 You train employees responsible for incident detection in this process
 You have a checklist of potential attacks to simplify incident detection</v>
      </c>
      <c r="E193" s="450"/>
      <c r="F193" s="452"/>
      <c r="G193" s="143"/>
      <c r="H193" s="142"/>
      <c r="I193" s="480"/>
      <c r="J193" s="141"/>
      <c r="K193" s="95"/>
      <c r="L193" s="96"/>
      <c r="M193" s="96"/>
      <c r="N193" s="96"/>
      <c r="O193" s="96"/>
      <c r="P193" s="96"/>
      <c r="Q193" s="95"/>
      <c r="R193" s="95"/>
      <c r="S193" s="95"/>
      <c r="T193" s="95"/>
      <c r="U193" s="95"/>
      <c r="V193" s="95"/>
      <c r="W193" s="95"/>
      <c r="X193" s="95"/>
      <c r="Y193" s="95"/>
      <c r="Z193" s="95"/>
    </row>
    <row r="194" spans="1:26" x14ac:dyDescent="0.35">
      <c r="A194" s="89" t="s">
        <v>108</v>
      </c>
      <c r="B194" s="475"/>
      <c r="C194" s="196">
        <f>INDEX('imp-questions'!E:E, MATCH(A194, 'imp-questions'!A:A, 0))</f>
        <v>3</v>
      </c>
      <c r="D194" s="112" t="str">
        <f>INDEX('imp-questions'!F:F, MATCH(A194, 'imp-questions'!A:A, 0))</f>
        <v>Do you review and update the incident detection process regularly?</v>
      </c>
      <c r="E194" s="113" t="str">
        <f>CHAR(65+INDEX('imp-questions'!H:H, MATCH(A194, 'imp-questions'!A:A, 0)))</f>
        <v>A</v>
      </c>
      <c r="F194" s="150"/>
      <c r="G194" s="135">
        <f ca="1">IFERROR(INDEX(INDIRECT("Ans" &amp; E194 &amp; "TBL"), MATCH(F194, INDEX(INDIRECT("Ans" &amp; E194 &amp; "TBL"), 0, 1), 0), 2), 0)</f>
        <v>0</v>
      </c>
      <c r="H194" s="127">
        <f ca="1">IFERROR(AVERAGE(G194,G201),0)</f>
        <v>0</v>
      </c>
      <c r="I194" s="479"/>
      <c r="J194" s="141"/>
      <c r="K194" s="95"/>
      <c r="L194" s="96"/>
      <c r="M194" s="96"/>
      <c r="N194" s="96"/>
      <c r="O194" s="96"/>
      <c r="P194" s="96"/>
      <c r="Q194" s="95"/>
      <c r="R194" s="95"/>
      <c r="S194" s="95"/>
      <c r="T194" s="95"/>
      <c r="U194" s="95"/>
      <c r="V194" s="95"/>
      <c r="W194" s="95"/>
      <c r="X194" s="95"/>
      <c r="Y194" s="95"/>
      <c r="Z194" s="95"/>
    </row>
    <row r="195" spans="1:26" ht="28.05" customHeight="1" x14ac:dyDescent="0.35">
      <c r="B195" s="476"/>
      <c r="C195" s="448"/>
      <c r="D195" s="449" t="str">
        <f>INDEX('imp-questions'!G:G, MATCH(A194, 'imp-questions'!A:A, 0))</f>
        <v>You perform reviews at least annually
 You update the checklist of potential attacks with external and internal data</v>
      </c>
      <c r="E195" s="450"/>
      <c r="F195" s="452"/>
      <c r="G195" s="174"/>
      <c r="H195" s="197"/>
      <c r="I195" s="480"/>
      <c r="J195" s="141"/>
      <c r="K195" s="95"/>
      <c r="L195" s="96"/>
      <c r="M195" s="96"/>
      <c r="N195" s="96"/>
      <c r="O195" s="96"/>
      <c r="P195" s="96"/>
      <c r="Q195" s="95"/>
      <c r="R195" s="95"/>
      <c r="S195" s="95"/>
      <c r="T195" s="95"/>
      <c r="U195" s="95"/>
      <c r="V195" s="95"/>
      <c r="W195" s="95"/>
      <c r="X195" s="95"/>
      <c r="Y195" s="95"/>
      <c r="Z195" s="95"/>
    </row>
    <row r="196" spans="1:26" x14ac:dyDescent="0.35">
      <c r="B196" s="164"/>
      <c r="C196" s="124"/>
      <c r="D196" s="125"/>
      <c r="E196" s="125"/>
      <c r="F196" s="125"/>
      <c r="G196" s="125"/>
      <c r="H196" s="125"/>
      <c r="I196" s="165"/>
      <c r="J196" s="121"/>
      <c r="K196" s="95"/>
      <c r="L196" s="96"/>
      <c r="M196" s="96"/>
      <c r="N196" s="96"/>
      <c r="O196" s="96"/>
      <c r="P196" s="96"/>
      <c r="Q196" s="95"/>
      <c r="R196" s="95"/>
      <c r="S196" s="95"/>
      <c r="T196" s="95"/>
      <c r="U196" s="95"/>
      <c r="V196" s="95"/>
      <c r="W196" s="95"/>
      <c r="X196" s="95"/>
      <c r="Y196" s="95"/>
      <c r="Z196" s="95"/>
    </row>
    <row r="197" spans="1:26" ht="15" customHeight="1" x14ac:dyDescent="0.35">
      <c r="A197" s="89" t="s">
        <v>109</v>
      </c>
      <c r="B197" s="547" t="str">
        <f>INDEX('imp-questions'!D:D, MATCH(A197, 'imp-questions'!A:A, 0))</f>
        <v>Incident Response</v>
      </c>
      <c r="C197" s="198">
        <f>INDEX('imp-questions'!E:E, MATCH(A197, 'imp-questions'!A:A, 0))</f>
        <v>1</v>
      </c>
      <c r="D197" s="112" t="str">
        <f>INDEX('imp-questions'!F:F, MATCH(A197, 'imp-questions'!A:A, 0))</f>
        <v>Do you respond to detected incidents?</v>
      </c>
      <c r="E197" s="113" t="str">
        <f>CHAR(65+INDEX('imp-questions'!H:H, MATCH(A197, 'imp-questions'!A:A, 0)))</f>
        <v>H</v>
      </c>
      <c r="F197" s="114"/>
      <c r="G197" s="135">
        <f ca="1">IFERROR(INDEX(INDIRECT("Ans" &amp; E197 &amp; "TBL"), MATCH(F197, INDEX(INDIRECT("Ans" &amp; E197 &amp; "TBL"), 0, 1), 0), 2), 0)</f>
        <v>0</v>
      </c>
      <c r="H197" s="127"/>
      <c r="I197" s="485"/>
      <c r="J197" s="121"/>
      <c r="K197" s="95"/>
      <c r="L197" s="96"/>
      <c r="M197" s="96"/>
      <c r="N197" s="96"/>
      <c r="O197" s="96"/>
      <c r="P197" s="96"/>
      <c r="Q197" s="95"/>
      <c r="R197" s="95"/>
      <c r="S197" s="95"/>
      <c r="T197" s="95"/>
      <c r="U197" s="95"/>
      <c r="V197" s="95"/>
      <c r="W197" s="95"/>
      <c r="X197" s="95"/>
      <c r="Y197" s="95"/>
      <c r="Z197" s="95"/>
    </row>
    <row r="198" spans="1:26" ht="28.05" customHeight="1" x14ac:dyDescent="0.35">
      <c r="B198" s="475"/>
      <c r="C198" s="448"/>
      <c r="D198" s="449" t="str">
        <f>INDEX('imp-questions'!G:G, MATCH(A197, 'imp-questions'!A:A, 0))</f>
        <v>You have a defined person or role for incident handling
 You document security incidents</v>
      </c>
      <c r="E198" s="450"/>
      <c r="F198" s="451"/>
      <c r="G198" s="143"/>
      <c r="H198" s="144"/>
      <c r="I198" s="484"/>
      <c r="J198" s="121"/>
      <c r="K198" s="95"/>
      <c r="L198" s="96"/>
      <c r="M198" s="96"/>
      <c r="N198" s="96"/>
      <c r="O198" s="96"/>
      <c r="P198" s="96"/>
      <c r="Q198" s="95"/>
      <c r="R198" s="95"/>
      <c r="S198" s="95"/>
      <c r="T198" s="95"/>
      <c r="U198" s="95"/>
      <c r="V198" s="95"/>
      <c r="W198" s="95"/>
      <c r="X198" s="95"/>
      <c r="Y198" s="95"/>
      <c r="Z198" s="95"/>
    </row>
    <row r="199" spans="1:26" x14ac:dyDescent="0.35">
      <c r="A199" s="89" t="s">
        <v>110</v>
      </c>
      <c r="B199" s="475"/>
      <c r="C199" s="196">
        <f>INDEX('imp-questions'!E:E, MATCH(A199, 'imp-questions'!A:A, 0))</f>
        <v>2</v>
      </c>
      <c r="D199" s="112" t="str">
        <f>INDEX('imp-questions'!F:F, MATCH(A199, 'imp-questions'!A:A, 0))</f>
        <v>Do you use a repeatable process for incident handling?</v>
      </c>
      <c r="E199" s="113" t="str">
        <f>CHAR(65+INDEX('imp-questions'!H:H, MATCH(A199, 'imp-questions'!A:A, 0)))</f>
        <v>I</v>
      </c>
      <c r="F199" s="118"/>
      <c r="G199" s="135">
        <f ca="1">IFERROR(INDEX(INDIRECT("Ans" &amp; E199 &amp; "TBL"), MATCH(F199, INDEX(INDIRECT("Ans" &amp; E199 &amp; "TBL"), 0, 1), 0), 2), 0)</f>
        <v>0</v>
      </c>
      <c r="H199" s="127"/>
      <c r="I199" s="485"/>
      <c r="J199" s="121"/>
      <c r="K199" s="95"/>
      <c r="L199" s="96"/>
      <c r="M199" s="96"/>
      <c r="N199" s="96"/>
      <c r="O199" s="96"/>
      <c r="P199" s="96"/>
      <c r="Q199" s="95"/>
      <c r="R199" s="95"/>
      <c r="S199" s="95"/>
      <c r="T199" s="95"/>
      <c r="U199" s="95"/>
      <c r="V199" s="95"/>
      <c r="W199" s="95"/>
      <c r="X199" s="95"/>
      <c r="Y199" s="95"/>
      <c r="Z199" s="95"/>
    </row>
    <row r="200" spans="1:26" ht="56" customHeight="1" x14ac:dyDescent="0.35">
      <c r="B200" s="475"/>
      <c r="C200" s="448"/>
      <c r="D200" s="449" t="str">
        <f>INDEX('imp-questions'!G:G, MATCH(A199, 'imp-questions'!A:A, 0))</f>
        <v>You have an agreed upon incident classification
 The process considers Root Cause Analysis for high severity incidents
 Employees responsible for incident response are trained in this process
 Forensic analysis tooling is available</v>
      </c>
      <c r="E200" s="450"/>
      <c r="F200" s="451"/>
      <c r="G200" s="143"/>
      <c r="H200" s="144"/>
      <c r="I200" s="484"/>
      <c r="J200" s="121"/>
      <c r="K200" s="95"/>
      <c r="L200" s="96"/>
      <c r="M200" s="96"/>
      <c r="N200" s="96"/>
      <c r="O200" s="96"/>
      <c r="P200" s="96"/>
      <c r="Q200" s="95"/>
      <c r="R200" s="95"/>
      <c r="S200" s="95"/>
      <c r="T200" s="95"/>
      <c r="U200" s="95"/>
      <c r="V200" s="95"/>
      <c r="W200" s="95"/>
      <c r="X200" s="95"/>
      <c r="Y200" s="95"/>
      <c r="Z200" s="95"/>
    </row>
    <row r="201" spans="1:26" x14ac:dyDescent="0.35">
      <c r="A201" s="89" t="s">
        <v>111</v>
      </c>
      <c r="B201" s="475"/>
      <c r="C201" s="196">
        <f>INDEX('imp-questions'!E:E, MATCH(A201, 'imp-questions'!A:A, 0))</f>
        <v>3</v>
      </c>
      <c r="D201" s="112" t="str">
        <f>INDEX('imp-questions'!F:F, MATCH(A201, 'imp-questions'!A:A, 0))</f>
        <v>Do you have a dedicated incident response team available?</v>
      </c>
      <c r="E201" s="113" t="str">
        <f>CHAR(65+INDEX('imp-questions'!H:H, MATCH(A201, 'imp-questions'!A:A, 0)))</f>
        <v>E</v>
      </c>
      <c r="F201" s="118"/>
      <c r="G201" s="135">
        <f ca="1">IFERROR(INDEX(INDIRECT("Ans" &amp; E201 &amp; "TBL"), MATCH(F201, INDEX(INDIRECT("Ans" &amp; E201 &amp; "TBL"), 0, 1), 0), 2), 0)</f>
        <v>0</v>
      </c>
      <c r="H201" s="127"/>
      <c r="I201" s="485"/>
      <c r="J201" s="121"/>
      <c r="K201" s="95"/>
      <c r="L201" s="96"/>
      <c r="M201" s="96"/>
      <c r="N201" s="96"/>
      <c r="O201" s="96"/>
      <c r="P201" s="96"/>
      <c r="Q201" s="95"/>
      <c r="R201" s="95"/>
      <c r="S201" s="95"/>
      <c r="T201" s="95"/>
      <c r="U201" s="95"/>
      <c r="V201" s="95"/>
      <c r="W201" s="95"/>
      <c r="X201" s="95"/>
      <c r="Y201" s="95"/>
      <c r="Z201" s="95"/>
    </row>
    <row r="202" spans="1:26" ht="28.05" customHeight="1" x14ac:dyDescent="0.35">
      <c r="B202" s="476"/>
      <c r="C202" s="448"/>
      <c r="D202" s="453" t="str">
        <f>INDEX('imp-questions'!G:G, MATCH(A201, 'imp-questions'!A:A, 0))</f>
        <v>The team performs Root Cause Analysis for all security incidents unless there is a specific reason not to do so
 You review and update the response process at least annually</v>
      </c>
      <c r="E202" s="450"/>
      <c r="F202" s="451"/>
      <c r="G202" s="143"/>
      <c r="H202" s="144"/>
      <c r="I202" s="484"/>
      <c r="J202" s="121"/>
      <c r="K202" s="95"/>
      <c r="L202" s="96"/>
      <c r="M202" s="96"/>
      <c r="N202" s="96"/>
      <c r="O202" s="96"/>
      <c r="P202" s="96"/>
      <c r="Q202" s="95"/>
      <c r="R202" s="95"/>
      <c r="S202" s="95"/>
      <c r="T202" s="95"/>
      <c r="U202" s="95"/>
      <c r="V202" s="95"/>
      <c r="W202" s="95"/>
      <c r="X202" s="95"/>
      <c r="Y202" s="95"/>
      <c r="Z202" s="95"/>
    </row>
    <row r="203" spans="1:26" x14ac:dyDescent="0.35">
      <c r="B203" s="549" t="s">
        <v>112</v>
      </c>
      <c r="C203" s="544"/>
      <c r="D203" s="545"/>
      <c r="E203" s="199"/>
      <c r="F203" s="200" t="s">
        <v>15</v>
      </c>
      <c r="G203" s="200"/>
      <c r="H203" s="201"/>
      <c r="I203" s="195" t="s">
        <v>16</v>
      </c>
      <c r="J203" s="195" t="s">
        <v>17</v>
      </c>
      <c r="K203" s="95"/>
      <c r="L203" s="96"/>
      <c r="M203" s="96"/>
      <c r="N203" s="96"/>
      <c r="O203" s="96"/>
      <c r="P203" s="96"/>
      <c r="Q203" s="95"/>
      <c r="R203" s="95"/>
      <c r="S203" s="95"/>
      <c r="T203" s="95"/>
      <c r="U203" s="95"/>
      <c r="V203" s="95"/>
      <c r="W203" s="95"/>
      <c r="X203" s="95"/>
      <c r="Y203" s="95"/>
      <c r="Z203" s="95"/>
    </row>
    <row r="204" spans="1:26" ht="30" customHeight="1" x14ac:dyDescent="0.35">
      <c r="A204" s="89" t="s">
        <v>113</v>
      </c>
      <c r="B204" s="548" t="str">
        <f>INDEX('imp-questions'!D:D, MATCH(A204, 'imp-questions'!A:A, 0))</f>
        <v>Configuration Hardening</v>
      </c>
      <c r="C204" s="198">
        <f>INDEX('imp-questions'!E:E, MATCH(A204, 'imp-questions'!A:A, 0))</f>
        <v>1</v>
      </c>
      <c r="D204" s="131" t="str">
        <f>INDEX('imp-questions'!F:F, MATCH(A204, 'imp-questions'!A:A, 0))</f>
        <v>Do you harden configurations for key components of your technology stacks?</v>
      </c>
      <c r="E204" s="113" t="str">
        <f>CHAR(65+INDEX('imp-questions'!H:H, MATCH(A204, 'imp-questions'!A:A, 0)))</f>
        <v>G</v>
      </c>
      <c r="F204" s="150"/>
      <c r="G204" s="135">
        <f ca="1">IFERROR(INDEX(INDIRECT("Ans" &amp; E204 &amp; "TBL"), MATCH(F204, INDEX(INDIRECT("Ans" &amp; E204 &amp; "TBL"), 0, 1), 0), 2), 0)</f>
        <v>0</v>
      </c>
      <c r="H204" s="127">
        <f ca="1">IFERROR(AVERAGE(G204,G211),0)</f>
        <v>0</v>
      </c>
      <c r="I204" s="477"/>
      <c r="J204" s="537">
        <f ca="1">SUM(H204,H206,H208)</f>
        <v>0</v>
      </c>
      <c r="K204" s="95"/>
      <c r="L204" s="96"/>
      <c r="M204" s="96"/>
      <c r="N204" s="96"/>
      <c r="O204" s="96"/>
      <c r="P204" s="96"/>
      <c r="Q204" s="95"/>
      <c r="R204" s="95"/>
      <c r="S204" s="95"/>
      <c r="T204" s="95"/>
      <c r="U204" s="95"/>
      <c r="V204" s="95"/>
      <c r="W204" s="95"/>
      <c r="X204" s="95"/>
      <c r="Y204" s="95"/>
      <c r="Z204" s="95"/>
    </row>
    <row r="205" spans="1:26" ht="28.05" customHeight="1" x14ac:dyDescent="0.35">
      <c r="B205" s="475"/>
      <c r="C205" s="448"/>
      <c r="D205" s="449" t="str">
        <f>INDEX('imp-questions'!G:G, MATCH(A204, 'imp-questions'!A:A, 0))</f>
        <v>You have identified the key components in each technology stack used
 You have an established configuration standard for each key component</v>
      </c>
      <c r="E205" s="450"/>
      <c r="F205" s="451"/>
      <c r="G205" s="143"/>
      <c r="H205" s="139"/>
      <c r="I205" s="478"/>
      <c r="J205" s="533"/>
      <c r="K205" s="95"/>
      <c r="L205" s="96"/>
      <c r="M205" s="96"/>
      <c r="N205" s="96"/>
      <c r="O205" s="96"/>
      <c r="P205" s="96"/>
      <c r="Q205" s="95"/>
      <c r="R205" s="95"/>
      <c r="S205" s="95"/>
      <c r="T205" s="95"/>
      <c r="U205" s="95"/>
      <c r="V205" s="95"/>
      <c r="W205" s="95"/>
      <c r="X205" s="95"/>
      <c r="Y205" s="95"/>
      <c r="Z205" s="95"/>
    </row>
    <row r="206" spans="1:26" x14ac:dyDescent="0.35">
      <c r="A206" s="89" t="s">
        <v>114</v>
      </c>
      <c r="B206" s="475"/>
      <c r="C206" s="196">
        <f>INDEX('imp-questions'!E:E, MATCH(A206, 'imp-questions'!A:A, 0))</f>
        <v>2</v>
      </c>
      <c r="D206" s="112" t="str">
        <f>INDEX('imp-questions'!F:F, MATCH(A206, 'imp-questions'!A:A, 0))</f>
        <v>Do you have hardening baselines for your components?</v>
      </c>
      <c r="E206" s="113" t="str">
        <f>CHAR(65+INDEX('imp-questions'!H:H, MATCH(A206, 'imp-questions'!A:A, 0)))</f>
        <v>G</v>
      </c>
      <c r="F206" s="118"/>
      <c r="G206" s="135">
        <f ca="1">IFERROR(INDEX(INDIRECT("Ans" &amp; E206 &amp; "TBL"), MATCH(F206, INDEX(INDIRECT("Ans" &amp; E206 &amp; "TBL"), 0, 1), 0), 2), 0)</f>
        <v>0</v>
      </c>
      <c r="H206" s="127">
        <f ca="1">IFERROR(AVERAGE(G206,G213),0)</f>
        <v>0</v>
      </c>
      <c r="I206" s="488"/>
      <c r="J206" s="141"/>
      <c r="K206" s="95"/>
      <c r="L206" s="96"/>
      <c r="M206" s="96"/>
      <c r="N206" s="96"/>
      <c r="O206" s="96"/>
      <c r="P206" s="96"/>
      <c r="Q206" s="95"/>
      <c r="R206" s="95"/>
      <c r="S206" s="95"/>
      <c r="T206" s="95"/>
      <c r="U206" s="95"/>
      <c r="V206" s="95"/>
      <c r="W206" s="95"/>
      <c r="X206" s="95"/>
      <c r="Y206" s="95"/>
      <c r="Z206" s="95"/>
    </row>
    <row r="207" spans="1:26" ht="56" customHeight="1" x14ac:dyDescent="0.35">
      <c r="B207" s="475"/>
      <c r="C207" s="448"/>
      <c r="D207" s="449" t="str">
        <f>INDEX('imp-questions'!G:G, MATCH(A206, 'imp-questions'!A:A, 0))</f>
        <v>You have assigned an owner for each baseline
 The owner keeps their assigned baselines up to date
 You store baselines in an accessible location
 You train employees responsible for configurations in these baselines</v>
      </c>
      <c r="E207" s="450"/>
      <c r="F207" s="451"/>
      <c r="G207" s="143"/>
      <c r="H207" s="142"/>
      <c r="I207" s="480"/>
      <c r="J207" s="141"/>
      <c r="K207" s="95"/>
      <c r="L207" s="96"/>
      <c r="M207" s="96"/>
      <c r="N207" s="96"/>
      <c r="O207" s="96"/>
      <c r="P207" s="96"/>
      <c r="Q207" s="95"/>
      <c r="R207" s="95"/>
      <c r="S207" s="95"/>
      <c r="T207" s="95"/>
      <c r="U207" s="95"/>
      <c r="V207" s="95"/>
      <c r="W207" s="95"/>
      <c r="X207" s="95"/>
      <c r="Y207" s="95"/>
      <c r="Z207" s="95"/>
    </row>
    <row r="208" spans="1:26" x14ac:dyDescent="0.35">
      <c r="A208" s="89" t="s">
        <v>115</v>
      </c>
      <c r="B208" s="475"/>
      <c r="C208" s="196">
        <f>INDEX('imp-questions'!E:E, MATCH(A208, 'imp-questions'!A:A, 0))</f>
        <v>3</v>
      </c>
      <c r="D208" s="112" t="str">
        <f>INDEX('imp-questions'!F:F, MATCH(A208, 'imp-questions'!A:A, 0))</f>
        <v>Do you monitor and enforce conformity with hardening baselines?</v>
      </c>
      <c r="E208" s="113" t="str">
        <f>CHAR(65+INDEX('imp-questions'!H:H, MATCH(A208, 'imp-questions'!A:A, 0)))</f>
        <v>G</v>
      </c>
      <c r="F208" s="118"/>
      <c r="G208" s="135">
        <f ca="1">IFERROR(INDEX(INDIRECT("Ans" &amp; E208 &amp; "TBL"), MATCH(F208, INDEX(INDIRECT("Ans" &amp; E208 &amp; "TBL"), 0, 1), 0), 2), 0)</f>
        <v>0</v>
      </c>
      <c r="H208" s="127">
        <f ca="1">IFERROR(AVERAGE(G208,G215),0)</f>
        <v>0</v>
      </c>
      <c r="I208" s="479"/>
      <c r="J208" s="141"/>
      <c r="K208" s="95"/>
      <c r="L208" s="96"/>
      <c r="M208" s="96"/>
      <c r="N208" s="96"/>
      <c r="O208" s="96"/>
      <c r="P208" s="96"/>
      <c r="Q208" s="95"/>
      <c r="R208" s="95"/>
      <c r="S208" s="95"/>
      <c r="T208" s="95"/>
      <c r="U208" s="95"/>
      <c r="V208" s="95"/>
      <c r="W208" s="95"/>
      <c r="X208" s="95"/>
      <c r="Y208" s="95"/>
      <c r="Z208" s="95"/>
    </row>
    <row r="209" spans="1:26" ht="56" customHeight="1" x14ac:dyDescent="0.35">
      <c r="B209" s="476"/>
      <c r="C209" s="448"/>
      <c r="D209" s="449" t="str">
        <f>INDEX('imp-questions'!G:G, MATCH(A208, 'imp-questions'!A:A, 0))</f>
        <v>You perform conformity checks regularly, preferably using automation
 You store conformity check results in an accessible location
 You follow an established process to address reported non-conformities
 You review each baseline at least annually, and update it when required</v>
      </c>
      <c r="E209" s="450"/>
      <c r="F209" s="451"/>
      <c r="G209" s="143"/>
      <c r="H209" s="142"/>
      <c r="I209" s="480"/>
      <c r="J209" s="141"/>
      <c r="K209" s="95"/>
      <c r="L209" s="96"/>
      <c r="M209" s="96"/>
      <c r="N209" s="96"/>
      <c r="O209" s="96"/>
      <c r="P209" s="96"/>
      <c r="Q209" s="95"/>
      <c r="R209" s="95"/>
      <c r="S209" s="95"/>
      <c r="T209" s="95"/>
      <c r="U209" s="95"/>
      <c r="V209" s="95"/>
      <c r="W209" s="95"/>
      <c r="X209" s="95"/>
      <c r="Y209" s="95"/>
      <c r="Z209" s="95"/>
    </row>
    <row r="210" spans="1:26" x14ac:dyDescent="0.35">
      <c r="B210" s="164"/>
      <c r="C210" s="124"/>
      <c r="D210" s="125"/>
      <c r="E210" s="125"/>
      <c r="F210" s="125"/>
      <c r="G210" s="202"/>
      <c r="H210" s="125"/>
      <c r="I210" s="165"/>
      <c r="J210" s="121"/>
      <c r="K210" s="95"/>
      <c r="L210" s="96"/>
      <c r="M210" s="96"/>
      <c r="N210" s="96"/>
      <c r="O210" s="96"/>
      <c r="P210" s="96"/>
      <c r="Q210" s="95"/>
      <c r="R210" s="95"/>
      <c r="S210" s="95"/>
      <c r="T210" s="95"/>
      <c r="U210" s="95"/>
      <c r="V210" s="95"/>
      <c r="W210" s="95"/>
      <c r="X210" s="95"/>
      <c r="Y210" s="95"/>
      <c r="Z210" s="95"/>
    </row>
    <row r="211" spans="1:26" ht="15" customHeight="1" x14ac:dyDescent="0.35">
      <c r="A211" s="89" t="s">
        <v>116</v>
      </c>
      <c r="B211" s="547" t="str">
        <f>INDEX('imp-questions'!D:D, MATCH(A211, 'imp-questions'!A:A, 0))</f>
        <v>Patching and Updating</v>
      </c>
      <c r="C211" s="198">
        <f>INDEX('imp-questions'!E:E, MATCH(A211, 'imp-questions'!A:A, 0))</f>
        <v>1</v>
      </c>
      <c r="D211" s="112" t="str">
        <f>INDEX('imp-questions'!F:F, MATCH(A211, 'imp-questions'!A:A, 0))</f>
        <v>Do you identify and patch vulnerable components?</v>
      </c>
      <c r="E211" s="113" t="str">
        <f>CHAR(65+INDEX('imp-questions'!H:H, MATCH(A211, 'imp-questions'!A:A, 0)))</f>
        <v>G</v>
      </c>
      <c r="F211" s="114"/>
      <c r="G211" s="135">
        <f ca="1">IFERROR(INDEX(INDIRECT("Ans" &amp; E211 &amp; "TBL"), MATCH(F211, INDEX(INDIRECT("Ans" &amp; E211 &amp; "TBL"), 0, 1), 0), 2), 0)</f>
        <v>0</v>
      </c>
      <c r="H211" s="127"/>
      <c r="I211" s="485"/>
      <c r="J211" s="121"/>
      <c r="K211" s="95"/>
      <c r="L211" s="96"/>
      <c r="M211" s="96"/>
      <c r="N211" s="96"/>
      <c r="O211" s="96"/>
      <c r="P211" s="96"/>
      <c r="Q211" s="95"/>
      <c r="R211" s="95"/>
      <c r="S211" s="95"/>
      <c r="T211" s="95"/>
      <c r="U211" s="95"/>
      <c r="V211" s="95"/>
      <c r="W211" s="95"/>
      <c r="X211" s="95"/>
      <c r="Y211" s="95"/>
      <c r="Z211" s="95"/>
    </row>
    <row r="212" spans="1:26" ht="28.05" customHeight="1" x14ac:dyDescent="0.35">
      <c r="B212" s="475"/>
      <c r="C212" s="448"/>
      <c r="D212" s="449" t="str">
        <f>INDEX('imp-questions'!G:G, MATCH(A211, 'imp-questions'!A:A, 0))</f>
        <v>You have an up-to-date list of components, including version information
 You regularly review public sources for vulnerabilities related to your components</v>
      </c>
      <c r="E212" s="450"/>
      <c r="F212" s="451"/>
      <c r="G212" s="143"/>
      <c r="H212" s="144"/>
      <c r="I212" s="484"/>
      <c r="J212" s="121"/>
      <c r="K212" s="95"/>
      <c r="L212" s="96"/>
      <c r="M212" s="96"/>
      <c r="N212" s="96"/>
      <c r="O212" s="96"/>
      <c r="P212" s="96"/>
      <c r="Q212" s="95"/>
      <c r="R212" s="95"/>
      <c r="S212" s="95"/>
      <c r="T212" s="95"/>
      <c r="U212" s="95"/>
      <c r="V212" s="95"/>
      <c r="W212" s="95"/>
      <c r="X212" s="95"/>
      <c r="Y212" s="95"/>
      <c r="Z212" s="95"/>
    </row>
    <row r="213" spans="1:26" x14ac:dyDescent="0.35">
      <c r="A213" s="89" t="s">
        <v>117</v>
      </c>
      <c r="B213" s="475"/>
      <c r="C213" s="196">
        <f>INDEX('imp-questions'!E:E, MATCH(A213, 'imp-questions'!A:A, 0))</f>
        <v>2</v>
      </c>
      <c r="D213" s="112" t="str">
        <f>INDEX('imp-questions'!F:F, MATCH(A213, 'imp-questions'!A:A, 0))</f>
        <v>Do you follow an established process for updating components of your technology stacks?</v>
      </c>
      <c r="E213" s="113" t="str">
        <f>CHAR(65+INDEX('imp-questions'!H:H, MATCH(A213, 'imp-questions'!A:A, 0)))</f>
        <v>G</v>
      </c>
      <c r="F213" s="118"/>
      <c r="G213" s="135">
        <f ca="1">IFERROR(INDEX(INDIRECT("Ans" &amp; E213 &amp; "TBL"), MATCH(F213, INDEX(INDIRECT("Ans" &amp; E213 &amp; "TBL"), 0, 1), 0), 2), 0)</f>
        <v>0</v>
      </c>
      <c r="H213" s="127"/>
      <c r="I213" s="485"/>
      <c r="J213" s="121"/>
      <c r="K213" s="95"/>
      <c r="L213" s="96"/>
      <c r="M213" s="96"/>
      <c r="N213" s="96"/>
      <c r="O213" s="96"/>
      <c r="P213" s="96"/>
      <c r="Q213" s="95"/>
      <c r="R213" s="95"/>
      <c r="S213" s="95"/>
      <c r="T213" s="95"/>
      <c r="U213" s="95"/>
      <c r="V213" s="95"/>
      <c r="W213" s="95"/>
      <c r="X213" s="95"/>
      <c r="Y213" s="95"/>
      <c r="Z213" s="95"/>
    </row>
    <row r="214" spans="1:26" ht="42" customHeight="1" x14ac:dyDescent="0.35">
      <c r="B214" s="475"/>
      <c r="C214" s="448"/>
      <c r="D214" s="449" t="str">
        <f>INDEX('imp-questions'!G:G, MATCH(A213, 'imp-questions'!A:A, 0))</f>
        <v>The process includes vendor information for third-party patches
 The process considers external sources to gather information about zero day attacks, and includes appropriate risk mitigation steps
 The process includes guidance for prioritizing component updates</v>
      </c>
      <c r="E214" s="450"/>
      <c r="F214" s="451"/>
      <c r="G214" s="116"/>
      <c r="H214" s="122"/>
      <c r="I214" s="484"/>
      <c r="J214" s="121"/>
      <c r="K214" s="95"/>
      <c r="L214" s="96"/>
      <c r="M214" s="96"/>
      <c r="N214" s="96"/>
      <c r="O214" s="96"/>
      <c r="P214" s="96"/>
      <c r="Q214" s="95"/>
      <c r="R214" s="95"/>
      <c r="S214" s="95"/>
      <c r="T214" s="95"/>
      <c r="U214" s="95"/>
      <c r="V214" s="95"/>
      <c r="W214" s="95"/>
      <c r="X214" s="95"/>
      <c r="Y214" s="95"/>
      <c r="Z214" s="95"/>
    </row>
    <row r="215" spans="1:26" x14ac:dyDescent="0.35">
      <c r="A215" s="89" t="s">
        <v>118</v>
      </c>
      <c r="B215" s="475"/>
      <c r="C215" s="196">
        <f>INDEX('imp-questions'!E:E, MATCH(A215, 'imp-questions'!A:A, 0))</f>
        <v>3</v>
      </c>
      <c r="D215" s="112" t="str">
        <f>INDEX('imp-questions'!F:F, MATCH(A215, 'imp-questions'!A:A, 0))</f>
        <v>Do you regularly evaluate components and review patch level status?</v>
      </c>
      <c r="E215" s="113" t="str">
        <f>CHAR(65+INDEX('imp-questions'!H:H, MATCH(A215, 'imp-questions'!A:A, 0)))</f>
        <v>G</v>
      </c>
      <c r="F215" s="118"/>
      <c r="G215" s="135">
        <f ca="1">IFERROR(INDEX(INDIRECT("Ans" &amp; E215 &amp; "TBL"), MATCH(F215, INDEX(INDIRECT("Ans" &amp; E215 &amp; "TBL"), 0, 1), 0), 2), 0)</f>
        <v>0</v>
      </c>
      <c r="H215" s="127"/>
      <c r="I215" s="485"/>
      <c r="J215" s="121"/>
      <c r="K215" s="95"/>
      <c r="L215" s="96"/>
      <c r="M215" s="96"/>
      <c r="N215" s="96"/>
      <c r="O215" s="96"/>
      <c r="P215" s="96"/>
      <c r="Q215" s="95"/>
      <c r="R215" s="95"/>
      <c r="S215" s="95"/>
      <c r="T215" s="95"/>
      <c r="U215" s="95"/>
      <c r="V215" s="95"/>
      <c r="W215" s="95"/>
      <c r="X215" s="95"/>
      <c r="Y215" s="95"/>
      <c r="Z215" s="95"/>
    </row>
    <row r="216" spans="1:26" ht="42" customHeight="1" x14ac:dyDescent="0.35">
      <c r="B216" s="476"/>
      <c r="C216" s="448"/>
      <c r="D216" s="453" t="str">
        <f>INDEX('imp-questions'!G:G, MATCH(A215, 'imp-questions'!A:A, 0))</f>
        <v>You update the list with components and versions
 You identify and update missing updates according to existing SLA
 You review and update the process based on feedback from the people who perform patching</v>
      </c>
      <c r="E216" s="450"/>
      <c r="F216" s="451"/>
      <c r="G216" s="116"/>
      <c r="H216" s="122"/>
      <c r="I216" s="484"/>
      <c r="J216" s="121"/>
      <c r="K216" s="95"/>
      <c r="L216" s="96"/>
      <c r="M216" s="96"/>
      <c r="N216" s="96"/>
      <c r="O216" s="96"/>
      <c r="P216" s="96"/>
      <c r="Q216" s="95"/>
      <c r="R216" s="95"/>
      <c r="S216" s="95"/>
      <c r="T216" s="95"/>
      <c r="U216" s="95"/>
      <c r="V216" s="95"/>
      <c r="W216" s="95"/>
      <c r="X216" s="95"/>
      <c r="Y216" s="95"/>
      <c r="Z216" s="95"/>
    </row>
    <row r="217" spans="1:26" x14ac:dyDescent="0.35">
      <c r="B217" s="549" t="s">
        <v>119</v>
      </c>
      <c r="C217" s="544"/>
      <c r="D217" s="545"/>
      <c r="E217" s="199"/>
      <c r="F217" s="200" t="s">
        <v>15</v>
      </c>
      <c r="G217" s="200"/>
      <c r="H217" s="201"/>
      <c r="I217" s="195" t="s">
        <v>16</v>
      </c>
      <c r="J217" s="195" t="s">
        <v>17</v>
      </c>
      <c r="K217" s="95"/>
      <c r="L217" s="96"/>
      <c r="M217" s="96"/>
      <c r="N217" s="96"/>
      <c r="O217" s="96"/>
      <c r="P217" s="96"/>
      <c r="Q217" s="95"/>
      <c r="R217" s="95"/>
      <c r="S217" s="95"/>
      <c r="T217" s="95"/>
      <c r="U217" s="95"/>
      <c r="V217" s="95"/>
      <c r="W217" s="95"/>
      <c r="X217" s="95"/>
      <c r="Y217" s="95"/>
      <c r="Z217" s="95"/>
    </row>
    <row r="218" spans="1:26" ht="28.05" customHeight="1" x14ac:dyDescent="0.35">
      <c r="A218" s="89" t="s">
        <v>120</v>
      </c>
      <c r="B218" s="548" t="str">
        <f>INDEX('imp-questions'!D:D, MATCH(A218, 'imp-questions'!A:A, 0))</f>
        <v>Data Protection</v>
      </c>
      <c r="C218" s="198">
        <f>INDEX('imp-questions'!E:E, MATCH(A218, 'imp-questions'!A:A, 0))</f>
        <v>1</v>
      </c>
      <c r="D218" s="131" t="str">
        <f>INDEX('imp-questions'!F:F, MATCH(A218, 'imp-questions'!A:A, 0))</f>
        <v>Do you protect and handle information according to protection requirements for data stored and processed on each application?</v>
      </c>
      <c r="E218" s="113" t="str">
        <f>CHAR(65+INDEX('imp-questions'!H:H, MATCH(A218, 'imp-questions'!A:A, 0)))</f>
        <v>A</v>
      </c>
      <c r="F218" s="150"/>
      <c r="G218" s="135">
        <f ca="1">IFERROR(INDEX(INDIRECT("Ans" &amp; E218 &amp; "TBL"), MATCH(F218, INDEX(INDIRECT("Ans" &amp; E218 &amp; "TBL"), 0, 1), 0), 2), 0)</f>
        <v>0</v>
      </c>
      <c r="H218" s="127">
        <f ca="1">IFERROR(AVERAGE(G218,G225),0)</f>
        <v>0</v>
      </c>
      <c r="I218" s="477"/>
      <c r="J218" s="537">
        <f ca="1">SUM(H218,H220,H222)</f>
        <v>0</v>
      </c>
      <c r="K218" s="95"/>
      <c r="L218" s="96"/>
      <c r="M218" s="96"/>
      <c r="N218" s="96"/>
      <c r="O218" s="96"/>
      <c r="P218" s="96"/>
      <c r="Q218" s="95"/>
      <c r="R218" s="95"/>
      <c r="S218" s="95"/>
      <c r="T218" s="95"/>
      <c r="U218" s="95"/>
      <c r="V218" s="95"/>
      <c r="W218" s="95"/>
      <c r="X218" s="95"/>
      <c r="Y218" s="95"/>
      <c r="Z218" s="95"/>
    </row>
    <row r="219" spans="1:26" ht="42" customHeight="1" x14ac:dyDescent="0.35">
      <c r="B219" s="475"/>
      <c r="C219" s="448"/>
      <c r="D219" s="449" t="str">
        <f>INDEX('imp-questions'!G:G, MATCH(A218, 'imp-questions'!A:A, 0))</f>
        <v>You know the data elements processed and stored by each application
 You know the type and sensitivity level of each identified data element
 You have controls to prevent propagation of unsanitized sensitive data from production to lower environments</v>
      </c>
      <c r="E219" s="450"/>
      <c r="F219" s="451"/>
      <c r="G219" s="116"/>
      <c r="H219" s="139"/>
      <c r="I219" s="478"/>
      <c r="J219" s="533"/>
      <c r="K219" s="95"/>
      <c r="L219" s="96"/>
      <c r="M219" s="96"/>
      <c r="N219" s="96"/>
      <c r="O219" s="96"/>
      <c r="P219" s="96"/>
      <c r="Q219" s="95"/>
      <c r="R219" s="95"/>
      <c r="S219" s="95"/>
      <c r="T219" s="95"/>
      <c r="U219" s="95"/>
      <c r="V219" s="95"/>
      <c r="W219" s="95"/>
      <c r="X219" s="95"/>
      <c r="Y219" s="95"/>
      <c r="Z219" s="95"/>
    </row>
    <row r="220" spans="1:26" ht="25.5" customHeight="1" x14ac:dyDescent="0.35">
      <c r="A220" s="89" t="s">
        <v>121</v>
      </c>
      <c r="B220" s="475"/>
      <c r="C220" s="196">
        <f>INDEX('imp-questions'!E:E, MATCH(A220, 'imp-questions'!A:A, 0))</f>
        <v>2</v>
      </c>
      <c r="D220" s="112" t="str">
        <f>INDEX('imp-questions'!F:F, MATCH(A220, 'imp-questions'!A:A, 0))</f>
        <v>Do you maintain a data catalog, including types, sensitivity levels, and processing and storage locations?</v>
      </c>
      <c r="E220" s="113" t="str">
        <f>CHAR(65+INDEX('imp-questions'!H:H, MATCH(A220, 'imp-questions'!A:A, 0)))</f>
        <v>J</v>
      </c>
      <c r="F220" s="118"/>
      <c r="G220" s="135">
        <f ca="1">IFERROR(INDEX(INDIRECT("Ans" &amp; E220 &amp; "TBL"), MATCH(F220, INDEX(INDIRECT("Ans" &amp; E220 &amp; "TBL"), 0, 1), 0), 2), 0)</f>
        <v>0</v>
      </c>
      <c r="H220" s="127">
        <f ca="1">IFERROR(AVERAGE(G220,G227),0)</f>
        <v>0</v>
      </c>
      <c r="I220" s="488"/>
      <c r="J220" s="141"/>
      <c r="K220" s="95"/>
      <c r="L220" s="96"/>
      <c r="M220" s="96"/>
      <c r="N220" s="96"/>
      <c r="O220" s="96"/>
      <c r="P220" s="96"/>
      <c r="Q220" s="95"/>
      <c r="R220" s="95"/>
      <c r="S220" s="95"/>
      <c r="T220" s="95"/>
      <c r="U220" s="95"/>
      <c r="V220" s="95"/>
      <c r="W220" s="95"/>
      <c r="X220" s="95"/>
      <c r="Y220" s="95"/>
      <c r="Z220" s="95"/>
    </row>
    <row r="221" spans="1:26" ht="56" customHeight="1" x14ac:dyDescent="0.35">
      <c r="B221" s="475"/>
      <c r="C221" s="448"/>
      <c r="D221" s="449" t="str">
        <f>INDEX('imp-questions'!G:G, MATCH(A220, 'imp-questions'!A:A, 0))</f>
        <v>The data catalog is stored in an accessible location
 You know which data elements are subject to specific regulation
 You have controls for protecting and preserving data throughout its lifetime
 You have retention requirements for data, and you destroy backups in a timely manner after the relevant retention period ends</v>
      </c>
      <c r="E221" s="450"/>
      <c r="F221" s="451"/>
      <c r="G221" s="116"/>
      <c r="H221" s="142"/>
      <c r="I221" s="480"/>
      <c r="J221" s="141"/>
      <c r="K221" s="95"/>
      <c r="L221" s="96"/>
      <c r="M221" s="96"/>
      <c r="N221" s="96"/>
      <c r="O221" s="96"/>
      <c r="P221" s="96"/>
      <c r="Q221" s="95"/>
      <c r="R221" s="95"/>
      <c r="S221" s="95"/>
      <c r="T221" s="95"/>
      <c r="U221" s="95"/>
      <c r="V221" s="95"/>
      <c r="W221" s="95"/>
      <c r="X221" s="95"/>
      <c r="Y221" s="95"/>
      <c r="Z221" s="95"/>
    </row>
    <row r="222" spans="1:26" ht="25.5" customHeight="1" x14ac:dyDescent="0.35">
      <c r="A222" s="89" t="s">
        <v>122</v>
      </c>
      <c r="B222" s="475"/>
      <c r="C222" s="196">
        <f>INDEX('imp-questions'!E:E, MATCH(A222, 'imp-questions'!A:A, 0))</f>
        <v>3</v>
      </c>
      <c r="D222" s="112" t="str">
        <f>INDEX('imp-questions'!F:F, MATCH(A222, 'imp-questions'!A:A, 0))</f>
        <v>Do you regularly review and update the data catalog and your data protection policies and procedures?</v>
      </c>
      <c r="E222" s="113" t="str">
        <f>CHAR(65+INDEX('imp-questions'!H:H, MATCH(A222, 'imp-questions'!A:A, 0)))</f>
        <v>K</v>
      </c>
      <c r="F222" s="118"/>
      <c r="G222" s="135">
        <f ca="1">IFERROR(INDEX(INDIRECT("Ans" &amp; E222 &amp; "TBL"), MATCH(F222, INDEX(INDIRECT("Ans" &amp; E222 &amp; "TBL"), 0, 1), 0), 2), 0)</f>
        <v>0</v>
      </c>
      <c r="H222" s="127">
        <f ca="1">IFERROR(AVERAGE(G222,G229),0)</f>
        <v>0</v>
      </c>
      <c r="I222" s="479"/>
      <c r="J222" s="141"/>
      <c r="K222" s="95"/>
      <c r="L222" s="96"/>
      <c r="M222" s="96"/>
      <c r="N222" s="96"/>
      <c r="O222" s="96"/>
      <c r="P222" s="96"/>
      <c r="Q222" s="95"/>
      <c r="R222" s="95"/>
      <c r="S222" s="95"/>
      <c r="T222" s="95"/>
      <c r="U222" s="95"/>
      <c r="V222" s="95"/>
      <c r="W222" s="95"/>
      <c r="X222" s="95"/>
      <c r="Y222" s="95"/>
      <c r="Z222" s="95"/>
    </row>
    <row r="223" spans="1:26" ht="42" customHeight="1" x14ac:dyDescent="0.35">
      <c r="B223" s="476"/>
      <c r="C223" s="448"/>
      <c r="D223" s="449" t="str">
        <f>INDEX('imp-questions'!G:G, MATCH(A222, 'imp-questions'!A:A, 0))</f>
        <v>You have automated monitoring to detect attempted or actual violations of the Data Protection Policy
 You have tools for data loss prevention, access control and tracking, or anomalous behavior detection
 You periodically audit the operation of automated mechanisms, including backups and record deletions</v>
      </c>
      <c r="E223" s="450"/>
      <c r="F223" s="451"/>
      <c r="G223" s="116"/>
      <c r="H223" s="142"/>
      <c r="I223" s="480"/>
      <c r="J223" s="141"/>
      <c r="K223" s="95"/>
      <c r="L223" s="96"/>
      <c r="M223" s="96"/>
      <c r="N223" s="96"/>
      <c r="O223" s="96"/>
      <c r="P223" s="96"/>
      <c r="Q223" s="95"/>
      <c r="R223" s="95"/>
      <c r="S223" s="95"/>
      <c r="T223" s="95"/>
      <c r="U223" s="95"/>
      <c r="V223" s="95"/>
      <c r="W223" s="95"/>
      <c r="X223" s="95"/>
      <c r="Y223" s="95"/>
      <c r="Z223" s="95"/>
    </row>
    <row r="224" spans="1:26" x14ac:dyDescent="0.35">
      <c r="B224" s="164"/>
      <c r="C224" s="124"/>
      <c r="D224" s="125"/>
      <c r="E224" s="125"/>
      <c r="F224" s="125"/>
      <c r="G224" s="125"/>
      <c r="H224" s="125"/>
      <c r="I224" s="165"/>
      <c r="J224" s="121"/>
      <c r="K224" s="95"/>
      <c r="L224" s="96"/>
      <c r="M224" s="96"/>
      <c r="N224" s="96"/>
      <c r="O224" s="96"/>
      <c r="P224" s="96"/>
      <c r="Q224" s="95"/>
      <c r="R224" s="95"/>
      <c r="S224" s="95"/>
      <c r="T224" s="95"/>
      <c r="U224" s="95"/>
      <c r="V224" s="95"/>
      <c r="W224" s="95"/>
      <c r="X224" s="95"/>
      <c r="Y224" s="95"/>
      <c r="Z224" s="95"/>
    </row>
    <row r="225" spans="1:26" ht="28.05" customHeight="1" x14ac:dyDescent="0.35">
      <c r="A225" s="89" t="s">
        <v>123</v>
      </c>
      <c r="B225" s="547" t="str">
        <f>INDEX('imp-questions'!D:D, MATCH(A225, 'imp-questions'!A:A, 0))</f>
        <v>System Decommissioning / Legacy Management</v>
      </c>
      <c r="C225" s="198">
        <f>INDEX('imp-questions'!E:E, MATCH(A225, 'imp-questions'!A:A, 0))</f>
        <v>1</v>
      </c>
      <c r="D225" s="112" t="str">
        <f>INDEX('imp-questions'!F:F, MATCH(A225, 'imp-questions'!A:A, 0))</f>
        <v>Do you identify and remove systems, applications, application dependencies, or services that are no longer used, have reached end of life, or are no longer actively developed or supported?</v>
      </c>
      <c r="E225" s="113" t="str">
        <f>CHAR(65+INDEX('imp-questions'!H:H, MATCH(A225, 'imp-questions'!A:A, 0)))</f>
        <v>A</v>
      </c>
      <c r="F225" s="150"/>
      <c r="G225" s="135">
        <f ca="1">IFERROR(INDEX(INDIRECT("Ans" &amp; E225 &amp; "TBL"), MATCH(F225, INDEX(INDIRECT("Ans" &amp; E225 &amp; "TBL"), 0, 1), 0), 2), 0)</f>
        <v>0</v>
      </c>
      <c r="H225" s="127"/>
      <c r="I225" s="485"/>
      <c r="J225" s="121"/>
      <c r="K225" s="95"/>
      <c r="L225" s="96"/>
      <c r="M225" s="96"/>
      <c r="N225" s="96"/>
      <c r="O225" s="96"/>
      <c r="P225" s="96"/>
      <c r="Q225" s="95"/>
      <c r="R225" s="95"/>
      <c r="S225" s="95"/>
      <c r="T225" s="95"/>
      <c r="U225" s="95"/>
      <c r="V225" s="95"/>
      <c r="W225" s="95"/>
      <c r="X225" s="95"/>
      <c r="Y225" s="95"/>
      <c r="Z225" s="95"/>
    </row>
    <row r="226" spans="1:26" ht="28.05" customHeight="1" x14ac:dyDescent="0.35">
      <c r="B226" s="475"/>
      <c r="C226" s="448"/>
      <c r="D226" s="449" t="str">
        <f>INDEX('imp-questions'!G:G, MATCH(A225, 'imp-questions'!A:A, 0))</f>
        <v>You do not use unsupported applications or dependencies
 You manage customer/user migration from older versions for each product and customer/user group</v>
      </c>
      <c r="E226" s="450"/>
      <c r="F226" s="451"/>
      <c r="G226" s="116"/>
      <c r="H226" s="122"/>
      <c r="I226" s="484"/>
      <c r="J226" s="121"/>
      <c r="K226" s="95"/>
      <c r="L226" s="96"/>
      <c r="M226" s="96"/>
      <c r="N226" s="96"/>
      <c r="O226" s="96"/>
      <c r="P226" s="96"/>
      <c r="Q226" s="95"/>
      <c r="R226" s="95"/>
      <c r="S226" s="95"/>
      <c r="T226" s="95"/>
      <c r="U226" s="95"/>
      <c r="V226" s="95"/>
      <c r="W226" s="95"/>
      <c r="X226" s="95"/>
      <c r="Y226" s="95"/>
      <c r="Z226" s="95"/>
    </row>
    <row r="227" spans="1:26" ht="28.05" customHeight="1" x14ac:dyDescent="0.35">
      <c r="A227" s="89" t="s">
        <v>124</v>
      </c>
      <c r="B227" s="475"/>
      <c r="C227" s="196">
        <f>INDEX('imp-questions'!E:E, MATCH(A227, 'imp-questions'!A:A, 0))</f>
        <v>2</v>
      </c>
      <c r="D227" s="112" t="str">
        <f>INDEX('imp-questions'!F:F, MATCH(A227, 'imp-questions'!A:A, 0))</f>
        <v>Do you follow an established process for removing all associated resources, as part of decommissioning of unused systems, applications, application dependencies, or services?</v>
      </c>
      <c r="E227" s="113" t="str">
        <f>CHAR(65+INDEX('imp-questions'!H:H, MATCH(A227, 'imp-questions'!A:A, 0)))</f>
        <v>E</v>
      </c>
      <c r="F227" s="118"/>
      <c r="G227" s="135">
        <f ca="1">IFERROR(INDEX(INDIRECT("Ans" &amp; E227 &amp; "TBL"), MATCH(F227, INDEX(INDIRECT("Ans" &amp; E227 &amp; "TBL"), 0, 1), 0), 2), 0)</f>
        <v>0</v>
      </c>
      <c r="H227" s="127"/>
      <c r="I227" s="485"/>
      <c r="J227" s="121"/>
      <c r="K227" s="95"/>
      <c r="L227" s="96"/>
      <c r="M227" s="96"/>
      <c r="N227" s="96"/>
      <c r="O227" s="96"/>
      <c r="P227" s="96"/>
      <c r="Q227" s="95"/>
      <c r="R227" s="95"/>
      <c r="S227" s="95"/>
      <c r="T227" s="95"/>
      <c r="U227" s="95"/>
      <c r="V227" s="95"/>
      <c r="W227" s="95"/>
      <c r="X227" s="95"/>
      <c r="Y227" s="95"/>
      <c r="Z227" s="95"/>
    </row>
    <row r="228" spans="1:26" ht="42" customHeight="1" x14ac:dyDescent="0.35">
      <c r="B228" s="475"/>
      <c r="C228" s="448"/>
      <c r="D228" s="449" t="str">
        <f>INDEX('imp-questions'!G:G, MATCH(A227, 'imp-questions'!A:A, 0))</f>
        <v>You document the status of support for all released versions of your products, in an accessible location
 The process includes replacement or upgrade of third-party applications, or application dependencies, that have reached end of life
 Operating environments do not contain orphaned accounts, firewall rules, or other configuration artifacts</v>
      </c>
      <c r="E228" s="450"/>
      <c r="F228" s="451"/>
      <c r="G228" s="116"/>
      <c r="H228" s="122"/>
      <c r="I228" s="484"/>
      <c r="J228" s="121"/>
      <c r="K228" s="95"/>
      <c r="L228" s="96"/>
      <c r="M228" s="96"/>
      <c r="N228" s="96"/>
      <c r="O228" s="96"/>
      <c r="P228" s="96"/>
      <c r="Q228" s="95"/>
      <c r="R228" s="95"/>
      <c r="S228" s="95"/>
      <c r="T228" s="95"/>
      <c r="U228" s="95"/>
      <c r="V228" s="95"/>
      <c r="W228" s="95"/>
      <c r="X228" s="95"/>
      <c r="Y228" s="95"/>
      <c r="Z228" s="95"/>
    </row>
    <row r="229" spans="1:26" ht="28.05" customHeight="1" x14ac:dyDescent="0.35">
      <c r="A229" s="89" t="s">
        <v>125</v>
      </c>
      <c r="B229" s="475"/>
      <c r="C229" s="196">
        <f>INDEX('imp-questions'!E:E, MATCH(A229, 'imp-questions'!A:A, 0))</f>
        <v>3</v>
      </c>
      <c r="D229" s="112" t="str">
        <f>INDEX('imp-questions'!F:F, MATCH(A229, 'imp-questions'!A:A, 0))</f>
        <v>Do you regularly evaluate the lifecycle state and support status of every software asset and underlying infrastructure component, and estimate their end of life?</v>
      </c>
      <c r="E229" s="113" t="str">
        <f>CHAR(65+INDEX('imp-questions'!H:H, MATCH(A229, 'imp-questions'!A:A, 0)))</f>
        <v>L</v>
      </c>
      <c r="F229" s="118"/>
      <c r="G229" s="135">
        <f ca="1">IFERROR(INDEX(INDIRECT("Ans" &amp; E229 &amp; "TBL"), MATCH(F229, INDEX(INDIRECT("Ans" &amp; E229 &amp; "TBL"), 0, 1), 0), 2), 0)</f>
        <v>0</v>
      </c>
      <c r="H229" s="127"/>
      <c r="I229" s="486"/>
      <c r="J229" s="121"/>
      <c r="K229" s="95"/>
      <c r="L229" s="96"/>
      <c r="M229" s="96"/>
      <c r="N229" s="96"/>
      <c r="O229" s="96"/>
      <c r="P229" s="96"/>
      <c r="Q229" s="95"/>
      <c r="R229" s="95"/>
      <c r="S229" s="95"/>
      <c r="T229" s="95"/>
      <c r="U229" s="95"/>
      <c r="V229" s="95"/>
      <c r="W229" s="95"/>
      <c r="X229" s="95"/>
      <c r="Y229" s="95"/>
      <c r="Z229" s="95"/>
    </row>
    <row r="230" spans="1:26" ht="42" customHeight="1" x14ac:dyDescent="0.35">
      <c r="B230" s="476"/>
      <c r="C230" s="454"/>
      <c r="D230" s="449" t="str">
        <f>INDEX('imp-questions'!G:G, MATCH(A229, 'imp-questions'!A:A, 0))</f>
        <v>Your end of life management process is agreed upon
 You inform customers and user groups of product timelines to prevent disruption of service or support
 You review the process at least annually</v>
      </c>
      <c r="E230" s="450"/>
      <c r="F230" s="451"/>
      <c r="G230" s="116"/>
      <c r="H230" s="122"/>
      <c r="I230" s="487"/>
      <c r="J230" s="121"/>
      <c r="K230" s="95"/>
      <c r="L230" s="96"/>
      <c r="M230" s="96"/>
      <c r="N230" s="96"/>
      <c r="O230" s="96"/>
      <c r="P230" s="96"/>
      <c r="Q230" s="95"/>
      <c r="R230" s="95"/>
      <c r="S230" s="95"/>
      <c r="T230" s="95"/>
      <c r="U230" s="95"/>
      <c r="V230" s="95"/>
      <c r="W230" s="95"/>
      <c r="X230" s="95"/>
      <c r="Y230" s="95"/>
      <c r="Z230" s="95"/>
    </row>
  </sheetData>
  <mergeCells count="166">
    <mergeCell ref="J218:J219"/>
    <mergeCell ref="I222:I223"/>
    <mergeCell ref="J46:J47"/>
    <mergeCell ref="J61:J62"/>
    <mergeCell ref="J89:J90"/>
    <mergeCell ref="B18:B23"/>
    <mergeCell ref="B160:D160"/>
    <mergeCell ref="B146:D146"/>
    <mergeCell ref="B88:D88"/>
    <mergeCell ref="B74:D74"/>
    <mergeCell ref="B60:D60"/>
    <mergeCell ref="B45:D45"/>
    <mergeCell ref="B61:B66"/>
    <mergeCell ref="I77:I78"/>
    <mergeCell ref="I43:I44"/>
    <mergeCell ref="B102:J102"/>
    <mergeCell ref="B103:D103"/>
    <mergeCell ref="B104:B109"/>
    <mergeCell ref="I104:I105"/>
    <mergeCell ref="I108:I109"/>
    <mergeCell ref="B111:B116"/>
    <mergeCell ref="I111:I112"/>
    <mergeCell ref="B182:B187"/>
    <mergeCell ref="B190:B195"/>
    <mergeCell ref="B225:B230"/>
    <mergeCell ref="B218:B223"/>
    <mergeCell ref="B217:D217"/>
    <mergeCell ref="I229:I230"/>
    <mergeCell ref="I215:I216"/>
    <mergeCell ref="I218:I219"/>
    <mergeCell ref="I220:I221"/>
    <mergeCell ref="I225:I226"/>
    <mergeCell ref="I201:I202"/>
    <mergeCell ref="B197:B202"/>
    <mergeCell ref="I211:I212"/>
    <mergeCell ref="I204:I205"/>
    <mergeCell ref="I208:I209"/>
    <mergeCell ref="I213:I214"/>
    <mergeCell ref="I227:I228"/>
    <mergeCell ref="B204:B209"/>
    <mergeCell ref="B211:B216"/>
    <mergeCell ref="I206:I207"/>
    <mergeCell ref="I197:I198"/>
    <mergeCell ref="B203:D203"/>
    <mergeCell ref="B117:D117"/>
    <mergeCell ref="I122:I123"/>
    <mergeCell ref="B125:B130"/>
    <mergeCell ref="I125:I126"/>
    <mergeCell ref="I129:I130"/>
    <mergeCell ref="I132:I133"/>
    <mergeCell ref="I134:I135"/>
    <mergeCell ref="B131:D131"/>
    <mergeCell ref="B132:B137"/>
    <mergeCell ref="I179:I180"/>
    <mergeCell ref="I158:I159"/>
    <mergeCell ref="I161:I162"/>
    <mergeCell ref="I163:I164"/>
    <mergeCell ref="I165:I166"/>
    <mergeCell ref="I168:I169"/>
    <mergeCell ref="B188:J188"/>
    <mergeCell ref="I182:I183"/>
    <mergeCell ref="I186:I187"/>
    <mergeCell ref="I190:I191"/>
    <mergeCell ref="I194:I195"/>
    <mergeCell ref="J204:J205"/>
    <mergeCell ref="J175:J176"/>
    <mergeCell ref="I79:I80"/>
    <mergeCell ref="I82:I83"/>
    <mergeCell ref="I86:I87"/>
    <mergeCell ref="I68:I69"/>
    <mergeCell ref="I72:I73"/>
    <mergeCell ref="I75:I76"/>
    <mergeCell ref="I96:I97"/>
    <mergeCell ref="J132:J133"/>
    <mergeCell ref="I136:I137"/>
    <mergeCell ref="J161:J162"/>
    <mergeCell ref="I70:I71"/>
    <mergeCell ref="I84:I85"/>
    <mergeCell ref="I98:I99"/>
    <mergeCell ref="I106:I107"/>
    <mergeCell ref="J190:J191"/>
    <mergeCell ref="I113:I114"/>
    <mergeCell ref="I127:I128"/>
    <mergeCell ref="J75:J76"/>
    <mergeCell ref="J104:J105"/>
    <mergeCell ref="J118:J119"/>
    <mergeCell ref="I115:I116"/>
    <mergeCell ref="I120:I121"/>
    <mergeCell ref="I139:I140"/>
    <mergeCell ref="I143:I144"/>
    <mergeCell ref="B154:B159"/>
    <mergeCell ref="B161:B166"/>
    <mergeCell ref="B168:B173"/>
    <mergeCell ref="I192:I193"/>
    <mergeCell ref="I199:I200"/>
    <mergeCell ref="B174:D174"/>
    <mergeCell ref="I147:I148"/>
    <mergeCell ref="I170:I171"/>
    <mergeCell ref="I177:I178"/>
    <mergeCell ref="I184:I185"/>
    <mergeCell ref="I141:I142"/>
    <mergeCell ref="I149:I150"/>
    <mergeCell ref="I156:I157"/>
    <mergeCell ref="B147:B152"/>
    <mergeCell ref="B145:J145"/>
    <mergeCell ref="J147:J148"/>
    <mergeCell ref="B189:D189"/>
    <mergeCell ref="B175:B180"/>
    <mergeCell ref="I154:I155"/>
    <mergeCell ref="I151:I152"/>
    <mergeCell ref="B1:I1"/>
    <mergeCell ref="B3:I3"/>
    <mergeCell ref="B4:I4"/>
    <mergeCell ref="B5:I5"/>
    <mergeCell ref="B25:B30"/>
    <mergeCell ref="B11:C11"/>
    <mergeCell ref="B12:C12"/>
    <mergeCell ref="B13:C13"/>
    <mergeCell ref="B14:C14"/>
    <mergeCell ref="I18:I19"/>
    <mergeCell ref="I22:I23"/>
    <mergeCell ref="I25:I26"/>
    <mergeCell ref="I29:I30"/>
    <mergeCell ref="B6:I6"/>
    <mergeCell ref="B7:I7"/>
    <mergeCell ref="B8:I8"/>
    <mergeCell ref="B10:C10"/>
    <mergeCell ref="B16:J16"/>
    <mergeCell ref="B89:B94"/>
    <mergeCell ref="B68:B73"/>
    <mergeCell ref="I93:I94"/>
    <mergeCell ref="J18:J19"/>
    <mergeCell ref="I100:I101"/>
    <mergeCell ref="I175:I176"/>
    <mergeCell ref="B75:B80"/>
    <mergeCell ref="I91:I92"/>
    <mergeCell ref="B96:B101"/>
    <mergeCell ref="I89:I90"/>
    <mergeCell ref="B82:B87"/>
    <mergeCell ref="B118:B123"/>
    <mergeCell ref="I118:I119"/>
    <mergeCell ref="I172:I173"/>
    <mergeCell ref="I20:I21"/>
    <mergeCell ref="I27:I28"/>
    <mergeCell ref="I34:I35"/>
    <mergeCell ref="I41:I42"/>
    <mergeCell ref="B31:D31"/>
    <mergeCell ref="I61:I62"/>
    <mergeCell ref="B139:B144"/>
    <mergeCell ref="I65:I66"/>
    <mergeCell ref="I32:I33"/>
    <mergeCell ref="I36:I37"/>
    <mergeCell ref="I63:I64"/>
    <mergeCell ref="I39:I40"/>
    <mergeCell ref="B32:B37"/>
    <mergeCell ref="B39:B44"/>
    <mergeCell ref="B53:B58"/>
    <mergeCell ref="B46:B51"/>
    <mergeCell ref="I46:I47"/>
    <mergeCell ref="I50:I51"/>
    <mergeCell ref="B59:J59"/>
    <mergeCell ref="J32:J33"/>
    <mergeCell ref="I53:I54"/>
    <mergeCell ref="I57:I58"/>
    <mergeCell ref="I48:I49"/>
    <mergeCell ref="I55:I56"/>
  </mergeCells>
  <dataValidations count="92">
    <dataValidation type="list" showInputMessage="1" showErrorMessage="1" sqref="M22:P22 M20:P20" xr:uid="{00000000-0002-0000-0200-000000000000}">
      <formula1>AnswerB</formula1>
    </dataValidation>
    <dataValidation type="list" showInputMessage="1" showErrorMessage="1" sqref="M18:P18" xr:uid="{00000000-0002-0000-0200-000001000000}">
      <formula1>AnswerA</formula1>
    </dataValidation>
    <dataValidation type="list" showInputMessage="1" showErrorMessage="1" sqref="F229" xr:uid="{00000000-0002-0000-0200-000002000000}">
      <formula1>O_OM_B_3_1</formula1>
    </dataValidation>
    <dataValidation type="list" showInputMessage="1" showErrorMessage="1" sqref="F18" xr:uid="{00000000-0002-0000-0200-000003000000}">
      <formula1>G_SM_A_1_1</formula1>
    </dataValidation>
    <dataValidation type="list" showInputMessage="1" showErrorMessage="1" sqref="F20" xr:uid="{00000000-0002-0000-0200-000004000000}">
      <formula1>G_SM_A_2_1</formula1>
    </dataValidation>
    <dataValidation type="list" showInputMessage="1" showErrorMessage="1" sqref="F22" xr:uid="{00000000-0002-0000-0200-000005000000}">
      <formula1>G_SM_A_3_1</formula1>
    </dataValidation>
    <dataValidation type="list" showInputMessage="1" showErrorMessage="1" sqref="F25" xr:uid="{00000000-0002-0000-0200-000006000000}">
      <formula1>G_SM_B_1_1</formula1>
    </dataValidation>
    <dataValidation type="list" showInputMessage="1" showErrorMessage="1" sqref="F27" xr:uid="{00000000-0002-0000-0200-000007000000}">
      <formula1>G_SM_B_2_1</formula1>
    </dataValidation>
    <dataValidation type="list" showInputMessage="1" showErrorMessage="1" sqref="F29" xr:uid="{00000000-0002-0000-0200-000008000000}">
      <formula1>G_SM_B_3_1</formula1>
    </dataValidation>
    <dataValidation type="list" showInputMessage="1" showErrorMessage="1" sqref="F32" xr:uid="{00000000-0002-0000-0200-000009000000}">
      <formula1>G_PC_A_1_1</formula1>
    </dataValidation>
    <dataValidation type="list" showInputMessage="1" showErrorMessage="1" sqref="F34" xr:uid="{00000000-0002-0000-0200-00000A000000}">
      <formula1>G_PC_A_2_1</formula1>
    </dataValidation>
    <dataValidation type="list" showInputMessage="1" showErrorMessage="1" sqref="F36" xr:uid="{00000000-0002-0000-0200-00000B000000}">
      <formula1>G_PC_A_3_1</formula1>
    </dataValidation>
    <dataValidation type="list" showInputMessage="1" showErrorMessage="1" sqref="F39" xr:uid="{00000000-0002-0000-0200-00000C000000}">
      <formula1>G_PC_B_1_1</formula1>
    </dataValidation>
    <dataValidation type="list" showInputMessage="1" showErrorMessage="1" sqref="F41" xr:uid="{00000000-0002-0000-0200-00000D000000}">
      <formula1>G_PC_B_2_1</formula1>
    </dataValidation>
    <dataValidation type="list" showInputMessage="1" showErrorMessage="1" sqref="F43" xr:uid="{00000000-0002-0000-0200-00000E000000}">
      <formula1>G_PC_B_3_1</formula1>
    </dataValidation>
    <dataValidation type="list" showInputMessage="1" showErrorMessage="1" sqref="F46" xr:uid="{00000000-0002-0000-0200-00000F000000}">
      <formula1>G_EG_A_1_1</formula1>
    </dataValidation>
    <dataValidation type="list" showInputMessage="1" showErrorMessage="1" sqref="F48" xr:uid="{00000000-0002-0000-0200-000010000000}">
      <formula1>G_EG_A_2_1</formula1>
    </dataValidation>
    <dataValidation type="list" showInputMessage="1" showErrorMessage="1" sqref="F50" xr:uid="{00000000-0002-0000-0200-000011000000}">
      <formula1>G_EG_A_3_1</formula1>
    </dataValidation>
    <dataValidation type="list" showInputMessage="1" showErrorMessage="1" sqref="F53" xr:uid="{00000000-0002-0000-0200-000012000000}">
      <formula1>G_EG_B_1_1</formula1>
    </dataValidation>
    <dataValidation type="list" showInputMessage="1" showErrorMessage="1" sqref="F55" xr:uid="{00000000-0002-0000-0200-000013000000}">
      <formula1>G_EG_B_2_1</formula1>
    </dataValidation>
    <dataValidation type="list" showInputMessage="1" showErrorMessage="1" sqref="F57" xr:uid="{00000000-0002-0000-0200-000014000000}">
      <formula1>G_EG_B_3_1</formula1>
    </dataValidation>
    <dataValidation type="list" showInputMessage="1" showErrorMessage="1" sqref="F61" xr:uid="{00000000-0002-0000-0200-000015000000}">
      <formula1>D_TA_A_1_1</formula1>
    </dataValidation>
    <dataValidation type="list" showInputMessage="1" showErrorMessage="1" sqref="F63" xr:uid="{00000000-0002-0000-0200-000016000000}">
      <formula1>D_TA_A_2_1</formula1>
    </dataValidation>
    <dataValidation type="list" showInputMessage="1" showErrorMessage="1" sqref="F65" xr:uid="{00000000-0002-0000-0200-000017000000}">
      <formula1>D_TA_A_3_1</formula1>
    </dataValidation>
    <dataValidation type="list" showInputMessage="1" showErrorMessage="1" sqref="F68" xr:uid="{00000000-0002-0000-0200-000018000000}">
      <formula1>D_TA_B_1_1</formula1>
    </dataValidation>
    <dataValidation type="list" showInputMessage="1" showErrorMessage="1" sqref="F70" xr:uid="{00000000-0002-0000-0200-000019000000}">
      <formula1>D_TA_B_2_1</formula1>
    </dataValidation>
    <dataValidation type="list" showInputMessage="1" showErrorMessage="1" sqref="F72" xr:uid="{00000000-0002-0000-0200-00001A000000}">
      <formula1>D_TA_B_3_1</formula1>
    </dataValidation>
    <dataValidation type="list" showInputMessage="1" showErrorMessage="1" sqref="F75" xr:uid="{00000000-0002-0000-0200-00001B000000}">
      <formula1>D_SR_A_1_1</formula1>
    </dataValidation>
    <dataValidation type="list" showInputMessage="1" showErrorMessage="1" sqref="F77" xr:uid="{00000000-0002-0000-0200-00001C000000}">
      <formula1>D_SR_A_2_1</formula1>
    </dataValidation>
    <dataValidation type="list" showInputMessage="1" showErrorMessage="1" sqref="F79" xr:uid="{00000000-0002-0000-0200-00001D000000}">
      <formula1>D_SR_A_3_1</formula1>
    </dataValidation>
    <dataValidation type="list" showInputMessage="1" showErrorMessage="1" sqref="F82" xr:uid="{00000000-0002-0000-0200-00001E000000}">
      <formula1>D_SR_B_1_1</formula1>
    </dataValidation>
    <dataValidation type="list" showInputMessage="1" showErrorMessage="1" sqref="F84" xr:uid="{00000000-0002-0000-0200-00001F000000}">
      <formula1>D_SR_B_2_1</formula1>
    </dataValidation>
    <dataValidation type="list" showInputMessage="1" showErrorMessage="1" sqref="F86" xr:uid="{00000000-0002-0000-0200-000020000000}">
      <formula1>D_SR_B_3_1</formula1>
    </dataValidation>
    <dataValidation type="list" showInputMessage="1" showErrorMessage="1" sqref="F89" xr:uid="{00000000-0002-0000-0200-000021000000}">
      <formula1>D_SA_A_1_1</formula1>
    </dataValidation>
    <dataValidation type="list" showInputMessage="1" showErrorMessage="1" sqref="F91" xr:uid="{00000000-0002-0000-0200-000022000000}">
      <formula1>D_SA_A_2_1</formula1>
    </dataValidation>
    <dataValidation type="list" showInputMessage="1" showErrorMessage="1" sqref="F93" xr:uid="{00000000-0002-0000-0200-000023000000}">
      <formula1>D_SA_A_3_1</formula1>
    </dataValidation>
    <dataValidation type="list" showInputMessage="1" showErrorMessage="1" sqref="F96" xr:uid="{00000000-0002-0000-0200-000024000000}">
      <formula1>D_SA_B_1_1</formula1>
    </dataValidation>
    <dataValidation type="list" showInputMessage="1" showErrorMessage="1" sqref="F98" xr:uid="{00000000-0002-0000-0200-000025000000}">
      <formula1>D_SA_B_2_1</formula1>
    </dataValidation>
    <dataValidation type="list" showInputMessage="1" showErrorMessage="1" sqref="F100" xr:uid="{00000000-0002-0000-0200-000026000000}">
      <formula1>D_SA_B_3_1</formula1>
    </dataValidation>
    <dataValidation type="list" showInputMessage="1" showErrorMessage="1" sqref="F104" xr:uid="{00000000-0002-0000-0200-000027000000}">
      <formula1>I_SB_A_1_1</formula1>
    </dataValidation>
    <dataValidation type="list" showInputMessage="1" showErrorMessage="1" sqref="F108" xr:uid="{00000000-0002-0000-0200-000028000000}">
      <formula1>I_SB_A_3_1</formula1>
    </dataValidation>
    <dataValidation type="list" showInputMessage="1" showErrorMessage="1" sqref="F106" xr:uid="{00000000-0002-0000-0200-000029000000}">
      <formula1>I_SB_A_2_1</formula1>
    </dataValidation>
    <dataValidation type="list" showInputMessage="1" showErrorMessage="1" sqref="F111" xr:uid="{00000000-0002-0000-0200-00002A000000}">
      <formula1>I_SB_B_1_1</formula1>
    </dataValidation>
    <dataValidation type="list" showInputMessage="1" showErrorMessage="1" sqref="F113" xr:uid="{00000000-0002-0000-0200-00002B000000}">
      <formula1>I_SB_B_2_1</formula1>
    </dataValidation>
    <dataValidation type="list" showInputMessage="1" showErrorMessage="1" sqref="F115" xr:uid="{00000000-0002-0000-0200-00002C000000}">
      <formula1>I_SB_B_3_1</formula1>
    </dataValidation>
    <dataValidation type="list" showInputMessage="1" showErrorMessage="1" sqref="F118" xr:uid="{00000000-0002-0000-0200-00002D000000}">
      <formula1>I_SD_A_1_1</formula1>
    </dataValidation>
    <dataValidation type="list" showInputMessage="1" showErrorMessage="1" sqref="F120" xr:uid="{00000000-0002-0000-0200-00002E000000}">
      <formula1>I_SD_A_2_1</formula1>
    </dataValidation>
    <dataValidation type="list" showInputMessage="1" showErrorMessage="1" sqref="F122" xr:uid="{00000000-0002-0000-0200-00002F000000}">
      <formula1>I_SD_A_3_1</formula1>
    </dataValidation>
    <dataValidation type="list" showInputMessage="1" showErrorMessage="1" sqref="F125" xr:uid="{00000000-0002-0000-0200-000030000000}">
      <formula1>I_SD_B_1_1</formula1>
    </dataValidation>
    <dataValidation type="list" showInputMessage="1" showErrorMessage="1" sqref="F127" xr:uid="{00000000-0002-0000-0200-000031000000}">
      <formula1>I_SD_B_2_1</formula1>
    </dataValidation>
    <dataValidation type="list" showInputMessage="1" showErrorMessage="1" sqref="F129" xr:uid="{00000000-0002-0000-0200-000032000000}">
      <formula1>I_SD_B_3_1</formula1>
    </dataValidation>
    <dataValidation type="list" showInputMessage="1" showErrorMessage="1" sqref="F132" xr:uid="{00000000-0002-0000-0200-000033000000}">
      <formula1>I_DM_A_1_1</formula1>
    </dataValidation>
    <dataValidation type="list" showInputMessage="1" showErrorMessage="1" sqref="F134" xr:uid="{00000000-0002-0000-0200-000034000000}">
      <formula1>I_DM_A_2_1</formula1>
    </dataValidation>
    <dataValidation type="list" showInputMessage="1" showErrorMessage="1" sqref="F136" xr:uid="{00000000-0002-0000-0200-000035000000}">
      <formula1>I_DM_A_3_1</formula1>
    </dataValidation>
    <dataValidation type="list" showInputMessage="1" showErrorMessage="1" sqref="F139" xr:uid="{00000000-0002-0000-0200-000036000000}">
      <formula1>I_DM_B_1_1</formula1>
    </dataValidation>
    <dataValidation type="list" showInputMessage="1" showErrorMessage="1" sqref="F141" xr:uid="{00000000-0002-0000-0200-000037000000}">
      <formula1>I_DM_B_2_1</formula1>
    </dataValidation>
    <dataValidation type="list" showInputMessage="1" showErrorMessage="1" sqref="F143" xr:uid="{00000000-0002-0000-0200-000038000000}">
      <formula1>I_DM_B_3_1</formula1>
    </dataValidation>
    <dataValidation type="list" showInputMessage="1" showErrorMessage="1" sqref="F147" xr:uid="{00000000-0002-0000-0200-000039000000}">
      <formula1>V_AA_A_1_1</formula1>
    </dataValidation>
    <dataValidation type="list" showInputMessage="1" showErrorMessage="1" sqref="F149" xr:uid="{00000000-0002-0000-0200-00003A000000}">
      <formula1>V_AA_A_2_1</formula1>
    </dataValidation>
    <dataValidation type="list" showInputMessage="1" showErrorMessage="1" sqref="F151" xr:uid="{00000000-0002-0000-0200-00003B000000}">
      <formula1>V_AA_A_3_1</formula1>
    </dataValidation>
    <dataValidation type="list" showInputMessage="1" showErrorMessage="1" sqref="F154" xr:uid="{00000000-0002-0000-0200-00003C000000}">
      <formula1>V_AA_B_1_1</formula1>
    </dataValidation>
    <dataValidation type="list" showInputMessage="1" showErrorMessage="1" sqref="F156" xr:uid="{00000000-0002-0000-0200-00003D000000}">
      <formula1>V_AA_B_2_1</formula1>
    </dataValidation>
    <dataValidation type="list" showInputMessage="1" showErrorMessage="1" sqref="F158" xr:uid="{00000000-0002-0000-0200-00003E000000}">
      <formula1>V_AA_B_3_1</formula1>
    </dataValidation>
    <dataValidation type="list" showInputMessage="1" showErrorMessage="1" sqref="F161" xr:uid="{00000000-0002-0000-0200-00003F000000}">
      <formula1>V_RT_A_1_1</formula1>
    </dataValidation>
    <dataValidation type="list" showInputMessage="1" showErrorMessage="1" sqref="F163" xr:uid="{00000000-0002-0000-0200-000040000000}">
      <formula1>V_RT_A_2_1</formula1>
    </dataValidation>
    <dataValidation type="list" showInputMessage="1" showErrorMessage="1" sqref="F165" xr:uid="{00000000-0002-0000-0200-000041000000}">
      <formula1>V_RT_A_3_1</formula1>
    </dataValidation>
    <dataValidation type="list" showInputMessage="1" showErrorMessage="1" sqref="F168" xr:uid="{00000000-0002-0000-0200-000042000000}">
      <formula1>V_RT_B_1_1</formula1>
    </dataValidation>
    <dataValidation type="list" showInputMessage="1" showErrorMessage="1" sqref="F170" xr:uid="{00000000-0002-0000-0200-000043000000}">
      <formula1>V_RT_B_2_1</formula1>
    </dataValidation>
    <dataValidation type="list" showInputMessage="1" showErrorMessage="1" sqref="F172" xr:uid="{00000000-0002-0000-0200-000044000000}">
      <formula1>V_RT_B_3_1</formula1>
    </dataValidation>
    <dataValidation type="list" showInputMessage="1" showErrorMessage="1" sqref="F175" xr:uid="{00000000-0002-0000-0200-000045000000}">
      <formula1>V_ST_A_1_1</formula1>
    </dataValidation>
    <dataValidation type="list" showInputMessage="1" showErrorMessage="1" sqref="F177" xr:uid="{00000000-0002-0000-0200-000046000000}">
      <formula1>V_ST_A_2_1</formula1>
    </dataValidation>
    <dataValidation type="list" showInputMessage="1" showErrorMessage="1" sqref="F179" xr:uid="{00000000-0002-0000-0200-000047000000}">
      <formula1>V_ST_A_3_1</formula1>
    </dataValidation>
    <dataValidation type="list" showInputMessage="1" showErrorMessage="1" sqref="F182" xr:uid="{00000000-0002-0000-0200-000048000000}">
      <formula1>V_ST_B_1_1</formula1>
    </dataValidation>
    <dataValidation type="list" showInputMessage="1" showErrorMessage="1" sqref="F184" xr:uid="{00000000-0002-0000-0200-000049000000}">
      <formula1>V_ST_B_2_1</formula1>
    </dataValidation>
    <dataValidation type="list" showInputMessage="1" showErrorMessage="1" sqref="F186" xr:uid="{00000000-0002-0000-0200-00004A000000}">
      <formula1>V_ST_B_3_1</formula1>
    </dataValidation>
    <dataValidation type="list" showInputMessage="1" showErrorMessage="1" sqref="F190" xr:uid="{00000000-0002-0000-0200-00004B000000}">
      <formula1>O_IM_A_1_1</formula1>
    </dataValidation>
    <dataValidation type="list" showInputMessage="1" showErrorMessage="1" sqref="F192" xr:uid="{00000000-0002-0000-0200-00004C000000}">
      <formula1>O_IM_A_2_1</formula1>
    </dataValidation>
    <dataValidation type="list" showInputMessage="1" showErrorMessage="1" sqref="F194" xr:uid="{00000000-0002-0000-0200-00004D000000}">
      <formula1>O_IM_A_3_1</formula1>
    </dataValidation>
    <dataValidation type="list" showInputMessage="1" showErrorMessage="1" sqref="F197" xr:uid="{00000000-0002-0000-0200-00004E000000}">
      <formula1>O_IM_B_1_1</formula1>
    </dataValidation>
    <dataValidation type="list" showInputMessage="1" showErrorMessage="1" sqref="F199" xr:uid="{00000000-0002-0000-0200-00004F000000}">
      <formula1>O_IM_B_2_1</formula1>
    </dataValidation>
    <dataValidation type="list" showInputMessage="1" showErrorMessage="1" sqref="F201" xr:uid="{00000000-0002-0000-0200-000050000000}">
      <formula1>O_IM_B_3_1</formula1>
    </dataValidation>
    <dataValidation type="list" showInputMessage="1" showErrorMessage="1" sqref="F204" xr:uid="{00000000-0002-0000-0200-000051000000}">
      <formula1>O_EM_A_1_1</formula1>
    </dataValidation>
    <dataValidation type="list" showInputMessage="1" showErrorMessage="1" sqref="F206" xr:uid="{00000000-0002-0000-0200-000052000000}">
      <formula1>O_EM_A_2_1</formula1>
    </dataValidation>
    <dataValidation type="list" showInputMessage="1" showErrorMessage="1" sqref="F208" xr:uid="{00000000-0002-0000-0200-000053000000}">
      <formula1>O_EM_A_3_1</formula1>
    </dataValidation>
    <dataValidation type="list" showInputMessage="1" showErrorMessage="1" sqref="F211" xr:uid="{00000000-0002-0000-0200-000054000000}">
      <formula1>O_EM_B_1_1</formula1>
    </dataValidation>
    <dataValidation type="list" showInputMessage="1" showErrorMessage="1" sqref="F213" xr:uid="{00000000-0002-0000-0200-000055000000}">
      <formula1>O_EM_B_2_1</formula1>
    </dataValidation>
    <dataValidation type="list" showInputMessage="1" showErrorMessage="1" sqref="F215" xr:uid="{00000000-0002-0000-0200-000056000000}">
      <formula1>O_EM_B_3_1</formula1>
    </dataValidation>
    <dataValidation type="list" showInputMessage="1" showErrorMessage="1" sqref="F218" xr:uid="{00000000-0002-0000-0200-000057000000}">
      <formula1>O_OM_A_1_1</formula1>
    </dataValidation>
    <dataValidation type="list" showInputMessage="1" showErrorMessage="1" sqref="F220" xr:uid="{00000000-0002-0000-0200-000058000000}">
      <formula1>O_OM_A_2_1</formula1>
    </dataValidation>
    <dataValidation type="list" showInputMessage="1" showErrorMessage="1" sqref="F222" xr:uid="{00000000-0002-0000-0200-000059000000}">
      <formula1>O_OM_A_3_1</formula1>
    </dataValidation>
    <dataValidation type="list" showInputMessage="1" showErrorMessage="1" sqref="F225" xr:uid="{00000000-0002-0000-0200-00005A000000}">
      <formula1>O_OM_B_1_1</formula1>
    </dataValidation>
    <dataValidation type="list" showInputMessage="1" showErrorMessage="1" sqref="F227" xr:uid="{00000000-0002-0000-0200-00005B000000}">
      <formula1>O_OM_B_2_1</formula1>
    </dataValidation>
  </dataValidations>
  <pageMargins left="0.75" right="0.75" top="1" bottom="1" header="0.5" footer="0.5"/>
  <pageSetup paperSize="9" scale="10" firstPageNumber="0" fitToWidth="0"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144"/>
  <sheetViews>
    <sheetView showGridLines="0" topLeftCell="A11" zoomScale="140" zoomScaleNormal="140" workbookViewId="0">
      <selection activeCell="I21" sqref="I21"/>
    </sheetView>
  </sheetViews>
  <sheetFormatPr defaultColWidth="8.796875" defaultRowHeight="13.5" x14ac:dyDescent="0.5"/>
  <cols>
    <col min="1" max="1" width="14.796875" style="204" customWidth="1"/>
    <col min="2" max="2" width="24.796875" style="204" customWidth="1"/>
    <col min="3" max="3" width="9.1328125" style="204" customWidth="1"/>
    <col min="4" max="6" width="6.46484375" style="204" customWidth="1"/>
    <col min="7" max="7" width="15" style="204" hidden="1" customWidth="1"/>
    <col min="8" max="8" width="9.1328125" style="204" customWidth="1"/>
    <col min="9" max="10" width="15" style="204" bestFit="1" customWidth="1"/>
    <col min="11" max="11" width="7.46484375" style="204" customWidth="1"/>
    <col min="12" max="14" width="15" style="204" bestFit="1" customWidth="1"/>
    <col min="15" max="19" width="8.796875" style="204" customWidth="1"/>
    <col min="20" max="20" width="14.6640625" style="204" customWidth="1"/>
    <col min="21" max="21" width="24.46484375" style="204" customWidth="1"/>
    <col min="22" max="22" width="10.1328125" style="204" bestFit="1" customWidth="1"/>
    <col min="23" max="23" width="10.46484375" style="204" bestFit="1" customWidth="1"/>
    <col min="24" max="24" width="10.46484375" style="204" customWidth="1"/>
    <col min="25" max="25" width="9.46484375" style="204" bestFit="1" customWidth="1"/>
    <col min="26" max="26" width="8.796875" style="204" customWidth="1"/>
    <col min="27" max="16384" width="8.796875" style="204"/>
  </cols>
  <sheetData>
    <row r="1" spans="1:26" ht="25.5" customHeight="1" x14ac:dyDescent="0.5">
      <c r="A1" s="502" t="str">
        <f>CONCATENATE("SAMM Assessment Scorecard: ",C6," For ",C5)</f>
        <v xml:space="preserve">SAMM Assessment Scorecard:  For </v>
      </c>
      <c r="B1" s="567"/>
      <c r="C1" s="567"/>
      <c r="D1" s="567"/>
      <c r="E1" s="567"/>
      <c r="F1" s="567"/>
      <c r="G1" s="567"/>
      <c r="H1" s="567"/>
      <c r="I1" s="567"/>
      <c r="J1" s="567"/>
      <c r="K1" s="205"/>
      <c r="L1" s="205"/>
      <c r="M1" s="205"/>
      <c r="N1" s="205"/>
    </row>
    <row r="2" spans="1:26" ht="12.75" customHeight="1" thickBot="1" x14ac:dyDescent="0.55000000000000004">
      <c r="A2" s="206"/>
      <c r="B2" s="206"/>
      <c r="C2" s="206"/>
      <c r="D2" s="206"/>
      <c r="E2" s="206"/>
      <c r="F2" s="206"/>
      <c r="G2" s="206"/>
      <c r="H2" s="206"/>
      <c r="I2" s="206"/>
      <c r="J2" s="206"/>
      <c r="K2" s="205"/>
      <c r="L2" s="205"/>
      <c r="M2" s="205"/>
      <c r="N2" s="205"/>
    </row>
    <row r="3" spans="1:26" ht="54" customHeight="1" thickBot="1" x14ac:dyDescent="0.55000000000000004">
      <c r="A3" s="571" t="s">
        <v>236</v>
      </c>
      <c r="B3" s="564"/>
      <c r="C3" s="564"/>
      <c r="D3" s="564"/>
      <c r="E3" s="564"/>
      <c r="F3" s="564"/>
      <c r="G3" s="564"/>
      <c r="H3" s="564"/>
      <c r="I3" s="564"/>
      <c r="J3" s="564"/>
      <c r="K3" s="565"/>
      <c r="L3" s="205"/>
      <c r="M3" s="205"/>
      <c r="N3" s="205"/>
    </row>
    <row r="4" spans="1:26" ht="12.75" customHeight="1" x14ac:dyDescent="0.5">
      <c r="A4" s="207"/>
      <c r="B4" s="207"/>
      <c r="C4" s="207"/>
      <c r="D4" s="207"/>
      <c r="E4" s="207"/>
      <c r="F4" s="207"/>
      <c r="G4" s="207"/>
      <c r="H4" s="207"/>
      <c r="I4" s="207"/>
      <c r="J4" s="207"/>
      <c r="K4" s="205"/>
      <c r="L4" s="205"/>
      <c r="M4" s="205"/>
      <c r="N4" s="205"/>
    </row>
    <row r="5" spans="1:26" ht="12.75" customHeight="1" x14ac:dyDescent="0.5">
      <c r="A5" s="568" t="str">
        <f>Interview!B10</f>
        <v>Organization:</v>
      </c>
      <c r="B5" s="567"/>
      <c r="C5" s="570" t="str">
        <f>IF(ISBLANK(Interview!D10),"",Interview!D10)</f>
        <v/>
      </c>
      <c r="D5" s="567"/>
      <c r="E5" s="567"/>
      <c r="F5" s="567"/>
      <c r="G5" s="205"/>
      <c r="H5" s="205"/>
      <c r="I5" s="205"/>
      <c r="J5" s="205"/>
      <c r="K5" s="205"/>
      <c r="L5" s="205"/>
      <c r="M5" s="205"/>
      <c r="N5" s="205"/>
    </row>
    <row r="6" spans="1:26" ht="12.75" customHeight="1" x14ac:dyDescent="0.5">
      <c r="A6" s="568" t="str">
        <f>Interview!B11</f>
        <v>Team/Application:</v>
      </c>
      <c r="B6" s="567"/>
      <c r="C6" s="570" t="str">
        <f>IF(ISBLANK(Interview!D11),"",Interview!D11)</f>
        <v/>
      </c>
      <c r="D6" s="567"/>
      <c r="E6" s="567"/>
      <c r="F6" s="567"/>
      <c r="G6" s="205"/>
      <c r="H6" s="205"/>
      <c r="I6" s="205"/>
      <c r="J6" s="205"/>
      <c r="K6" s="205"/>
      <c r="L6" s="205"/>
      <c r="M6" s="205"/>
      <c r="N6" s="205"/>
    </row>
    <row r="7" spans="1:26" ht="12.75" customHeight="1" x14ac:dyDescent="0.5">
      <c r="A7" s="568" t="str">
        <f>Interview!B12</f>
        <v>Interview Date:</v>
      </c>
      <c r="B7" s="567"/>
      <c r="C7" s="569" t="str">
        <f>IF(ISBLANK(Interview!D12),"",Interview!D12)</f>
        <v/>
      </c>
      <c r="D7" s="567"/>
      <c r="E7" s="567"/>
      <c r="F7" s="567"/>
      <c r="G7" s="205"/>
      <c r="H7" s="205"/>
      <c r="I7" s="205"/>
      <c r="J7" s="205"/>
      <c r="K7" s="205"/>
      <c r="L7" s="205"/>
      <c r="M7" s="205"/>
      <c r="N7" s="205"/>
    </row>
    <row r="8" spans="1:26" ht="12.75" customHeight="1" x14ac:dyDescent="0.5">
      <c r="A8" s="568" t="str">
        <f>Interview!B13</f>
        <v xml:space="preserve">Team Lead: </v>
      </c>
      <c r="B8" s="567"/>
      <c r="C8" s="570" t="str">
        <f>IF(ISBLANK(Interview!D13),"",Interview!D13)</f>
        <v/>
      </c>
      <c r="D8" s="567"/>
      <c r="E8" s="567"/>
      <c r="F8" s="567"/>
      <c r="G8" s="205"/>
      <c r="H8" s="205"/>
      <c r="I8" s="205"/>
      <c r="J8" s="205"/>
      <c r="K8" s="205"/>
      <c r="L8" s="205"/>
      <c r="M8" s="205"/>
      <c r="N8" s="205"/>
    </row>
    <row r="9" spans="1:26" ht="12.75" customHeight="1" x14ac:dyDescent="0.5">
      <c r="A9" s="568" t="str">
        <f>Interview!B14</f>
        <v>Contributors:</v>
      </c>
      <c r="B9" s="567"/>
      <c r="C9" s="572" t="str">
        <f>IF(ISBLANK(Interview!D14),"",Interview!D14)</f>
        <v/>
      </c>
      <c r="D9" s="567"/>
      <c r="E9" s="567"/>
      <c r="F9" s="567"/>
      <c r="G9" s="567"/>
      <c r="H9" s="567"/>
      <c r="I9" s="567"/>
      <c r="J9" s="205"/>
      <c r="K9" s="205"/>
      <c r="L9" s="205"/>
      <c r="M9" s="205"/>
      <c r="N9" s="205"/>
    </row>
    <row r="10" spans="1:26" ht="12.75" customHeight="1" thickBot="1" x14ac:dyDescent="0.55000000000000004">
      <c r="A10" s="208"/>
      <c r="B10" s="205"/>
      <c r="C10" s="205"/>
      <c r="D10" s="205"/>
      <c r="E10" s="205"/>
      <c r="F10" s="205"/>
      <c r="G10" s="205"/>
      <c r="H10" s="205"/>
      <c r="I10" s="205"/>
      <c r="J10" s="205"/>
      <c r="K10" s="205"/>
      <c r="L10" s="205"/>
      <c r="M10" s="205"/>
      <c r="N10" s="205"/>
    </row>
    <row r="11" spans="1:26" ht="25.05" customHeight="1" thickBot="1" x14ac:dyDescent="0.55000000000000004">
      <c r="A11" s="563" t="s">
        <v>237</v>
      </c>
      <c r="B11" s="564"/>
      <c r="C11" s="564"/>
      <c r="D11" s="564"/>
      <c r="E11" s="564"/>
      <c r="F11" s="564"/>
      <c r="G11" s="564"/>
      <c r="H11" s="564"/>
      <c r="I11" s="564"/>
      <c r="J11" s="565"/>
      <c r="K11" s="205"/>
      <c r="L11" s="563" t="s">
        <v>237</v>
      </c>
      <c r="M11" s="564"/>
      <c r="N11" s="564"/>
      <c r="O11" s="564"/>
      <c r="P11" s="564"/>
      <c r="Q11" s="564"/>
      <c r="R11" s="565"/>
      <c r="T11" s="566" t="s">
        <v>237</v>
      </c>
      <c r="U11" s="564"/>
      <c r="V11" s="564"/>
      <c r="W11" s="564"/>
      <c r="X11" s="564"/>
      <c r="Y11" s="564"/>
      <c r="Z11" s="565"/>
    </row>
    <row r="12" spans="1:26" ht="12.75" customHeight="1" x14ac:dyDescent="0.5">
      <c r="A12" s="206"/>
      <c r="B12" s="206"/>
      <c r="C12" s="206"/>
      <c r="D12" s="560" t="s">
        <v>238</v>
      </c>
      <c r="E12" s="561"/>
      <c r="F12" s="562"/>
      <c r="G12" s="205"/>
      <c r="H12" s="205"/>
      <c r="I12" s="205"/>
      <c r="J12" s="205"/>
      <c r="K12" s="205"/>
      <c r="L12" s="205"/>
      <c r="M12" s="205"/>
      <c r="N12" s="205"/>
    </row>
    <row r="13" spans="1:26" ht="25.05" customHeight="1" x14ac:dyDescent="0.5">
      <c r="A13" s="209" t="s">
        <v>239</v>
      </c>
      <c r="B13" s="209" t="s">
        <v>240</v>
      </c>
      <c r="C13" s="209" t="s">
        <v>241</v>
      </c>
      <c r="D13" s="210">
        <v>1</v>
      </c>
      <c r="E13" s="210">
        <v>2</v>
      </c>
      <c r="F13" s="210">
        <v>3</v>
      </c>
      <c r="G13" s="211" t="s">
        <v>242</v>
      </c>
      <c r="H13" s="95"/>
      <c r="I13" s="209" t="s">
        <v>239</v>
      </c>
      <c r="J13" s="209" t="s">
        <v>241</v>
      </c>
      <c r="L13" s="205"/>
      <c r="M13" s="205"/>
      <c r="N13" s="205"/>
      <c r="V13" s="204" t="str">
        <f>T14</f>
        <v>Governance</v>
      </c>
      <c r="W13" s="204" t="str">
        <f>T17</f>
        <v>Design</v>
      </c>
      <c r="X13" s="204" t="str">
        <f>T20</f>
        <v>Implementation</v>
      </c>
      <c r="Y13" s="204" t="str">
        <f>T23</f>
        <v>Verification</v>
      </c>
      <c r="Z13" s="204" t="str">
        <f>T26</f>
        <v>Operations</v>
      </c>
    </row>
    <row r="14" spans="1:26" ht="25.05" customHeight="1" x14ac:dyDescent="0.5">
      <c r="A14" s="212" t="str">
        <f>Interview!$B$16</f>
        <v>Governance</v>
      </c>
      <c r="B14" s="221" t="str">
        <f>Interview!$D$17</f>
        <v>Strategy &amp; Metrics</v>
      </c>
      <c r="C14" s="213">
        <f ca="1">Interview!$J$18</f>
        <v>0</v>
      </c>
      <c r="D14" s="213">
        <f ca="1">Interview!H18</f>
        <v>0</v>
      </c>
      <c r="E14" s="213">
        <f ca="1">Interview!H20</f>
        <v>0</v>
      </c>
      <c r="F14" s="213">
        <f ca="1">Interview!H22</f>
        <v>0</v>
      </c>
      <c r="G14" s="214">
        <f t="shared" ref="G14:G19" ca="1" si="0">(((((IF((C14="0+"),0.5,0)+IF((C14=1),1,0))+IF((C14="1+"),1.5,0))+IF((C14=2),2,0))+IF((C14="2+"),2.5,0))+IF((C14=3),3,0))+IF((C14="3+"),3.5,0)</f>
        <v>0</v>
      </c>
      <c r="H14" s="215"/>
      <c r="I14" s="212" t="str">
        <f>A14</f>
        <v>Governance</v>
      </c>
      <c r="J14" s="213">
        <f ca="1">AVERAGE(C14:C16)</f>
        <v>0</v>
      </c>
      <c r="L14" s="205"/>
      <c r="M14" s="205"/>
      <c r="N14" s="205"/>
      <c r="T14" s="212" t="str">
        <f t="shared" ref="T14:V16" si="1">A14</f>
        <v>Governance</v>
      </c>
      <c r="U14" s="221" t="str">
        <f t="shared" si="1"/>
        <v>Strategy &amp; Metrics</v>
      </c>
      <c r="V14" s="213">
        <f t="shared" ca="1" si="1"/>
        <v>0</v>
      </c>
      <c r="W14" s="213">
        <v>0</v>
      </c>
      <c r="X14" s="213">
        <v>0</v>
      </c>
      <c r="Y14" s="213">
        <v>0</v>
      </c>
      <c r="Z14" s="213">
        <v>0</v>
      </c>
    </row>
    <row r="15" spans="1:26" ht="25.05" customHeight="1" x14ac:dyDescent="0.5">
      <c r="A15" s="212" t="str">
        <f>Interview!$B$16</f>
        <v>Governance</v>
      </c>
      <c r="B15" s="221" t="str">
        <f>Interview!$B$31</f>
        <v>Policy &amp; Compliance</v>
      </c>
      <c r="C15" s="213">
        <f ca="1">Interview!$J$32</f>
        <v>0</v>
      </c>
      <c r="D15" s="213">
        <f ca="1">Interview!H32</f>
        <v>0</v>
      </c>
      <c r="E15" s="213">
        <f ca="1">Interview!H34</f>
        <v>0</v>
      </c>
      <c r="F15" s="213">
        <f ca="1">Interview!H36</f>
        <v>0</v>
      </c>
      <c r="G15" s="214">
        <f t="shared" ca="1" si="0"/>
        <v>0</v>
      </c>
      <c r="H15" s="215"/>
      <c r="I15" s="216" t="str">
        <f>A17</f>
        <v>Design</v>
      </c>
      <c r="J15" s="213">
        <f ca="1">AVERAGE(C17:C19)</f>
        <v>0</v>
      </c>
      <c r="L15" s="205"/>
      <c r="M15" s="205"/>
      <c r="N15" s="205"/>
      <c r="T15" s="212" t="str">
        <f t="shared" si="1"/>
        <v>Governance</v>
      </c>
      <c r="U15" s="221" t="str">
        <f t="shared" si="1"/>
        <v>Policy &amp; Compliance</v>
      </c>
      <c r="V15" s="213">
        <f t="shared" ca="1" si="1"/>
        <v>0</v>
      </c>
      <c r="W15" s="213">
        <v>0</v>
      </c>
      <c r="X15" s="213">
        <v>0</v>
      </c>
      <c r="Y15" s="213">
        <v>0</v>
      </c>
      <c r="Z15" s="213">
        <v>0</v>
      </c>
    </row>
    <row r="16" spans="1:26" ht="25.05" customHeight="1" x14ac:dyDescent="0.5">
      <c r="A16" s="212" t="str">
        <f>Interview!$B$16</f>
        <v>Governance</v>
      </c>
      <c r="B16" s="221" t="str">
        <f>Interview!$B$45</f>
        <v>Education &amp; Guidance</v>
      </c>
      <c r="C16" s="213">
        <f ca="1">Interview!$J$46</f>
        <v>0</v>
      </c>
      <c r="D16" s="213">
        <f ca="1">Interview!H46</f>
        <v>0</v>
      </c>
      <c r="E16" s="213">
        <f ca="1">Interview!H48</f>
        <v>0</v>
      </c>
      <c r="F16" s="213">
        <f ca="1">Interview!H50</f>
        <v>0</v>
      </c>
      <c r="G16" s="214">
        <f t="shared" ca="1" si="0"/>
        <v>0</v>
      </c>
      <c r="H16" s="215"/>
      <c r="I16" s="218" t="str">
        <f>A20</f>
        <v>Implementation</v>
      </c>
      <c r="J16" s="213">
        <f ca="1">AVERAGE(C20:C22)</f>
        <v>0</v>
      </c>
      <c r="L16" s="205"/>
      <c r="M16" s="205"/>
      <c r="N16" s="205"/>
      <c r="T16" s="212" t="str">
        <f t="shared" si="1"/>
        <v>Governance</v>
      </c>
      <c r="U16" s="221" t="str">
        <f t="shared" si="1"/>
        <v>Education &amp; Guidance</v>
      </c>
      <c r="V16" s="213">
        <f t="shared" ca="1" si="1"/>
        <v>0</v>
      </c>
      <c r="W16" s="213">
        <v>0</v>
      </c>
      <c r="X16" s="213">
        <v>0</v>
      </c>
      <c r="Y16" s="213">
        <v>0</v>
      </c>
      <c r="Z16" s="213">
        <v>0</v>
      </c>
    </row>
    <row r="17" spans="1:26" ht="25.05" customHeight="1" x14ac:dyDescent="0.5">
      <c r="A17" s="216" t="str">
        <f>Interview!$B$59</f>
        <v>Design</v>
      </c>
      <c r="B17" s="222" t="str">
        <f>Interview!$B$60</f>
        <v>Threat Assessment</v>
      </c>
      <c r="C17" s="213">
        <f ca="1">Interview!$J$61</f>
        <v>0</v>
      </c>
      <c r="D17" s="213">
        <f ca="1">Interview!H61</f>
        <v>0</v>
      </c>
      <c r="E17" s="213">
        <f ca="1">Interview!H63</f>
        <v>0</v>
      </c>
      <c r="F17" s="213">
        <f ca="1">Interview!H65</f>
        <v>0</v>
      </c>
      <c r="G17" s="214">
        <f t="shared" ca="1" si="0"/>
        <v>0</v>
      </c>
      <c r="H17" s="215"/>
      <c r="I17" s="219" t="str">
        <f>A23</f>
        <v>Verification</v>
      </c>
      <c r="J17" s="213">
        <f ca="1">AVERAGE(C23:C25)</f>
        <v>0</v>
      </c>
      <c r="L17" s="205"/>
      <c r="M17" s="205"/>
      <c r="N17" s="205"/>
      <c r="T17" s="216" t="str">
        <f t="shared" ref="T17:T28" si="2">A17</f>
        <v>Design</v>
      </c>
      <c r="U17" s="222" t="str">
        <f t="shared" ref="U17:U28" si="3">B17</f>
        <v>Threat Assessment</v>
      </c>
      <c r="V17" s="213">
        <v>0</v>
      </c>
      <c r="W17" s="213">
        <f ca="1">C17</f>
        <v>0</v>
      </c>
      <c r="X17" s="213">
        <v>0</v>
      </c>
      <c r="Y17" s="213">
        <v>0</v>
      </c>
      <c r="Z17" s="213">
        <v>0</v>
      </c>
    </row>
    <row r="18" spans="1:26" ht="25.05" customHeight="1" x14ac:dyDescent="0.5">
      <c r="A18" s="216" t="str">
        <f>Interview!$B$59</f>
        <v>Design</v>
      </c>
      <c r="B18" s="222" t="str">
        <f>Interview!$B$74</f>
        <v>Security Requirements</v>
      </c>
      <c r="C18" s="213">
        <f ca="1">Interview!$J$75</f>
        <v>0</v>
      </c>
      <c r="D18" s="213">
        <f ca="1">Interview!H75</f>
        <v>0</v>
      </c>
      <c r="E18" s="213">
        <f ca="1">Interview!H77</f>
        <v>0</v>
      </c>
      <c r="F18" s="213">
        <f ca="1">Interview!H79</f>
        <v>0</v>
      </c>
      <c r="G18" s="214">
        <f t="shared" ca="1" si="0"/>
        <v>0</v>
      </c>
      <c r="H18" s="215"/>
      <c r="I18" s="220" t="str">
        <f>A26</f>
        <v>Operations</v>
      </c>
      <c r="J18" s="213">
        <f ca="1">AVERAGE(C26:C28)</f>
        <v>0</v>
      </c>
      <c r="K18" s="205"/>
      <c r="L18" s="205"/>
      <c r="M18" s="205"/>
      <c r="N18" s="205"/>
      <c r="T18" s="216" t="str">
        <f t="shared" si="2"/>
        <v>Design</v>
      </c>
      <c r="U18" s="222" t="str">
        <f t="shared" si="3"/>
        <v>Security Requirements</v>
      </c>
      <c r="V18" s="213">
        <v>0</v>
      </c>
      <c r="W18" s="213">
        <f ca="1">C18</f>
        <v>0</v>
      </c>
      <c r="X18" s="213">
        <v>0</v>
      </c>
      <c r="Y18" s="213">
        <v>0</v>
      </c>
      <c r="Z18" s="213">
        <v>0</v>
      </c>
    </row>
    <row r="19" spans="1:26" ht="25.05" customHeight="1" x14ac:dyDescent="0.5">
      <c r="A19" s="216" t="str">
        <f>Interview!$B$59</f>
        <v>Design</v>
      </c>
      <c r="B19" s="222" t="str">
        <f>Interview!$B$88</f>
        <v>Secure Architecture</v>
      </c>
      <c r="C19" s="213">
        <f ca="1">Interview!$J$89</f>
        <v>0</v>
      </c>
      <c r="D19" s="213">
        <f ca="1">Interview!H89</f>
        <v>0</v>
      </c>
      <c r="E19" s="213">
        <f ca="1">Interview!H91</f>
        <v>0</v>
      </c>
      <c r="F19" s="213">
        <f ca="1">Interview!H93</f>
        <v>0</v>
      </c>
      <c r="G19" s="214">
        <f t="shared" ca="1" si="0"/>
        <v>0</v>
      </c>
      <c r="H19" s="215"/>
      <c r="I19" s="217" t="s">
        <v>243</v>
      </c>
      <c r="J19" s="213">
        <f ca="1">AVERAGE(J14:J18)</f>
        <v>0</v>
      </c>
      <c r="K19" s="205"/>
      <c r="L19" s="205"/>
      <c r="M19" s="205"/>
      <c r="N19" s="205"/>
      <c r="T19" s="216" t="str">
        <f t="shared" si="2"/>
        <v>Design</v>
      </c>
      <c r="U19" s="222" t="str">
        <f t="shared" si="3"/>
        <v>Secure Architecture</v>
      </c>
      <c r="V19" s="213">
        <v>0</v>
      </c>
      <c r="W19" s="213">
        <f ca="1">C19</f>
        <v>0</v>
      </c>
      <c r="X19" s="213">
        <v>0</v>
      </c>
      <c r="Y19" s="213">
        <v>0</v>
      </c>
      <c r="Z19" s="213">
        <v>0</v>
      </c>
    </row>
    <row r="20" spans="1:26" ht="25.05" customHeight="1" x14ac:dyDescent="0.5">
      <c r="A20" s="218" t="str">
        <f>Interview!$B$102</f>
        <v>Implementation</v>
      </c>
      <c r="B20" s="223" t="str">
        <f>Interview!$B$103</f>
        <v>Secure Build</v>
      </c>
      <c r="C20" s="213">
        <f ca="1">Interview!$J$104</f>
        <v>0</v>
      </c>
      <c r="D20" s="213">
        <f ca="1">Interview!H104</f>
        <v>0</v>
      </c>
      <c r="E20" s="213">
        <f ca="1">Interview!H106</f>
        <v>0</v>
      </c>
      <c r="F20" s="213">
        <f ca="1">Interview!H108</f>
        <v>0</v>
      </c>
      <c r="G20" s="214">
        <f ca="1">(((((IF((C20="0+"),0.5,0)+IF((C20=1),1,0))+IF((C20="1+"),1.5,0))+IF((C20=2),2,0))+IF((C20="2+"),2.5,0))+IF((C20=3),3,0))+IF((C20="3+"),3.5,0)</f>
        <v>0</v>
      </c>
      <c r="H20" s="215"/>
      <c r="I20" s="205"/>
      <c r="J20" s="205"/>
      <c r="K20" s="205"/>
      <c r="L20" s="205"/>
      <c r="M20" s="205"/>
      <c r="N20" s="205"/>
      <c r="T20" s="218" t="str">
        <f t="shared" si="2"/>
        <v>Implementation</v>
      </c>
      <c r="U20" s="223" t="str">
        <f t="shared" si="3"/>
        <v>Secure Build</v>
      </c>
      <c r="V20" s="213">
        <v>0</v>
      </c>
      <c r="W20" s="213">
        <v>0</v>
      </c>
      <c r="X20" s="213">
        <f ca="1">C20</f>
        <v>0</v>
      </c>
      <c r="Y20" s="213">
        <v>0</v>
      </c>
      <c r="Z20" s="213">
        <v>0</v>
      </c>
    </row>
    <row r="21" spans="1:26" ht="25.05" customHeight="1" x14ac:dyDescent="0.5">
      <c r="A21" s="218" t="str">
        <f>Interview!$B$102</f>
        <v>Implementation</v>
      </c>
      <c r="B21" s="223" t="str">
        <f>Interview!$B$117</f>
        <v>Secure Deployment</v>
      </c>
      <c r="C21" s="213">
        <f ca="1">Interview!$J$118</f>
        <v>0</v>
      </c>
      <c r="D21" s="213">
        <f ca="1">Interview!H118</f>
        <v>0</v>
      </c>
      <c r="E21" s="213">
        <f ca="1">Interview!H120</f>
        <v>0</v>
      </c>
      <c r="F21" s="213">
        <f ca="1">Interview!H122</f>
        <v>0</v>
      </c>
      <c r="G21" s="214">
        <f ca="1">(((((IF((C21="0+"),0.5,0)+IF((C21=1),1,0))+IF((C21="1+"),1.5,0))+IF((C21=2),2,0))+IF((C21="2+"),2.5,0))+IF((C21=3),3,0))+IF((C21="3+"),3.5,0)</f>
        <v>0</v>
      </c>
      <c r="H21" s="215"/>
      <c r="I21" s="205"/>
      <c r="J21" s="205"/>
      <c r="K21" s="205"/>
      <c r="L21" s="205"/>
      <c r="M21" s="205"/>
      <c r="N21" s="205"/>
      <c r="T21" s="218" t="str">
        <f t="shared" si="2"/>
        <v>Implementation</v>
      </c>
      <c r="U21" s="223" t="str">
        <f t="shared" si="3"/>
        <v>Secure Deployment</v>
      </c>
      <c r="V21" s="213">
        <v>0</v>
      </c>
      <c r="W21" s="213">
        <v>0</v>
      </c>
      <c r="X21" s="213">
        <f ca="1">C21</f>
        <v>0</v>
      </c>
      <c r="Y21" s="213">
        <v>0</v>
      </c>
      <c r="Z21" s="213">
        <v>0</v>
      </c>
    </row>
    <row r="22" spans="1:26" ht="25.05" customHeight="1" x14ac:dyDescent="0.5">
      <c r="A22" s="218" t="str">
        <f>Interview!$B$102</f>
        <v>Implementation</v>
      </c>
      <c r="B22" s="223" t="str">
        <f>Interview!$B$131</f>
        <v>Defect Management</v>
      </c>
      <c r="C22" s="213">
        <f ca="1">Interview!$J$132</f>
        <v>0</v>
      </c>
      <c r="D22" s="213">
        <f ca="1">Interview!H132</f>
        <v>0</v>
      </c>
      <c r="E22" s="213">
        <f ca="1">Interview!H134</f>
        <v>0</v>
      </c>
      <c r="F22" s="213">
        <f ca="1">Interview!H136</f>
        <v>0</v>
      </c>
      <c r="G22" s="214">
        <f ca="1">(((((IF((C22="0+"),0.5,0)+IF((C22=1),1,0))+IF((C22="1+"),1.5,0))+IF((C22=2),2,0))+IF((C22="2+"),2.5,0))+IF((C22=3),3,0))+IF((C22="3+"),3.5,0)</f>
        <v>0</v>
      </c>
      <c r="H22" s="215"/>
      <c r="I22" s="205"/>
      <c r="J22" s="205"/>
      <c r="K22" s="205"/>
      <c r="L22" s="205"/>
      <c r="M22" s="205"/>
      <c r="N22" s="205"/>
      <c r="T22" s="218" t="str">
        <f t="shared" si="2"/>
        <v>Implementation</v>
      </c>
      <c r="U22" s="223" t="str">
        <f t="shared" si="3"/>
        <v>Defect Management</v>
      </c>
      <c r="V22" s="213">
        <v>0</v>
      </c>
      <c r="W22" s="213">
        <v>0</v>
      </c>
      <c r="X22" s="213">
        <f ca="1">C22</f>
        <v>0</v>
      </c>
      <c r="Y22" s="213">
        <v>0</v>
      </c>
      <c r="Z22" s="213">
        <v>0</v>
      </c>
    </row>
    <row r="23" spans="1:26" ht="25.05" customHeight="1" x14ac:dyDescent="0.5">
      <c r="A23" s="219" t="str">
        <f>Interview!$B$145</f>
        <v>Verification</v>
      </c>
      <c r="B23" s="224" t="str">
        <f>Interview!$B$146</f>
        <v>Architecture Assessment</v>
      </c>
      <c r="C23" s="213">
        <f ca="1">Interview!$J$147</f>
        <v>0</v>
      </c>
      <c r="D23" s="213">
        <f ca="1">Interview!H147</f>
        <v>0</v>
      </c>
      <c r="E23" s="213">
        <f ca="1">Interview!H149</f>
        <v>0</v>
      </c>
      <c r="F23" s="213">
        <f ca="1">Interview!H151</f>
        <v>0</v>
      </c>
      <c r="G23" s="214">
        <f t="shared" ref="G23:G28" ca="1" si="4">(((((IF((C23="0+"),0.5,0)+IF((C23=1),1,0))+IF((C23="1+"),1.5,0))+IF((C23=2),2,0))+IF((C23="2+"),2.5,0))+IF((C23=3),3,0))+IF((C23="3+"),3.5,0)</f>
        <v>0</v>
      </c>
      <c r="H23" s="215"/>
      <c r="I23" s="205"/>
      <c r="J23" s="205"/>
      <c r="K23" s="205"/>
      <c r="L23" s="205"/>
      <c r="M23" s="205"/>
      <c r="N23" s="205"/>
      <c r="T23" s="219" t="str">
        <f t="shared" si="2"/>
        <v>Verification</v>
      </c>
      <c r="U23" s="224" t="str">
        <f t="shared" si="3"/>
        <v>Architecture Assessment</v>
      </c>
      <c r="V23" s="213">
        <v>0</v>
      </c>
      <c r="W23" s="213">
        <v>0</v>
      </c>
      <c r="X23" s="213">
        <v>0</v>
      </c>
      <c r="Y23" s="213">
        <f ca="1">C23</f>
        <v>0</v>
      </c>
      <c r="Z23" s="213">
        <v>0</v>
      </c>
    </row>
    <row r="24" spans="1:26" ht="25.05" customHeight="1" x14ac:dyDescent="0.5">
      <c r="A24" s="219" t="str">
        <f>Interview!$B$145</f>
        <v>Verification</v>
      </c>
      <c r="B24" s="224" t="str">
        <f>Interview!$B$160</f>
        <v>Requirements Testing</v>
      </c>
      <c r="C24" s="213">
        <f ca="1">Interview!$J$161</f>
        <v>0</v>
      </c>
      <c r="D24" s="213">
        <f ca="1">Interview!H161</f>
        <v>0</v>
      </c>
      <c r="E24" s="213">
        <f ca="1">Interview!H163</f>
        <v>0</v>
      </c>
      <c r="F24" s="213">
        <f ca="1">Interview!H165</f>
        <v>0</v>
      </c>
      <c r="G24" s="214">
        <f t="shared" ca="1" si="4"/>
        <v>0</v>
      </c>
      <c r="H24" s="215"/>
      <c r="I24" s="205"/>
      <c r="J24" s="205"/>
      <c r="K24" s="205"/>
      <c r="L24" s="205"/>
      <c r="M24" s="205"/>
      <c r="N24" s="205"/>
      <c r="T24" s="219" t="str">
        <f t="shared" si="2"/>
        <v>Verification</v>
      </c>
      <c r="U24" s="224" t="str">
        <f t="shared" si="3"/>
        <v>Requirements Testing</v>
      </c>
      <c r="V24" s="213">
        <v>0</v>
      </c>
      <c r="W24" s="213">
        <v>0</v>
      </c>
      <c r="X24" s="213">
        <v>0</v>
      </c>
      <c r="Y24" s="213">
        <f ca="1">C24</f>
        <v>0</v>
      </c>
      <c r="Z24" s="213">
        <v>0</v>
      </c>
    </row>
    <row r="25" spans="1:26" ht="25.05" customHeight="1" x14ac:dyDescent="0.5">
      <c r="A25" s="219" t="str">
        <f>Interview!$B$145</f>
        <v>Verification</v>
      </c>
      <c r="B25" s="224" t="str">
        <f>Interview!$B$174</f>
        <v>Security Testing</v>
      </c>
      <c r="C25" s="213">
        <f ca="1">Interview!$J$175</f>
        <v>0</v>
      </c>
      <c r="D25" s="213">
        <f ca="1">Interview!H175</f>
        <v>0</v>
      </c>
      <c r="E25" s="213">
        <f ca="1">Interview!H177</f>
        <v>0</v>
      </c>
      <c r="F25" s="213">
        <f ca="1">Interview!H179</f>
        <v>0</v>
      </c>
      <c r="G25" s="214">
        <f t="shared" ca="1" si="4"/>
        <v>0</v>
      </c>
      <c r="H25" s="215"/>
      <c r="I25" s="205"/>
      <c r="J25" s="205"/>
      <c r="K25" s="205"/>
      <c r="L25" s="205"/>
      <c r="M25" s="205"/>
      <c r="N25" s="205"/>
      <c r="T25" s="219" t="str">
        <f t="shared" si="2"/>
        <v>Verification</v>
      </c>
      <c r="U25" s="224" t="str">
        <f t="shared" si="3"/>
        <v>Security Testing</v>
      </c>
      <c r="V25" s="213">
        <v>0</v>
      </c>
      <c r="W25" s="213">
        <v>0</v>
      </c>
      <c r="X25" s="213">
        <v>0</v>
      </c>
      <c r="Y25" s="213">
        <f ca="1">C25</f>
        <v>0</v>
      </c>
      <c r="Z25" s="213">
        <v>0</v>
      </c>
    </row>
    <row r="26" spans="1:26" ht="25.05" customHeight="1" x14ac:dyDescent="0.5">
      <c r="A26" s="220" t="str">
        <f>Interview!$B$188</f>
        <v>Operations</v>
      </c>
      <c r="B26" s="225" t="str">
        <f>Interview!$B$189</f>
        <v>Incident Management</v>
      </c>
      <c r="C26" s="213">
        <f ca="1">Interview!$J$190</f>
        <v>0</v>
      </c>
      <c r="D26" s="213">
        <f ca="1">Interview!H190</f>
        <v>0</v>
      </c>
      <c r="E26" s="213">
        <f ca="1">Interview!H192</f>
        <v>0</v>
      </c>
      <c r="F26" s="213">
        <f ca="1">Interview!H194</f>
        <v>0</v>
      </c>
      <c r="G26" s="214">
        <f t="shared" ca="1" si="4"/>
        <v>0</v>
      </c>
      <c r="H26" s="215"/>
      <c r="I26" s="205"/>
      <c r="J26" s="205"/>
      <c r="K26" s="205"/>
      <c r="L26" s="205"/>
      <c r="M26" s="205"/>
      <c r="N26" s="205"/>
      <c r="T26" s="220" t="str">
        <f t="shared" si="2"/>
        <v>Operations</v>
      </c>
      <c r="U26" s="225" t="str">
        <f t="shared" si="3"/>
        <v>Incident Management</v>
      </c>
      <c r="V26" s="213">
        <v>0</v>
      </c>
      <c r="W26" s="213">
        <v>0</v>
      </c>
      <c r="X26" s="213">
        <v>0</v>
      </c>
      <c r="Y26" s="213">
        <v>0</v>
      </c>
      <c r="Z26" s="213">
        <f ca="1">C26</f>
        <v>0</v>
      </c>
    </row>
    <row r="27" spans="1:26" ht="25.05" customHeight="1" x14ac:dyDescent="0.5">
      <c r="A27" s="220" t="str">
        <f>Interview!$B$188</f>
        <v>Operations</v>
      </c>
      <c r="B27" s="225" t="str">
        <f>Interview!$B$203</f>
        <v>Environment Management</v>
      </c>
      <c r="C27" s="213">
        <f ca="1">Interview!$J$204</f>
        <v>0</v>
      </c>
      <c r="D27" s="213">
        <f ca="1">Interview!H204</f>
        <v>0</v>
      </c>
      <c r="E27" s="213">
        <f ca="1">Interview!H206</f>
        <v>0</v>
      </c>
      <c r="F27" s="213">
        <f ca="1">Interview!H208</f>
        <v>0</v>
      </c>
      <c r="G27" s="214">
        <f t="shared" ca="1" si="4"/>
        <v>0</v>
      </c>
      <c r="H27" s="215"/>
      <c r="I27" s="205"/>
      <c r="J27" s="205"/>
      <c r="K27" s="205"/>
      <c r="L27" s="205"/>
      <c r="M27" s="205"/>
      <c r="N27" s="205"/>
      <c r="T27" s="220" t="str">
        <f t="shared" si="2"/>
        <v>Operations</v>
      </c>
      <c r="U27" s="225" t="str">
        <f t="shared" si="3"/>
        <v>Environment Management</v>
      </c>
      <c r="V27" s="213">
        <v>0</v>
      </c>
      <c r="W27" s="213">
        <v>0</v>
      </c>
      <c r="X27" s="213">
        <v>0</v>
      </c>
      <c r="Y27" s="213">
        <v>0</v>
      </c>
      <c r="Z27" s="213">
        <f ca="1">C27</f>
        <v>0</v>
      </c>
    </row>
    <row r="28" spans="1:26" ht="25.05" customHeight="1" x14ac:dyDescent="0.5">
      <c r="A28" s="220" t="str">
        <f>Interview!$B$188</f>
        <v>Operations</v>
      </c>
      <c r="B28" s="225" t="str">
        <f>Interview!$B$217</f>
        <v>Operational Management</v>
      </c>
      <c r="C28" s="213">
        <f ca="1">Interview!$J$218</f>
        <v>0</v>
      </c>
      <c r="D28" s="213">
        <f ca="1">Interview!H218</f>
        <v>0</v>
      </c>
      <c r="E28" s="213">
        <f ca="1">Interview!H220</f>
        <v>0</v>
      </c>
      <c r="F28" s="213">
        <f ca="1">Interview!H222</f>
        <v>0</v>
      </c>
      <c r="G28" s="214">
        <f t="shared" ca="1" si="4"/>
        <v>0</v>
      </c>
      <c r="H28" s="215"/>
      <c r="I28" s="205"/>
      <c r="J28" s="205"/>
      <c r="K28" s="205"/>
      <c r="L28" s="205"/>
      <c r="M28" s="205"/>
      <c r="N28" s="205"/>
      <c r="T28" s="220" t="str">
        <f t="shared" si="2"/>
        <v>Operations</v>
      </c>
      <c r="U28" s="225" t="str">
        <f t="shared" si="3"/>
        <v>Operational Management</v>
      </c>
      <c r="V28" s="213">
        <v>0</v>
      </c>
      <c r="W28" s="213">
        <v>0</v>
      </c>
      <c r="X28" s="213">
        <v>0</v>
      </c>
      <c r="Y28" s="213">
        <v>0</v>
      </c>
      <c r="Z28" s="213">
        <f ca="1">C28</f>
        <v>0</v>
      </c>
    </row>
    <row r="29" spans="1:26" ht="12.75" customHeight="1" x14ac:dyDescent="0.5">
      <c r="A29" s="207"/>
      <c r="B29" s="207"/>
      <c r="C29" s="207"/>
      <c r="D29" s="207"/>
      <c r="E29" s="207"/>
      <c r="F29" s="207"/>
      <c r="G29" s="205"/>
      <c r="H29" s="205"/>
      <c r="I29" s="205"/>
      <c r="J29" s="205"/>
      <c r="K29" s="205"/>
      <c r="L29" s="205"/>
      <c r="M29" s="205"/>
      <c r="N29" s="205"/>
    </row>
    <row r="30" spans="1:26" ht="12.75" customHeight="1" thickBot="1" x14ac:dyDescent="0.55000000000000004">
      <c r="K30" s="205"/>
    </row>
    <row r="31" spans="1:26" ht="25.05" customHeight="1" thickBot="1" x14ac:dyDescent="0.55000000000000004">
      <c r="A31" s="563" t="s">
        <v>244</v>
      </c>
      <c r="B31" s="564"/>
      <c r="C31" s="564"/>
      <c r="D31" s="564"/>
      <c r="E31" s="564"/>
      <c r="F31" s="564"/>
      <c r="G31" s="564"/>
      <c r="H31" s="564"/>
      <c r="I31" s="564"/>
      <c r="J31" s="565"/>
      <c r="K31" s="205"/>
      <c r="L31" s="563" t="s">
        <v>244</v>
      </c>
      <c r="M31" s="564"/>
      <c r="N31" s="564"/>
      <c r="O31" s="564"/>
      <c r="P31" s="564"/>
      <c r="Q31" s="564"/>
      <c r="R31" s="565"/>
      <c r="T31" s="566" t="s">
        <v>244</v>
      </c>
      <c r="U31" s="564"/>
      <c r="V31" s="564"/>
      <c r="W31" s="564"/>
      <c r="X31" s="564"/>
      <c r="Y31" s="564"/>
      <c r="Z31" s="565"/>
    </row>
    <row r="32" spans="1:26" ht="12" customHeight="1" x14ac:dyDescent="0.5">
      <c r="A32" s="206"/>
      <c r="B32" s="206"/>
      <c r="C32" s="206"/>
      <c r="D32" s="560" t="s">
        <v>238</v>
      </c>
      <c r="E32" s="561"/>
      <c r="F32" s="562"/>
      <c r="G32" s="205"/>
      <c r="H32" s="205"/>
      <c r="I32" s="205"/>
      <c r="J32" s="205"/>
      <c r="K32" s="205"/>
      <c r="L32" s="205"/>
      <c r="M32" s="205"/>
      <c r="N32" s="205"/>
    </row>
    <row r="33" spans="1:26" ht="25.05" customHeight="1" x14ac:dyDescent="0.5">
      <c r="A33" s="209" t="s">
        <v>239</v>
      </c>
      <c r="B33" s="209" t="s">
        <v>240</v>
      </c>
      <c r="C33" s="209" t="s">
        <v>241</v>
      </c>
      <c r="D33" s="210">
        <v>1</v>
      </c>
      <c r="E33" s="210">
        <v>2</v>
      </c>
      <c r="F33" s="210">
        <v>3</v>
      </c>
      <c r="G33" s="211" t="s">
        <v>242</v>
      </c>
      <c r="H33" s="95"/>
      <c r="I33" s="209" t="s">
        <v>239</v>
      </c>
      <c r="J33" s="209" t="s">
        <v>241</v>
      </c>
      <c r="K33" s="205"/>
      <c r="L33" s="205"/>
      <c r="M33" s="205"/>
      <c r="N33" s="205"/>
      <c r="V33" s="204" t="str">
        <f>T34</f>
        <v>Governance</v>
      </c>
      <c r="W33" s="204" t="str">
        <f>T37</f>
        <v>Design</v>
      </c>
      <c r="X33" s="204" t="str">
        <f>T40</f>
        <v>Implementation</v>
      </c>
      <c r="Y33" s="204" t="str">
        <f>T43</f>
        <v>Verification</v>
      </c>
      <c r="Z33" s="204" t="str">
        <f>T46</f>
        <v>Operations</v>
      </c>
    </row>
    <row r="34" spans="1:26" ht="25.05" customHeight="1" x14ac:dyDescent="0.5">
      <c r="A34" s="212" t="str">
        <f>Interview!$B$16</f>
        <v>Governance</v>
      </c>
      <c r="B34" s="221" t="str">
        <f>Interview!$D$17</f>
        <v>Strategy &amp; Metrics</v>
      </c>
      <c r="C34" s="213">
        <f ca="1">Roadmap!M18</f>
        <v>0</v>
      </c>
      <c r="D34" s="213">
        <f ca="1">Roadmap!L18</f>
        <v>0</v>
      </c>
      <c r="E34" s="213">
        <f ca="1">Roadmap!L19</f>
        <v>0</v>
      </c>
      <c r="F34" s="213">
        <f ca="1">Roadmap!L20</f>
        <v>0</v>
      </c>
      <c r="G34" s="214">
        <f t="shared" ref="G34:G39" ca="1" si="5">(((((IF((C34="0+"),0.5,0)+IF((C34=1),1,0))+IF((C34="1+"),1.5,0))+IF((C34=2),2,0))+IF((C34="2+"),2.5,0))+IF((C34=3),3,0))+IF((C34="3+"),3.5,0)</f>
        <v>0</v>
      </c>
      <c r="H34" s="215"/>
      <c r="I34" s="212" t="str">
        <f>A34</f>
        <v>Governance</v>
      </c>
      <c r="J34" s="213">
        <f ca="1">AVERAGE(C34:C36)</f>
        <v>0</v>
      </c>
      <c r="K34" s="205"/>
      <c r="L34" s="205"/>
      <c r="M34" s="205"/>
      <c r="N34" s="205"/>
      <c r="T34" s="212" t="str">
        <f>Interview!$B$16</f>
        <v>Governance</v>
      </c>
      <c r="U34" s="221" t="str">
        <f>Interview!$D$17</f>
        <v>Strategy &amp; Metrics</v>
      </c>
      <c r="V34" s="213">
        <f ca="1">C34</f>
        <v>0</v>
      </c>
      <c r="W34" s="213">
        <v>0</v>
      </c>
      <c r="X34" s="213">
        <v>0</v>
      </c>
      <c r="Y34" s="213">
        <v>0</v>
      </c>
      <c r="Z34" s="213">
        <v>0</v>
      </c>
    </row>
    <row r="35" spans="1:26" ht="25.05" customHeight="1" x14ac:dyDescent="0.5">
      <c r="A35" s="212" t="str">
        <f>Interview!$B$16</f>
        <v>Governance</v>
      </c>
      <c r="B35" s="221" t="str">
        <f>Interview!$B$31</f>
        <v>Policy &amp; Compliance</v>
      </c>
      <c r="C35" s="213">
        <f ca="1">Roadmap!M27</f>
        <v>0</v>
      </c>
      <c r="D35" s="213">
        <f ca="1">Roadmap!L27</f>
        <v>0</v>
      </c>
      <c r="E35" s="213">
        <f ca="1">Roadmap!L28</f>
        <v>0</v>
      </c>
      <c r="F35" s="213">
        <f ca="1">Roadmap!L29</f>
        <v>0</v>
      </c>
      <c r="G35" s="214">
        <f t="shared" ca="1" si="5"/>
        <v>0</v>
      </c>
      <c r="H35" s="215"/>
      <c r="I35" s="216" t="str">
        <f>A37</f>
        <v>Design</v>
      </c>
      <c r="J35" s="213">
        <f ca="1">AVERAGE(C37:C39)</f>
        <v>0</v>
      </c>
      <c r="K35" s="205"/>
      <c r="L35" s="205"/>
      <c r="M35" s="205"/>
      <c r="N35" s="205"/>
      <c r="T35" s="212" t="str">
        <f>Interview!$B$16</f>
        <v>Governance</v>
      </c>
      <c r="U35" s="221" t="str">
        <f>Interview!$B$31</f>
        <v>Policy &amp; Compliance</v>
      </c>
      <c r="V35" s="213">
        <f ca="1">C35</f>
        <v>0</v>
      </c>
      <c r="W35" s="213">
        <v>0</v>
      </c>
      <c r="X35" s="213">
        <v>0</v>
      </c>
      <c r="Y35" s="213">
        <v>0</v>
      </c>
      <c r="Z35" s="213">
        <v>0</v>
      </c>
    </row>
    <row r="36" spans="1:26" ht="25.05" customHeight="1" x14ac:dyDescent="0.5">
      <c r="A36" s="212" t="str">
        <f>Interview!$B$16</f>
        <v>Governance</v>
      </c>
      <c r="B36" s="221" t="str">
        <f>Interview!$B$45</f>
        <v>Education &amp; Guidance</v>
      </c>
      <c r="C36" s="213">
        <f ca="1">Roadmap!M36</f>
        <v>0</v>
      </c>
      <c r="D36" s="213">
        <f ca="1">Roadmap!L36</f>
        <v>0</v>
      </c>
      <c r="E36" s="213">
        <f ca="1">Roadmap!L37</f>
        <v>0</v>
      </c>
      <c r="F36" s="213">
        <f ca="1">Roadmap!L38</f>
        <v>0</v>
      </c>
      <c r="G36" s="214">
        <f t="shared" ca="1" si="5"/>
        <v>0</v>
      </c>
      <c r="H36" s="215"/>
      <c r="I36" s="218" t="str">
        <f>A40</f>
        <v>Implementation</v>
      </c>
      <c r="J36" s="213">
        <f ca="1">AVERAGE(C40:C42)</f>
        <v>0</v>
      </c>
      <c r="K36" s="205"/>
      <c r="L36" s="205"/>
      <c r="M36" s="205"/>
      <c r="N36" s="205"/>
      <c r="T36" s="212" t="str">
        <f>Interview!$B$16</f>
        <v>Governance</v>
      </c>
      <c r="U36" s="221" t="str">
        <f>Interview!$B$45</f>
        <v>Education &amp; Guidance</v>
      </c>
      <c r="V36" s="213">
        <f ca="1">C36</f>
        <v>0</v>
      </c>
      <c r="W36" s="213">
        <v>0</v>
      </c>
      <c r="X36" s="213">
        <v>0</v>
      </c>
      <c r="Y36" s="213">
        <v>0</v>
      </c>
      <c r="Z36" s="213">
        <v>0</v>
      </c>
    </row>
    <row r="37" spans="1:26" ht="25.05" customHeight="1" x14ac:dyDescent="0.5">
      <c r="A37" s="216" t="str">
        <f>Interview!$B$59</f>
        <v>Design</v>
      </c>
      <c r="B37" s="222" t="str">
        <f>Interview!$B$60</f>
        <v>Threat Assessment</v>
      </c>
      <c r="C37" s="213">
        <f ca="1">Roadmap!M46</f>
        <v>0</v>
      </c>
      <c r="D37" s="213">
        <f ca="1">Roadmap!L46</f>
        <v>0</v>
      </c>
      <c r="E37" s="213">
        <f ca="1">Roadmap!L47</f>
        <v>0</v>
      </c>
      <c r="F37" s="213">
        <f ca="1">Roadmap!L48</f>
        <v>0</v>
      </c>
      <c r="G37" s="214">
        <f t="shared" ca="1" si="5"/>
        <v>0</v>
      </c>
      <c r="H37" s="215"/>
      <c r="I37" s="219" t="str">
        <f>A43</f>
        <v>Verification</v>
      </c>
      <c r="J37" s="213">
        <f ca="1">AVERAGE(C43:C45)</f>
        <v>0</v>
      </c>
      <c r="K37" s="205"/>
      <c r="L37" s="205"/>
      <c r="M37" s="205"/>
      <c r="N37" s="205"/>
      <c r="T37" s="216" t="str">
        <f>Interview!$B$59</f>
        <v>Design</v>
      </c>
      <c r="U37" s="222" t="str">
        <f>Interview!$B$60</f>
        <v>Threat Assessment</v>
      </c>
      <c r="V37" s="213">
        <v>0</v>
      </c>
      <c r="W37" s="213">
        <f ca="1">C37</f>
        <v>0</v>
      </c>
      <c r="X37" s="213">
        <v>0</v>
      </c>
      <c r="Y37" s="213">
        <v>0</v>
      </c>
      <c r="Z37" s="213">
        <v>0</v>
      </c>
    </row>
    <row r="38" spans="1:26" ht="25.05" customHeight="1" x14ac:dyDescent="0.5">
      <c r="A38" s="216" t="str">
        <f>Interview!$B$59</f>
        <v>Design</v>
      </c>
      <c r="B38" s="222" t="str">
        <f>Interview!$B$74</f>
        <v>Security Requirements</v>
      </c>
      <c r="C38" s="213">
        <f ca="1">Roadmap!M55</f>
        <v>0</v>
      </c>
      <c r="D38" s="213">
        <f ca="1">Roadmap!L55</f>
        <v>0</v>
      </c>
      <c r="E38" s="213">
        <f ca="1">Roadmap!L56</f>
        <v>0</v>
      </c>
      <c r="F38" s="213">
        <f ca="1">Roadmap!L57</f>
        <v>0</v>
      </c>
      <c r="G38" s="214">
        <f t="shared" ca="1" si="5"/>
        <v>0</v>
      </c>
      <c r="H38" s="215"/>
      <c r="I38" s="220" t="str">
        <f>A46</f>
        <v>Operations</v>
      </c>
      <c r="J38" s="213">
        <f ca="1">AVERAGE(C46:C48)</f>
        <v>0</v>
      </c>
      <c r="K38" s="205"/>
      <c r="L38" s="213"/>
      <c r="M38" s="205"/>
      <c r="N38" s="205"/>
      <c r="T38" s="216" t="str">
        <f>Interview!$B$59</f>
        <v>Design</v>
      </c>
      <c r="U38" s="222" t="str">
        <f>Interview!$B$74</f>
        <v>Security Requirements</v>
      </c>
      <c r="V38" s="213">
        <v>0</v>
      </c>
      <c r="W38" s="213">
        <f ca="1">C38</f>
        <v>0</v>
      </c>
      <c r="X38" s="213">
        <v>0</v>
      </c>
      <c r="Y38" s="213">
        <v>0</v>
      </c>
      <c r="Z38" s="213">
        <v>0</v>
      </c>
    </row>
    <row r="39" spans="1:26" ht="25.05" customHeight="1" x14ac:dyDescent="0.5">
      <c r="A39" s="216" t="str">
        <f>Interview!$B$59</f>
        <v>Design</v>
      </c>
      <c r="B39" s="222" t="str">
        <f>Interview!$B$88</f>
        <v>Secure Architecture</v>
      </c>
      <c r="C39" s="213">
        <f ca="1">Roadmap!M64</f>
        <v>0</v>
      </c>
      <c r="D39" s="213">
        <f ca="1">Roadmap!L64</f>
        <v>0</v>
      </c>
      <c r="E39" s="213">
        <f ca="1">Roadmap!L65</f>
        <v>0</v>
      </c>
      <c r="F39" s="213">
        <f ca="1">Roadmap!L66</f>
        <v>0</v>
      </c>
      <c r="G39" s="214">
        <f t="shared" ca="1" si="5"/>
        <v>0</v>
      </c>
      <c r="H39" s="215"/>
      <c r="I39" s="217" t="s">
        <v>243</v>
      </c>
      <c r="J39" s="213">
        <f ca="1">AVERAGE(J34:J38)</f>
        <v>0</v>
      </c>
      <c r="K39" s="205"/>
      <c r="L39" s="213"/>
      <c r="M39" s="205"/>
      <c r="N39" s="205"/>
      <c r="T39" s="216" t="str">
        <f>Interview!$B$59</f>
        <v>Design</v>
      </c>
      <c r="U39" s="222" t="str">
        <f>Interview!$B$88</f>
        <v>Secure Architecture</v>
      </c>
      <c r="V39" s="213">
        <v>0</v>
      </c>
      <c r="W39" s="213">
        <f ca="1">C39</f>
        <v>0</v>
      </c>
      <c r="X39" s="213">
        <v>0</v>
      </c>
      <c r="Y39" s="213">
        <v>0</v>
      </c>
      <c r="Z39" s="213">
        <v>0</v>
      </c>
    </row>
    <row r="40" spans="1:26" ht="25.05" customHeight="1" x14ac:dyDescent="0.5">
      <c r="A40" s="218" t="str">
        <f>Interview!$B$102</f>
        <v>Implementation</v>
      </c>
      <c r="B40" s="223" t="str">
        <f>Interview!$B$103</f>
        <v>Secure Build</v>
      </c>
      <c r="C40" s="213">
        <f ca="1">Roadmap!M74</f>
        <v>0</v>
      </c>
      <c r="D40" s="213">
        <f ca="1">Roadmap!L74</f>
        <v>0</v>
      </c>
      <c r="E40" s="213">
        <f ca="1">Roadmap!L75</f>
        <v>0</v>
      </c>
      <c r="F40" s="213">
        <f ca="1">Roadmap!L76</f>
        <v>0</v>
      </c>
      <c r="G40" s="214">
        <f ca="1">(((((IF((C40="0+"),0.5,0)+IF((C40=1),1,0))+IF((C40="1+"),1.5,0))+IF((C40=2),2,0))+IF((C40="2+"),2.5,0))+IF((C40=3),3,0))+IF((C40="3+"),3.5,0)</f>
        <v>0</v>
      </c>
      <c r="H40" s="215"/>
      <c r="I40" s="205"/>
      <c r="J40" s="205"/>
      <c r="K40" s="205"/>
      <c r="L40" s="213"/>
      <c r="M40" s="205"/>
      <c r="N40" s="205"/>
      <c r="T40" s="218" t="str">
        <f>Interview!$B$102</f>
        <v>Implementation</v>
      </c>
      <c r="U40" s="223" t="str">
        <f>Interview!$B$103</f>
        <v>Secure Build</v>
      </c>
      <c r="V40" s="213">
        <v>0</v>
      </c>
      <c r="W40" s="213">
        <v>0</v>
      </c>
      <c r="X40" s="213">
        <f ca="1">C40</f>
        <v>0</v>
      </c>
      <c r="Y40" s="213">
        <v>0</v>
      </c>
      <c r="Z40" s="213">
        <v>0</v>
      </c>
    </row>
    <row r="41" spans="1:26" ht="25.05" customHeight="1" x14ac:dyDescent="0.5">
      <c r="A41" s="218" t="str">
        <f>Interview!$B$102</f>
        <v>Implementation</v>
      </c>
      <c r="B41" s="223" t="str">
        <f>Interview!$B$117</f>
        <v>Secure Deployment</v>
      </c>
      <c r="C41" s="213">
        <f ca="1">Roadmap!M83</f>
        <v>0</v>
      </c>
      <c r="D41" s="213">
        <f ca="1">Roadmap!L83</f>
        <v>0</v>
      </c>
      <c r="E41" s="213">
        <f ca="1">Roadmap!L84</f>
        <v>0</v>
      </c>
      <c r="F41" s="213">
        <f ca="1">Roadmap!L85</f>
        <v>0</v>
      </c>
      <c r="G41" s="214">
        <f ca="1">(((((IF((C41="0+"),0.5,0)+IF((C41=1),1,0))+IF((C41="1+"),1.5,0))+IF((C41=2),2,0))+IF((C41="2+"),2.5,0))+IF((C41=3),3,0))+IF((C41="3+"),3.5,0)</f>
        <v>0</v>
      </c>
      <c r="H41" s="215"/>
      <c r="I41" s="205"/>
      <c r="J41" s="205"/>
      <c r="K41" s="205"/>
      <c r="L41" s="205"/>
      <c r="M41" s="205"/>
      <c r="N41" s="205"/>
      <c r="T41" s="218" t="str">
        <f>Interview!$B$102</f>
        <v>Implementation</v>
      </c>
      <c r="U41" s="223" t="str">
        <f>Interview!$B$117</f>
        <v>Secure Deployment</v>
      </c>
      <c r="V41" s="213">
        <v>0</v>
      </c>
      <c r="W41" s="213">
        <v>0</v>
      </c>
      <c r="X41" s="213">
        <f ca="1">C41</f>
        <v>0</v>
      </c>
      <c r="Y41" s="213">
        <v>0</v>
      </c>
      <c r="Z41" s="213">
        <v>0</v>
      </c>
    </row>
    <row r="42" spans="1:26" ht="25.05" customHeight="1" x14ac:dyDescent="0.5">
      <c r="A42" s="218" t="str">
        <f>Interview!$B$102</f>
        <v>Implementation</v>
      </c>
      <c r="B42" s="223" t="str">
        <f>Interview!$B$131</f>
        <v>Defect Management</v>
      </c>
      <c r="C42" s="213">
        <f ca="1">Roadmap!M92</f>
        <v>0</v>
      </c>
      <c r="D42" s="213">
        <f ca="1">Roadmap!L92</f>
        <v>0</v>
      </c>
      <c r="E42" s="213">
        <f ca="1">Roadmap!L93</f>
        <v>0</v>
      </c>
      <c r="F42" s="213">
        <f ca="1">Roadmap!L94</f>
        <v>0</v>
      </c>
      <c r="G42" s="214">
        <f ca="1">(((((IF((C42="0+"),0.5,0)+IF((C42=1),1,0))+IF((C42="1+"),1.5,0))+IF((C42=2),2,0))+IF((C42="2+"),2.5,0))+IF((C42=3),3,0))+IF((C42="3+"),3.5,0)</f>
        <v>0</v>
      </c>
      <c r="H42" s="215"/>
      <c r="I42" s="205"/>
      <c r="J42" s="205"/>
      <c r="K42" s="205"/>
      <c r="L42" s="205"/>
      <c r="M42" s="205"/>
      <c r="N42" s="205"/>
      <c r="T42" s="218" t="str">
        <f>Interview!$B$102</f>
        <v>Implementation</v>
      </c>
      <c r="U42" s="223" t="str">
        <f>Interview!$B$131</f>
        <v>Defect Management</v>
      </c>
      <c r="V42" s="213">
        <v>0</v>
      </c>
      <c r="W42" s="213">
        <v>0</v>
      </c>
      <c r="X42" s="213">
        <f ca="1">C42</f>
        <v>0</v>
      </c>
      <c r="Y42" s="213">
        <v>0</v>
      </c>
      <c r="Z42" s="213">
        <v>0</v>
      </c>
    </row>
    <row r="43" spans="1:26" ht="25.05" customHeight="1" x14ac:dyDescent="0.5">
      <c r="A43" s="219" t="str">
        <f>Interview!$B$145</f>
        <v>Verification</v>
      </c>
      <c r="B43" s="224" t="str">
        <f>Interview!$B$146</f>
        <v>Architecture Assessment</v>
      </c>
      <c r="C43" s="213">
        <f ca="1">Roadmap!M102</f>
        <v>0</v>
      </c>
      <c r="D43" s="213">
        <f ca="1">Roadmap!L102</f>
        <v>0</v>
      </c>
      <c r="E43" s="213">
        <f ca="1">Roadmap!L103</f>
        <v>0</v>
      </c>
      <c r="F43" s="213">
        <f ca="1">Roadmap!L104</f>
        <v>0</v>
      </c>
      <c r="G43" s="214">
        <f t="shared" ref="G43:G48" ca="1" si="6">(((((IF((C43="0+"),0.5,0)+IF((C43=1),1,0))+IF((C43="1+"),1.5,0))+IF((C43=2),2,0))+IF((C43="2+"),2.5,0))+IF((C43=3),3,0))+IF((C43="3+"),3.5,0)</f>
        <v>0</v>
      </c>
      <c r="H43" s="215"/>
      <c r="I43" s="205"/>
      <c r="J43" s="205"/>
      <c r="K43" s="205"/>
      <c r="L43" s="205"/>
      <c r="M43" s="205"/>
      <c r="N43" s="205"/>
      <c r="T43" s="219" t="str">
        <f>Interview!$B$145</f>
        <v>Verification</v>
      </c>
      <c r="U43" s="224" t="str">
        <f>Interview!$B$146</f>
        <v>Architecture Assessment</v>
      </c>
      <c r="V43" s="213">
        <v>0</v>
      </c>
      <c r="W43" s="213">
        <v>0</v>
      </c>
      <c r="X43" s="213">
        <v>0</v>
      </c>
      <c r="Y43" s="213">
        <f ca="1">C43</f>
        <v>0</v>
      </c>
      <c r="Z43" s="213">
        <v>0</v>
      </c>
    </row>
    <row r="44" spans="1:26" ht="25.05" customHeight="1" x14ac:dyDescent="0.5">
      <c r="A44" s="219" t="str">
        <f>Interview!$B$145</f>
        <v>Verification</v>
      </c>
      <c r="B44" s="224" t="str">
        <f>Interview!$B$160</f>
        <v>Requirements Testing</v>
      </c>
      <c r="C44" s="213">
        <f ca="1">Roadmap!M111</f>
        <v>0</v>
      </c>
      <c r="D44" s="213">
        <f ca="1">Roadmap!L111</f>
        <v>0</v>
      </c>
      <c r="E44" s="213">
        <f ca="1">Roadmap!L112</f>
        <v>0</v>
      </c>
      <c r="F44" s="213">
        <f ca="1">Roadmap!L113</f>
        <v>0</v>
      </c>
      <c r="G44" s="214">
        <f t="shared" ca="1" si="6"/>
        <v>0</v>
      </c>
      <c r="H44" s="215"/>
      <c r="I44" s="205"/>
      <c r="J44" s="205"/>
      <c r="K44" s="205"/>
      <c r="L44" s="205"/>
      <c r="M44" s="205"/>
      <c r="N44" s="205"/>
      <c r="T44" s="219" t="str">
        <f>Interview!$B$145</f>
        <v>Verification</v>
      </c>
      <c r="U44" s="224" t="str">
        <f>Interview!$B$160</f>
        <v>Requirements Testing</v>
      </c>
      <c r="V44" s="213">
        <v>0</v>
      </c>
      <c r="W44" s="213">
        <v>0</v>
      </c>
      <c r="X44" s="213">
        <v>0</v>
      </c>
      <c r="Y44" s="213">
        <f ca="1">C44</f>
        <v>0</v>
      </c>
      <c r="Z44" s="213">
        <v>0</v>
      </c>
    </row>
    <row r="45" spans="1:26" ht="25.05" customHeight="1" x14ac:dyDescent="0.5">
      <c r="A45" s="219" t="str">
        <f>Interview!$B$145</f>
        <v>Verification</v>
      </c>
      <c r="B45" s="224" t="str">
        <f>Interview!$B$174</f>
        <v>Security Testing</v>
      </c>
      <c r="C45" s="213">
        <f ca="1">Roadmap!M120</f>
        <v>0</v>
      </c>
      <c r="D45" s="213">
        <f ca="1">Roadmap!L120</f>
        <v>0</v>
      </c>
      <c r="E45" s="213">
        <f ca="1">Roadmap!L121</f>
        <v>0</v>
      </c>
      <c r="F45" s="213">
        <f ca="1">Roadmap!L122</f>
        <v>0</v>
      </c>
      <c r="G45" s="214">
        <f t="shared" ca="1" si="6"/>
        <v>0</v>
      </c>
      <c r="H45" s="215"/>
      <c r="I45" s="205"/>
      <c r="J45" s="205"/>
      <c r="K45" s="205"/>
      <c r="L45" s="205"/>
      <c r="M45" s="205"/>
      <c r="N45" s="205"/>
      <c r="T45" s="219" t="str">
        <f>Interview!$B$145</f>
        <v>Verification</v>
      </c>
      <c r="U45" s="224" t="str">
        <f>Interview!$B$174</f>
        <v>Security Testing</v>
      </c>
      <c r="V45" s="213">
        <v>0</v>
      </c>
      <c r="W45" s="213">
        <v>0</v>
      </c>
      <c r="X45" s="213">
        <v>0</v>
      </c>
      <c r="Y45" s="213">
        <f ca="1">C45</f>
        <v>0</v>
      </c>
      <c r="Z45" s="213">
        <v>0</v>
      </c>
    </row>
    <row r="46" spans="1:26" ht="25.05" customHeight="1" x14ac:dyDescent="0.5">
      <c r="A46" s="220" t="str">
        <f>Interview!$B$188</f>
        <v>Operations</v>
      </c>
      <c r="B46" s="225" t="str">
        <f>Interview!$B$189</f>
        <v>Incident Management</v>
      </c>
      <c r="C46" s="213">
        <f ca="1">Roadmap!M130</f>
        <v>0</v>
      </c>
      <c r="D46" s="213">
        <f ca="1">Roadmap!L130</f>
        <v>0</v>
      </c>
      <c r="E46" s="213">
        <f ca="1">Roadmap!L131</f>
        <v>0</v>
      </c>
      <c r="F46" s="213">
        <f ca="1">Roadmap!L132</f>
        <v>0</v>
      </c>
      <c r="G46" s="214">
        <f t="shared" ca="1" si="6"/>
        <v>0</v>
      </c>
      <c r="H46" s="215"/>
      <c r="I46" s="205"/>
      <c r="J46" s="205"/>
      <c r="K46" s="205"/>
      <c r="L46" s="205"/>
      <c r="M46" s="205"/>
      <c r="N46" s="205"/>
      <c r="T46" s="220" t="str">
        <f>Interview!$B$188</f>
        <v>Operations</v>
      </c>
      <c r="U46" s="225" t="str">
        <f>Interview!$B$189</f>
        <v>Incident Management</v>
      </c>
      <c r="V46" s="213">
        <v>0</v>
      </c>
      <c r="W46" s="213">
        <v>0</v>
      </c>
      <c r="X46" s="213">
        <v>0</v>
      </c>
      <c r="Y46" s="213">
        <v>0</v>
      </c>
      <c r="Z46" s="213">
        <f ca="1">C46</f>
        <v>0</v>
      </c>
    </row>
    <row r="47" spans="1:26" ht="25.05" customHeight="1" x14ac:dyDescent="0.5">
      <c r="A47" s="220" t="str">
        <f>Interview!$B$188</f>
        <v>Operations</v>
      </c>
      <c r="B47" s="225" t="str">
        <f>Interview!$B$203</f>
        <v>Environment Management</v>
      </c>
      <c r="C47" s="213">
        <f ca="1">Roadmap!M139</f>
        <v>0</v>
      </c>
      <c r="D47" s="213">
        <f ca="1">Roadmap!L139</f>
        <v>0</v>
      </c>
      <c r="E47" s="213">
        <f ca="1">Roadmap!L140</f>
        <v>0</v>
      </c>
      <c r="F47" s="213">
        <f ca="1">Roadmap!L141</f>
        <v>0</v>
      </c>
      <c r="G47" s="214">
        <f t="shared" ca="1" si="6"/>
        <v>0</v>
      </c>
      <c r="H47" s="215"/>
      <c r="I47" s="205"/>
      <c r="J47" s="205"/>
      <c r="K47" s="205"/>
      <c r="L47" s="205"/>
      <c r="M47" s="205"/>
      <c r="N47" s="205"/>
      <c r="T47" s="220" t="str">
        <f>Interview!$B$188</f>
        <v>Operations</v>
      </c>
      <c r="U47" s="225" t="str">
        <f>Interview!$B$203</f>
        <v>Environment Management</v>
      </c>
      <c r="V47" s="213">
        <v>0</v>
      </c>
      <c r="W47" s="213">
        <v>0</v>
      </c>
      <c r="X47" s="213">
        <v>0</v>
      </c>
      <c r="Y47" s="213">
        <v>0</v>
      </c>
      <c r="Z47" s="213">
        <f ca="1">C47</f>
        <v>0</v>
      </c>
    </row>
    <row r="48" spans="1:26" ht="25.05" customHeight="1" x14ac:dyDescent="0.5">
      <c r="A48" s="220" t="str">
        <f>Interview!$B$188</f>
        <v>Operations</v>
      </c>
      <c r="B48" s="225" t="str">
        <f>Interview!$B$217</f>
        <v>Operational Management</v>
      </c>
      <c r="C48" s="213">
        <f ca="1">Roadmap!M148</f>
        <v>0</v>
      </c>
      <c r="D48" s="213">
        <f ca="1">Roadmap!L148</f>
        <v>0</v>
      </c>
      <c r="E48" s="213">
        <f ca="1">Roadmap!L149</f>
        <v>0</v>
      </c>
      <c r="F48" s="213">
        <f ca="1">Roadmap!L150</f>
        <v>0</v>
      </c>
      <c r="G48" s="214">
        <f t="shared" ca="1" si="6"/>
        <v>0</v>
      </c>
      <c r="H48" s="215"/>
      <c r="I48" s="205"/>
      <c r="J48" s="205"/>
      <c r="K48" s="205"/>
      <c r="L48" s="205"/>
      <c r="M48" s="205"/>
      <c r="N48" s="205"/>
      <c r="T48" s="220" t="str">
        <f>Interview!$B$188</f>
        <v>Operations</v>
      </c>
      <c r="U48" s="225" t="str">
        <f>Interview!$B$217</f>
        <v>Operational Management</v>
      </c>
      <c r="V48" s="213">
        <v>0</v>
      </c>
      <c r="W48" s="213">
        <v>0</v>
      </c>
      <c r="X48" s="213">
        <v>0</v>
      </c>
      <c r="Y48" s="213">
        <v>0</v>
      </c>
      <c r="Z48" s="213">
        <f ca="1">C48</f>
        <v>0</v>
      </c>
    </row>
    <row r="49" spans="1:26" ht="12.75" customHeight="1" x14ac:dyDescent="0.5">
      <c r="A49" s="205"/>
      <c r="B49" s="205"/>
      <c r="C49" s="205"/>
      <c r="D49" s="205"/>
      <c r="E49" s="205"/>
      <c r="F49" s="205"/>
      <c r="G49" s="205"/>
      <c r="H49" s="205"/>
      <c r="I49" s="205"/>
      <c r="J49" s="205"/>
      <c r="K49" s="205"/>
      <c r="L49" s="205"/>
      <c r="M49" s="205"/>
      <c r="N49" s="205"/>
    </row>
    <row r="50" spans="1:26" ht="12.75" customHeight="1" thickBot="1" x14ac:dyDescent="0.55000000000000004">
      <c r="K50" s="205"/>
    </row>
    <row r="51" spans="1:26" ht="25.05" customHeight="1" thickBot="1" x14ac:dyDescent="0.55000000000000004">
      <c r="A51" s="563" t="s">
        <v>245</v>
      </c>
      <c r="B51" s="564"/>
      <c r="C51" s="564"/>
      <c r="D51" s="564"/>
      <c r="E51" s="564"/>
      <c r="F51" s="564"/>
      <c r="G51" s="564"/>
      <c r="H51" s="564"/>
      <c r="I51" s="564"/>
      <c r="J51" s="565"/>
      <c r="K51" s="205"/>
      <c r="L51" s="563" t="s">
        <v>245</v>
      </c>
      <c r="M51" s="564"/>
      <c r="N51" s="564"/>
      <c r="O51" s="564"/>
      <c r="P51" s="564"/>
      <c r="Q51" s="564"/>
      <c r="R51" s="565"/>
      <c r="T51" s="566" t="s">
        <v>245</v>
      </c>
      <c r="U51" s="564"/>
      <c r="V51" s="564"/>
      <c r="W51" s="564"/>
      <c r="X51" s="564"/>
      <c r="Y51" s="564"/>
      <c r="Z51" s="565"/>
    </row>
    <row r="52" spans="1:26" ht="12" customHeight="1" x14ac:dyDescent="0.5">
      <c r="A52" s="206"/>
      <c r="B52" s="206"/>
      <c r="C52" s="206"/>
      <c r="D52" s="560" t="s">
        <v>238</v>
      </c>
      <c r="E52" s="561"/>
      <c r="F52" s="562"/>
      <c r="G52" s="205"/>
      <c r="H52" s="205"/>
      <c r="I52" s="205"/>
      <c r="J52" s="205"/>
      <c r="K52" s="205"/>
      <c r="L52" s="205"/>
      <c r="M52" s="205"/>
      <c r="N52" s="205"/>
    </row>
    <row r="53" spans="1:26" ht="25.05" customHeight="1" x14ac:dyDescent="0.5">
      <c r="A53" s="209" t="s">
        <v>239</v>
      </c>
      <c r="B53" s="209" t="s">
        <v>240</v>
      </c>
      <c r="C53" s="209" t="s">
        <v>241</v>
      </c>
      <c r="D53" s="210">
        <v>1</v>
      </c>
      <c r="E53" s="210">
        <v>2</v>
      </c>
      <c r="F53" s="210">
        <v>3</v>
      </c>
      <c r="G53" s="211" t="s">
        <v>242</v>
      </c>
      <c r="H53" s="95"/>
      <c r="I53" s="209" t="s">
        <v>239</v>
      </c>
      <c r="J53" s="209" t="s">
        <v>241</v>
      </c>
      <c r="K53" s="205"/>
      <c r="L53" s="205"/>
      <c r="M53" s="205"/>
      <c r="N53" s="205"/>
      <c r="V53" s="204" t="str">
        <f>T54</f>
        <v>Governance</v>
      </c>
      <c r="W53" s="204" t="str">
        <f>T57</f>
        <v>Design</v>
      </c>
      <c r="X53" s="204" t="str">
        <f>T60</f>
        <v>Implementation</v>
      </c>
      <c r="Y53" s="204" t="str">
        <f>T63</f>
        <v>Verification</v>
      </c>
      <c r="Z53" s="204" t="str">
        <f>T66</f>
        <v>Operations</v>
      </c>
    </row>
    <row r="54" spans="1:26" ht="25.05" customHeight="1" x14ac:dyDescent="0.5">
      <c r="A54" s="212" t="str">
        <f>Interview!$B$16</f>
        <v>Governance</v>
      </c>
      <c r="B54" s="221" t="str">
        <f>Interview!$D$17</f>
        <v>Strategy &amp; Metrics</v>
      </c>
      <c r="C54" s="213">
        <f ca="1">Roadmap!Q18</f>
        <v>0</v>
      </c>
      <c r="D54" s="213">
        <f ca="1">Roadmap!P18</f>
        <v>0</v>
      </c>
      <c r="E54" s="213">
        <f ca="1">Roadmap!P19</f>
        <v>0</v>
      </c>
      <c r="F54" s="213">
        <f ca="1">Roadmap!P20</f>
        <v>0</v>
      </c>
      <c r="G54" s="214">
        <f t="shared" ref="G54:G59" ca="1" si="7">(((((IF((C54="0+"),0.5,0)+IF((C54=1),1,0))+IF((C54="1+"),1.5,0))+IF((C54=2),2,0))+IF((C54="2+"),2.5,0))+IF((C54=3),3,0))+IF((C54="3+"),3.5,0)</f>
        <v>0</v>
      </c>
      <c r="H54" s="215"/>
      <c r="I54" s="212" t="str">
        <f>A54</f>
        <v>Governance</v>
      </c>
      <c r="J54" s="213">
        <f ca="1">AVERAGE(C54:C56)</f>
        <v>0</v>
      </c>
      <c r="K54" s="205"/>
      <c r="L54" s="205"/>
      <c r="M54" s="205"/>
      <c r="N54" s="205"/>
      <c r="T54" s="212" t="str">
        <f>Interview!$B$16</f>
        <v>Governance</v>
      </c>
      <c r="U54" s="221" t="str">
        <f>Interview!$D$17</f>
        <v>Strategy &amp; Metrics</v>
      </c>
      <c r="V54" s="213">
        <f ca="1">C54</f>
        <v>0</v>
      </c>
      <c r="W54" s="213">
        <v>0</v>
      </c>
      <c r="X54" s="213">
        <v>0</v>
      </c>
      <c r="Y54" s="213">
        <v>0</v>
      </c>
      <c r="Z54" s="213">
        <v>0</v>
      </c>
    </row>
    <row r="55" spans="1:26" ht="25.05" customHeight="1" x14ac:dyDescent="0.5">
      <c r="A55" s="212" t="str">
        <f>Interview!$B$16</f>
        <v>Governance</v>
      </c>
      <c r="B55" s="221" t="str">
        <f>Interview!$B$31</f>
        <v>Policy &amp; Compliance</v>
      </c>
      <c r="C55" s="213">
        <f ca="1">Roadmap!Q27</f>
        <v>0</v>
      </c>
      <c r="D55" s="213">
        <f ca="1">Roadmap!P27</f>
        <v>0</v>
      </c>
      <c r="E55" s="213">
        <f ca="1">Roadmap!P28</f>
        <v>0</v>
      </c>
      <c r="F55" s="213">
        <f ca="1">Roadmap!P29</f>
        <v>0</v>
      </c>
      <c r="G55" s="214">
        <f t="shared" ca="1" si="7"/>
        <v>0</v>
      </c>
      <c r="H55" s="215"/>
      <c r="I55" s="216" t="str">
        <f>A57</f>
        <v>Design</v>
      </c>
      <c r="J55" s="213">
        <f ca="1">AVERAGE(C57:C59)</f>
        <v>0</v>
      </c>
      <c r="K55" s="205"/>
      <c r="L55" s="205"/>
      <c r="M55" s="205"/>
      <c r="N55" s="205"/>
      <c r="T55" s="212" t="str">
        <f>Interview!$B$16</f>
        <v>Governance</v>
      </c>
      <c r="U55" s="221" t="str">
        <f>Interview!$B$31</f>
        <v>Policy &amp; Compliance</v>
      </c>
      <c r="V55" s="213">
        <f ca="1">C55</f>
        <v>0</v>
      </c>
      <c r="W55" s="213">
        <v>0</v>
      </c>
      <c r="X55" s="213">
        <v>0</v>
      </c>
      <c r="Y55" s="213">
        <v>0</v>
      </c>
      <c r="Z55" s="213">
        <v>0</v>
      </c>
    </row>
    <row r="56" spans="1:26" ht="25.05" customHeight="1" x14ac:dyDescent="0.5">
      <c r="A56" s="212" t="str">
        <f>Interview!$B$16</f>
        <v>Governance</v>
      </c>
      <c r="B56" s="221" t="str">
        <f>Interview!$B$45</f>
        <v>Education &amp; Guidance</v>
      </c>
      <c r="C56" s="213">
        <f ca="1">Roadmap!Q36</f>
        <v>0</v>
      </c>
      <c r="D56" s="213">
        <f ca="1">Roadmap!P36</f>
        <v>0</v>
      </c>
      <c r="E56" s="213">
        <f ca="1">Roadmap!P37</f>
        <v>0</v>
      </c>
      <c r="F56" s="213">
        <f ca="1">Roadmap!P38</f>
        <v>0</v>
      </c>
      <c r="G56" s="214">
        <f t="shared" ca="1" si="7"/>
        <v>0</v>
      </c>
      <c r="H56" s="215"/>
      <c r="I56" s="218" t="str">
        <f>A60</f>
        <v>Implementation</v>
      </c>
      <c r="J56" s="213">
        <f ca="1">AVERAGE(C60:C62)</f>
        <v>0</v>
      </c>
      <c r="K56" s="205"/>
      <c r="L56" s="205"/>
      <c r="M56" s="205"/>
      <c r="N56" s="205"/>
      <c r="T56" s="212" t="str">
        <f>Interview!$B$16</f>
        <v>Governance</v>
      </c>
      <c r="U56" s="221" t="str">
        <f>Interview!$B$45</f>
        <v>Education &amp; Guidance</v>
      </c>
      <c r="V56" s="213">
        <f ca="1">C56</f>
        <v>0</v>
      </c>
      <c r="W56" s="213">
        <v>0</v>
      </c>
      <c r="X56" s="213">
        <v>0</v>
      </c>
      <c r="Y56" s="213">
        <v>0</v>
      </c>
      <c r="Z56" s="213">
        <v>0</v>
      </c>
    </row>
    <row r="57" spans="1:26" ht="25.05" customHeight="1" x14ac:dyDescent="0.5">
      <c r="A57" s="216" t="str">
        <f>Interview!$B$59</f>
        <v>Design</v>
      </c>
      <c r="B57" s="222" t="str">
        <f>Interview!$B$60</f>
        <v>Threat Assessment</v>
      </c>
      <c r="C57" s="213">
        <f ca="1">Roadmap!Q46</f>
        <v>0</v>
      </c>
      <c r="D57" s="213">
        <f ca="1">Roadmap!P46</f>
        <v>0</v>
      </c>
      <c r="E57" s="213">
        <f ca="1">Roadmap!P47</f>
        <v>0</v>
      </c>
      <c r="F57" s="213">
        <f ca="1">Roadmap!P48</f>
        <v>0</v>
      </c>
      <c r="G57" s="214">
        <f t="shared" ca="1" si="7"/>
        <v>0</v>
      </c>
      <c r="H57" s="215"/>
      <c r="I57" s="219" t="str">
        <f>A63</f>
        <v>Verification</v>
      </c>
      <c r="J57" s="213">
        <f ca="1">AVERAGE(C63:C65)</f>
        <v>0</v>
      </c>
      <c r="K57" s="205"/>
      <c r="L57" s="205"/>
      <c r="M57" s="205"/>
      <c r="N57" s="205"/>
      <c r="T57" s="216" t="str">
        <f>Interview!$B$59</f>
        <v>Design</v>
      </c>
      <c r="U57" s="222" t="str">
        <f>Interview!$B$60</f>
        <v>Threat Assessment</v>
      </c>
      <c r="V57" s="213">
        <v>0</v>
      </c>
      <c r="W57" s="213">
        <f ca="1">C57</f>
        <v>0</v>
      </c>
      <c r="X57" s="213">
        <v>0</v>
      </c>
      <c r="Y57" s="213">
        <v>0</v>
      </c>
      <c r="Z57" s="213">
        <v>0</v>
      </c>
    </row>
    <row r="58" spans="1:26" ht="25.05" customHeight="1" x14ac:dyDescent="0.5">
      <c r="A58" s="216" t="str">
        <f>Interview!$B$59</f>
        <v>Design</v>
      </c>
      <c r="B58" s="222" t="str">
        <f>Interview!$B$74</f>
        <v>Security Requirements</v>
      </c>
      <c r="C58" s="213">
        <f ca="1">Roadmap!Q55</f>
        <v>0</v>
      </c>
      <c r="D58" s="213">
        <f ca="1">Roadmap!P55</f>
        <v>0</v>
      </c>
      <c r="E58" s="213">
        <f ca="1">Roadmap!P56</f>
        <v>0</v>
      </c>
      <c r="F58" s="213">
        <f ca="1">Roadmap!P57</f>
        <v>0</v>
      </c>
      <c r="G58" s="214">
        <f t="shared" ca="1" si="7"/>
        <v>0</v>
      </c>
      <c r="H58" s="215"/>
      <c r="I58" s="220" t="str">
        <f>A66</f>
        <v>Operations</v>
      </c>
      <c r="J58" s="213">
        <f ca="1">AVERAGE(C66:C68)</f>
        <v>0</v>
      </c>
      <c r="K58" s="205"/>
      <c r="L58" s="205"/>
      <c r="M58" s="205"/>
      <c r="N58" s="205"/>
      <c r="T58" s="216" t="str">
        <f>Interview!$B$59</f>
        <v>Design</v>
      </c>
      <c r="U58" s="222" t="str">
        <f>Interview!$B$74</f>
        <v>Security Requirements</v>
      </c>
      <c r="V58" s="213">
        <v>0</v>
      </c>
      <c r="W58" s="213">
        <f ca="1">C58</f>
        <v>0</v>
      </c>
      <c r="X58" s="213">
        <v>0</v>
      </c>
      <c r="Y58" s="213">
        <v>0</v>
      </c>
      <c r="Z58" s="213">
        <v>0</v>
      </c>
    </row>
    <row r="59" spans="1:26" ht="25.05" customHeight="1" x14ac:dyDescent="0.5">
      <c r="A59" s="216" t="str">
        <f>Interview!$B$59</f>
        <v>Design</v>
      </c>
      <c r="B59" s="222" t="str">
        <f>Interview!$B$88</f>
        <v>Secure Architecture</v>
      </c>
      <c r="C59" s="213">
        <f ca="1">Roadmap!Q64</f>
        <v>0</v>
      </c>
      <c r="D59" s="213">
        <f ca="1">Roadmap!P64</f>
        <v>0</v>
      </c>
      <c r="E59" s="213">
        <f ca="1">Roadmap!P65</f>
        <v>0</v>
      </c>
      <c r="F59" s="213">
        <f ca="1">Roadmap!P66</f>
        <v>0</v>
      </c>
      <c r="G59" s="214">
        <f t="shared" ca="1" si="7"/>
        <v>0</v>
      </c>
      <c r="H59" s="215"/>
      <c r="I59" s="217" t="s">
        <v>243</v>
      </c>
      <c r="J59" s="213">
        <f ca="1">AVERAGE(J54:J58)</f>
        <v>0</v>
      </c>
      <c r="K59" s="205"/>
      <c r="L59" s="205"/>
      <c r="M59" s="205"/>
      <c r="N59" s="205"/>
      <c r="T59" s="216" t="str">
        <f>Interview!$B$59</f>
        <v>Design</v>
      </c>
      <c r="U59" s="222" t="str">
        <f>Interview!$B$88</f>
        <v>Secure Architecture</v>
      </c>
      <c r="V59" s="213">
        <v>0</v>
      </c>
      <c r="W59" s="213">
        <f ca="1">C59</f>
        <v>0</v>
      </c>
      <c r="X59" s="213">
        <v>0</v>
      </c>
      <c r="Y59" s="213">
        <v>0</v>
      </c>
      <c r="Z59" s="213">
        <v>0</v>
      </c>
    </row>
    <row r="60" spans="1:26" ht="25.05" customHeight="1" x14ac:dyDescent="0.5">
      <c r="A60" s="218" t="str">
        <f>Interview!$B$102</f>
        <v>Implementation</v>
      </c>
      <c r="B60" s="223" t="str">
        <f>Interview!$B$103</f>
        <v>Secure Build</v>
      </c>
      <c r="C60" s="213">
        <f ca="1">Roadmap!Q74</f>
        <v>0</v>
      </c>
      <c r="D60" s="213">
        <f ca="1">Roadmap!P74</f>
        <v>0</v>
      </c>
      <c r="E60" s="213">
        <f ca="1">Roadmap!P75</f>
        <v>0</v>
      </c>
      <c r="F60" s="213">
        <f ca="1">Roadmap!P76</f>
        <v>0</v>
      </c>
      <c r="G60" s="214">
        <f ca="1">(((((IF((C60="0+"),0.5,0)+IF((C60=1),1,0))+IF((C60="1+"),1.5,0))+IF((C60=2),2,0))+IF((C60="2+"),2.5,0))+IF((C60=3),3,0))+IF((C60="3+"),3.5,0)</f>
        <v>0</v>
      </c>
      <c r="H60" s="215"/>
      <c r="I60" s="205"/>
      <c r="J60" s="205"/>
      <c r="K60" s="205"/>
      <c r="L60" s="205"/>
      <c r="M60" s="205"/>
      <c r="N60" s="205"/>
      <c r="T60" s="218" t="str">
        <f>Interview!$B$102</f>
        <v>Implementation</v>
      </c>
      <c r="U60" s="223" t="str">
        <f>Interview!$B$103</f>
        <v>Secure Build</v>
      </c>
      <c r="V60" s="213">
        <v>0</v>
      </c>
      <c r="W60" s="213">
        <v>0</v>
      </c>
      <c r="X60" s="213">
        <f ca="1">C60</f>
        <v>0</v>
      </c>
      <c r="Y60" s="213">
        <v>0</v>
      </c>
      <c r="Z60" s="213">
        <v>0</v>
      </c>
    </row>
    <row r="61" spans="1:26" ht="25.05" customHeight="1" x14ac:dyDescent="0.5">
      <c r="A61" s="218" t="str">
        <f>Interview!$B$102</f>
        <v>Implementation</v>
      </c>
      <c r="B61" s="223" t="str">
        <f>Interview!$B$117</f>
        <v>Secure Deployment</v>
      </c>
      <c r="C61" s="213">
        <f ca="1">Roadmap!Q83</f>
        <v>0</v>
      </c>
      <c r="D61" s="213">
        <f ca="1">Roadmap!P83</f>
        <v>0</v>
      </c>
      <c r="E61" s="213">
        <f ca="1">Roadmap!P84</f>
        <v>0</v>
      </c>
      <c r="F61" s="213">
        <f ca="1">Roadmap!P85</f>
        <v>0</v>
      </c>
      <c r="G61" s="214">
        <f ca="1">(((((IF((C61="0+"),0.5,0)+IF((C61=1),1,0))+IF((C61="1+"),1.5,0))+IF((C61=2),2,0))+IF((C61="2+"),2.5,0))+IF((C61=3),3,0))+IF((C61="3+"),3.5,0)</f>
        <v>0</v>
      </c>
      <c r="H61" s="215"/>
      <c r="I61" s="205"/>
      <c r="J61" s="205"/>
      <c r="K61" s="205"/>
      <c r="L61" s="205"/>
      <c r="M61" s="205"/>
      <c r="N61" s="205"/>
      <c r="T61" s="218" t="str">
        <f>Interview!$B$102</f>
        <v>Implementation</v>
      </c>
      <c r="U61" s="223" t="str">
        <f>Interview!$B$117</f>
        <v>Secure Deployment</v>
      </c>
      <c r="V61" s="213">
        <v>0</v>
      </c>
      <c r="W61" s="213">
        <v>0</v>
      </c>
      <c r="X61" s="213">
        <f ca="1">C61</f>
        <v>0</v>
      </c>
      <c r="Y61" s="213">
        <v>0</v>
      </c>
      <c r="Z61" s="213">
        <v>0</v>
      </c>
    </row>
    <row r="62" spans="1:26" ht="25.05" customHeight="1" x14ac:dyDescent="0.5">
      <c r="A62" s="218" t="str">
        <f>Interview!$B$102</f>
        <v>Implementation</v>
      </c>
      <c r="B62" s="223" t="str">
        <f>Interview!$B$131</f>
        <v>Defect Management</v>
      </c>
      <c r="C62" s="213">
        <f ca="1">Roadmap!Q92</f>
        <v>0</v>
      </c>
      <c r="D62" s="213">
        <f ca="1">Roadmap!P92</f>
        <v>0</v>
      </c>
      <c r="E62" s="213">
        <f ca="1">Roadmap!P93</f>
        <v>0</v>
      </c>
      <c r="F62" s="213">
        <f ca="1">Roadmap!P94</f>
        <v>0</v>
      </c>
      <c r="G62" s="214">
        <f ca="1">(((((IF((C62="0+"),0.5,0)+IF((C62=1),1,0))+IF((C62="1+"),1.5,0))+IF((C62=2),2,0))+IF((C62="2+"),2.5,0))+IF((C62=3),3,0))+IF((C62="3+"),3.5,0)</f>
        <v>0</v>
      </c>
      <c r="H62" s="215"/>
      <c r="I62" s="205"/>
      <c r="J62" s="205"/>
      <c r="K62" s="205"/>
      <c r="L62" s="205"/>
      <c r="M62" s="205"/>
      <c r="N62" s="205"/>
      <c r="T62" s="218" t="str">
        <f>Interview!$B$102</f>
        <v>Implementation</v>
      </c>
      <c r="U62" s="223" t="str">
        <f>Interview!$B$131</f>
        <v>Defect Management</v>
      </c>
      <c r="V62" s="213">
        <v>0</v>
      </c>
      <c r="W62" s="213">
        <v>0</v>
      </c>
      <c r="X62" s="213">
        <f ca="1">C62</f>
        <v>0</v>
      </c>
      <c r="Y62" s="213">
        <v>0</v>
      </c>
      <c r="Z62" s="213">
        <v>0</v>
      </c>
    </row>
    <row r="63" spans="1:26" ht="25.05" customHeight="1" x14ac:dyDescent="0.5">
      <c r="A63" s="219" t="str">
        <f>Interview!$B$145</f>
        <v>Verification</v>
      </c>
      <c r="B63" s="224" t="str">
        <f>Interview!$B$146</f>
        <v>Architecture Assessment</v>
      </c>
      <c r="C63" s="213">
        <f ca="1">Roadmap!Q102</f>
        <v>0</v>
      </c>
      <c r="D63" s="213">
        <f ca="1">Roadmap!P102</f>
        <v>0</v>
      </c>
      <c r="E63" s="213">
        <f ca="1">Roadmap!P103</f>
        <v>0</v>
      </c>
      <c r="F63" s="213">
        <f ca="1">Roadmap!P104</f>
        <v>0</v>
      </c>
      <c r="G63" s="214">
        <f t="shared" ref="G63:G68" ca="1" si="8">(((((IF((C63="0+"),0.5,0)+IF((C63=1),1,0))+IF((C63="1+"),1.5,0))+IF((C63=2),2,0))+IF((C63="2+"),2.5,0))+IF((C63=3),3,0))+IF((C63="3+"),3.5,0)</f>
        <v>0</v>
      </c>
      <c r="H63" s="215"/>
      <c r="I63" s="205"/>
      <c r="J63" s="205"/>
      <c r="K63" s="205"/>
      <c r="L63" s="205"/>
      <c r="M63" s="205"/>
      <c r="N63" s="205"/>
      <c r="T63" s="219" t="str">
        <f>Interview!$B$145</f>
        <v>Verification</v>
      </c>
      <c r="U63" s="224" t="str">
        <f>Interview!$B$146</f>
        <v>Architecture Assessment</v>
      </c>
      <c r="V63" s="213">
        <v>0</v>
      </c>
      <c r="W63" s="213">
        <v>0</v>
      </c>
      <c r="X63" s="213">
        <v>0</v>
      </c>
      <c r="Y63" s="213">
        <f ca="1">C63</f>
        <v>0</v>
      </c>
      <c r="Z63" s="213">
        <v>0</v>
      </c>
    </row>
    <row r="64" spans="1:26" ht="25.05" customHeight="1" x14ac:dyDescent="0.5">
      <c r="A64" s="219" t="str">
        <f>Interview!$B$145</f>
        <v>Verification</v>
      </c>
      <c r="B64" s="224" t="str">
        <f>Interview!$B$160</f>
        <v>Requirements Testing</v>
      </c>
      <c r="C64" s="213">
        <f ca="1">Roadmap!Q111</f>
        <v>0</v>
      </c>
      <c r="D64" s="213">
        <f ca="1">Roadmap!P111</f>
        <v>0</v>
      </c>
      <c r="E64" s="213">
        <f ca="1">Roadmap!P112</f>
        <v>0</v>
      </c>
      <c r="F64" s="213">
        <f ca="1">Roadmap!P113</f>
        <v>0</v>
      </c>
      <c r="G64" s="214">
        <f t="shared" ca="1" si="8"/>
        <v>0</v>
      </c>
      <c r="H64" s="215"/>
      <c r="I64" s="205"/>
      <c r="J64" s="205"/>
      <c r="K64" s="205"/>
      <c r="L64" s="205"/>
      <c r="M64" s="205"/>
      <c r="N64" s="205"/>
      <c r="T64" s="219" t="str">
        <f>Interview!$B$145</f>
        <v>Verification</v>
      </c>
      <c r="U64" s="224" t="str">
        <f>Interview!$B$160</f>
        <v>Requirements Testing</v>
      </c>
      <c r="V64" s="213">
        <v>0</v>
      </c>
      <c r="W64" s="213">
        <v>0</v>
      </c>
      <c r="X64" s="213">
        <v>0</v>
      </c>
      <c r="Y64" s="213">
        <f ca="1">C64</f>
        <v>0</v>
      </c>
      <c r="Z64" s="213">
        <v>0</v>
      </c>
    </row>
    <row r="65" spans="1:26" ht="25.05" customHeight="1" x14ac:dyDescent="0.5">
      <c r="A65" s="219" t="str">
        <f>Interview!$B$145</f>
        <v>Verification</v>
      </c>
      <c r="B65" s="224" t="str">
        <f>Interview!$B$174</f>
        <v>Security Testing</v>
      </c>
      <c r="C65" s="213">
        <f ca="1">Roadmap!Q120</f>
        <v>0</v>
      </c>
      <c r="D65" s="213">
        <f ca="1">Roadmap!P120</f>
        <v>0</v>
      </c>
      <c r="E65" s="213">
        <f ca="1">Roadmap!P121</f>
        <v>0</v>
      </c>
      <c r="F65" s="213">
        <f ca="1">Roadmap!P122</f>
        <v>0</v>
      </c>
      <c r="G65" s="214">
        <f t="shared" ca="1" si="8"/>
        <v>0</v>
      </c>
      <c r="H65" s="215"/>
      <c r="I65" s="205"/>
      <c r="J65" s="205"/>
      <c r="K65" s="205"/>
      <c r="L65" s="205"/>
      <c r="M65" s="205"/>
      <c r="N65" s="205"/>
      <c r="T65" s="219" t="str">
        <f>Interview!$B$145</f>
        <v>Verification</v>
      </c>
      <c r="U65" s="224" t="str">
        <f>Interview!$B$174</f>
        <v>Security Testing</v>
      </c>
      <c r="V65" s="213">
        <v>0</v>
      </c>
      <c r="W65" s="213">
        <v>0</v>
      </c>
      <c r="X65" s="213">
        <v>0</v>
      </c>
      <c r="Y65" s="213">
        <f ca="1">C65</f>
        <v>0</v>
      </c>
      <c r="Z65" s="213">
        <v>0</v>
      </c>
    </row>
    <row r="66" spans="1:26" ht="25.05" customHeight="1" x14ac:dyDescent="0.5">
      <c r="A66" s="220" t="str">
        <f>Interview!$B$188</f>
        <v>Operations</v>
      </c>
      <c r="B66" s="225" t="str">
        <f>Interview!$B$189</f>
        <v>Incident Management</v>
      </c>
      <c r="C66" s="213">
        <f ca="1">Roadmap!Q130</f>
        <v>0</v>
      </c>
      <c r="D66" s="213">
        <f ca="1">Roadmap!P130</f>
        <v>0</v>
      </c>
      <c r="E66" s="213">
        <f ca="1">Roadmap!P131</f>
        <v>0</v>
      </c>
      <c r="F66" s="213">
        <f ca="1">Roadmap!P132</f>
        <v>0</v>
      </c>
      <c r="G66" s="214">
        <f t="shared" ca="1" si="8"/>
        <v>0</v>
      </c>
      <c r="H66" s="215"/>
      <c r="I66" s="205"/>
      <c r="J66" s="205"/>
      <c r="K66" s="205"/>
      <c r="L66" s="205"/>
      <c r="M66" s="205"/>
      <c r="N66" s="205"/>
      <c r="T66" s="220" t="str">
        <f>Interview!$B$188</f>
        <v>Operations</v>
      </c>
      <c r="U66" s="225" t="str">
        <f>Interview!$B$189</f>
        <v>Incident Management</v>
      </c>
      <c r="V66" s="213">
        <v>0</v>
      </c>
      <c r="W66" s="213">
        <v>0</v>
      </c>
      <c r="X66" s="213">
        <v>0</v>
      </c>
      <c r="Y66" s="213">
        <v>0</v>
      </c>
      <c r="Z66" s="213">
        <f ca="1">C66</f>
        <v>0</v>
      </c>
    </row>
    <row r="67" spans="1:26" ht="25.05" customHeight="1" x14ac:dyDescent="0.5">
      <c r="A67" s="220" t="str">
        <f>Interview!$B$188</f>
        <v>Operations</v>
      </c>
      <c r="B67" s="225" t="str">
        <f>Interview!$B$203</f>
        <v>Environment Management</v>
      </c>
      <c r="C67" s="213">
        <f ca="1">Roadmap!Q139</f>
        <v>0</v>
      </c>
      <c r="D67" s="213">
        <f ca="1">Roadmap!P139</f>
        <v>0</v>
      </c>
      <c r="E67" s="213">
        <f ca="1">Roadmap!P140</f>
        <v>0</v>
      </c>
      <c r="F67" s="213">
        <f ca="1">Roadmap!P141</f>
        <v>0</v>
      </c>
      <c r="G67" s="214">
        <f t="shared" ca="1" si="8"/>
        <v>0</v>
      </c>
      <c r="H67" s="215"/>
      <c r="I67" s="205"/>
      <c r="J67" s="205"/>
      <c r="K67" s="205"/>
      <c r="L67" s="205"/>
      <c r="M67" s="205"/>
      <c r="N67" s="205"/>
      <c r="T67" s="220" t="str">
        <f>Interview!$B$188</f>
        <v>Operations</v>
      </c>
      <c r="U67" s="225" t="str">
        <f>Interview!$B$203</f>
        <v>Environment Management</v>
      </c>
      <c r="V67" s="213">
        <v>0</v>
      </c>
      <c r="W67" s="213">
        <v>0</v>
      </c>
      <c r="X67" s="213">
        <v>0</v>
      </c>
      <c r="Y67" s="213">
        <v>0</v>
      </c>
      <c r="Z67" s="213">
        <f ca="1">C67</f>
        <v>0</v>
      </c>
    </row>
    <row r="68" spans="1:26" ht="25.05" customHeight="1" x14ac:dyDescent="0.5">
      <c r="A68" s="220" t="str">
        <f>Interview!$B$188</f>
        <v>Operations</v>
      </c>
      <c r="B68" s="225" t="str">
        <f>Interview!$B$217</f>
        <v>Operational Management</v>
      </c>
      <c r="C68" s="213">
        <f ca="1">Roadmap!Q148</f>
        <v>0</v>
      </c>
      <c r="D68" s="213">
        <f ca="1">Roadmap!P148</f>
        <v>0</v>
      </c>
      <c r="E68" s="213">
        <f ca="1">Roadmap!P149</f>
        <v>0</v>
      </c>
      <c r="F68" s="213">
        <f ca="1">Roadmap!P150</f>
        <v>0</v>
      </c>
      <c r="G68" s="214">
        <f t="shared" ca="1" si="8"/>
        <v>0</v>
      </c>
      <c r="H68" s="215"/>
      <c r="I68" s="205"/>
      <c r="J68" s="205"/>
      <c r="K68" s="205"/>
      <c r="L68" s="205"/>
      <c r="M68" s="205"/>
      <c r="N68" s="205"/>
      <c r="T68" s="220" t="str">
        <f>Interview!$B$188</f>
        <v>Operations</v>
      </c>
      <c r="U68" s="225" t="str">
        <f>Interview!$B$217</f>
        <v>Operational Management</v>
      </c>
      <c r="V68" s="213">
        <v>0</v>
      </c>
      <c r="W68" s="213">
        <v>0</v>
      </c>
      <c r="X68" s="213">
        <v>0</v>
      </c>
      <c r="Y68" s="213">
        <v>0</v>
      </c>
      <c r="Z68" s="213">
        <f ca="1">C68</f>
        <v>0</v>
      </c>
    </row>
    <row r="69" spans="1:26" ht="12.75" customHeight="1" thickBot="1" x14ac:dyDescent="0.55000000000000004">
      <c r="K69" s="205"/>
    </row>
    <row r="70" spans="1:26" ht="25.05" customHeight="1" thickBot="1" x14ac:dyDescent="0.55000000000000004">
      <c r="A70" s="563" t="s">
        <v>246</v>
      </c>
      <c r="B70" s="564"/>
      <c r="C70" s="564"/>
      <c r="D70" s="564"/>
      <c r="E70" s="564"/>
      <c r="F70" s="564"/>
      <c r="G70" s="564"/>
      <c r="H70" s="564"/>
      <c r="I70" s="564"/>
      <c r="J70" s="565"/>
      <c r="K70" s="205"/>
      <c r="L70" s="563" t="s">
        <v>246</v>
      </c>
      <c r="M70" s="564"/>
      <c r="N70" s="564"/>
      <c r="O70" s="564"/>
      <c r="P70" s="564"/>
      <c r="Q70" s="564"/>
      <c r="R70" s="565"/>
      <c r="T70" s="566" t="s">
        <v>246</v>
      </c>
      <c r="U70" s="564"/>
      <c r="V70" s="564"/>
      <c r="W70" s="564"/>
      <c r="X70" s="564"/>
      <c r="Y70" s="564"/>
      <c r="Z70" s="565"/>
    </row>
    <row r="71" spans="1:26" ht="12" customHeight="1" x14ac:dyDescent="0.5">
      <c r="A71" s="206"/>
      <c r="B71" s="206"/>
      <c r="C71" s="206"/>
      <c r="D71" s="560" t="s">
        <v>238</v>
      </c>
      <c r="E71" s="561"/>
      <c r="F71" s="562"/>
      <c r="G71" s="205"/>
      <c r="H71" s="205"/>
      <c r="I71" s="205"/>
      <c r="J71" s="205"/>
      <c r="K71" s="205"/>
      <c r="L71" s="205"/>
      <c r="M71" s="205"/>
      <c r="N71" s="205"/>
    </row>
    <row r="72" spans="1:26" ht="25.05" customHeight="1" x14ac:dyDescent="0.5">
      <c r="A72" s="209" t="s">
        <v>239</v>
      </c>
      <c r="B72" s="209" t="s">
        <v>240</v>
      </c>
      <c r="C72" s="209" t="s">
        <v>241</v>
      </c>
      <c r="D72" s="210">
        <v>1</v>
      </c>
      <c r="E72" s="210">
        <v>2</v>
      </c>
      <c r="F72" s="210">
        <v>3</v>
      </c>
      <c r="G72" s="211" t="s">
        <v>242</v>
      </c>
      <c r="H72" s="95"/>
      <c r="I72" s="209" t="s">
        <v>239</v>
      </c>
      <c r="J72" s="209" t="s">
        <v>241</v>
      </c>
      <c r="K72" s="205"/>
      <c r="L72" s="205"/>
      <c r="M72" s="205"/>
      <c r="N72" s="205"/>
      <c r="V72" s="204" t="str">
        <f>T73</f>
        <v>Governance</v>
      </c>
      <c r="W72" s="204" t="str">
        <f>T76</f>
        <v>Design</v>
      </c>
      <c r="X72" s="204" t="str">
        <f>T79</f>
        <v>Implementation</v>
      </c>
      <c r="Y72" s="204" t="str">
        <f>T82</f>
        <v>Verification</v>
      </c>
      <c r="Z72" s="204" t="str">
        <f>T85</f>
        <v>Operations</v>
      </c>
    </row>
    <row r="73" spans="1:26" ht="25.05" customHeight="1" x14ac:dyDescent="0.5">
      <c r="A73" s="212" t="str">
        <f>Interview!$B$16</f>
        <v>Governance</v>
      </c>
      <c r="B73" s="221" t="str">
        <f>Interview!$D$17</f>
        <v>Strategy &amp; Metrics</v>
      </c>
      <c r="C73" s="213">
        <f ca="1">Roadmap!U18</f>
        <v>0</v>
      </c>
      <c r="D73" s="213">
        <f ca="1">Roadmap!T18</f>
        <v>0</v>
      </c>
      <c r="E73" s="213">
        <f ca="1">Roadmap!T19</f>
        <v>0</v>
      </c>
      <c r="F73" s="213">
        <f ca="1">Roadmap!T20</f>
        <v>0</v>
      </c>
      <c r="G73" s="214">
        <f t="shared" ref="G73:G78" ca="1" si="9">(((((IF((C73="0+"),0.5,0)+IF((C73=1),1,0))+IF((C73="1+"),1.5,0))+IF((C73=2),2,0))+IF((C73="2+"),2.5,0))+IF((C73=3),3,0))+IF((C73="3+"),3.5,0)</f>
        <v>0</v>
      </c>
      <c r="H73" s="215"/>
      <c r="I73" s="212" t="str">
        <f>A73</f>
        <v>Governance</v>
      </c>
      <c r="J73" s="213">
        <f ca="1">AVERAGE(C73:C75)</f>
        <v>0</v>
      </c>
      <c r="K73" s="205"/>
      <c r="L73" s="205"/>
      <c r="M73" s="205"/>
      <c r="N73" s="205"/>
      <c r="T73" s="212" t="str">
        <f>Interview!$B$16</f>
        <v>Governance</v>
      </c>
      <c r="U73" s="221" t="str">
        <f>Interview!$D$17</f>
        <v>Strategy &amp; Metrics</v>
      </c>
      <c r="V73" s="213">
        <f ca="1">C73</f>
        <v>0</v>
      </c>
      <c r="W73" s="213">
        <v>0</v>
      </c>
      <c r="X73" s="213">
        <v>0</v>
      </c>
      <c r="Y73" s="213">
        <v>0</v>
      </c>
      <c r="Z73" s="213">
        <v>0</v>
      </c>
    </row>
    <row r="74" spans="1:26" ht="25.05" customHeight="1" x14ac:dyDescent="0.5">
      <c r="A74" s="212" t="str">
        <f>Interview!$B$16</f>
        <v>Governance</v>
      </c>
      <c r="B74" s="221" t="str">
        <f>Interview!$B$31</f>
        <v>Policy &amp; Compliance</v>
      </c>
      <c r="C74" s="213">
        <f ca="1">Roadmap!U27</f>
        <v>0</v>
      </c>
      <c r="D74" s="213">
        <f ca="1">Roadmap!T27</f>
        <v>0</v>
      </c>
      <c r="E74" s="213">
        <f ca="1">Roadmap!T28</f>
        <v>0</v>
      </c>
      <c r="F74" s="213">
        <f ca="1">Roadmap!T29</f>
        <v>0</v>
      </c>
      <c r="G74" s="214">
        <f t="shared" ca="1" si="9"/>
        <v>0</v>
      </c>
      <c r="H74" s="215"/>
      <c r="I74" s="216" t="str">
        <f>A76</f>
        <v>Design</v>
      </c>
      <c r="J74" s="213">
        <f ca="1">AVERAGE(C76:C78)</f>
        <v>0</v>
      </c>
      <c r="K74" s="205"/>
      <c r="L74" s="205"/>
      <c r="M74" s="205"/>
      <c r="N74" s="205"/>
      <c r="T74" s="212" t="str">
        <f>Interview!$B$16</f>
        <v>Governance</v>
      </c>
      <c r="U74" s="221" t="str">
        <f>Interview!$B$31</f>
        <v>Policy &amp; Compliance</v>
      </c>
      <c r="V74" s="213">
        <f ca="1">C74</f>
        <v>0</v>
      </c>
      <c r="W74" s="213">
        <v>0</v>
      </c>
      <c r="X74" s="213">
        <v>0</v>
      </c>
      <c r="Y74" s="213">
        <v>0</v>
      </c>
      <c r="Z74" s="213">
        <v>0</v>
      </c>
    </row>
    <row r="75" spans="1:26" ht="25.05" customHeight="1" x14ac:dyDescent="0.5">
      <c r="A75" s="212" t="str">
        <f>Interview!$B$16</f>
        <v>Governance</v>
      </c>
      <c r="B75" s="221" t="str">
        <f>Interview!$B$45</f>
        <v>Education &amp; Guidance</v>
      </c>
      <c r="C75" s="213">
        <f ca="1">Roadmap!U36</f>
        <v>0</v>
      </c>
      <c r="D75" s="213">
        <f ca="1">Roadmap!T36</f>
        <v>0</v>
      </c>
      <c r="E75" s="213">
        <f ca="1">Roadmap!T37</f>
        <v>0</v>
      </c>
      <c r="F75" s="213">
        <f ca="1">Roadmap!T38</f>
        <v>0</v>
      </c>
      <c r="G75" s="214">
        <f t="shared" ca="1" si="9"/>
        <v>0</v>
      </c>
      <c r="H75" s="215"/>
      <c r="I75" s="218" t="str">
        <f>A79</f>
        <v>Implementation</v>
      </c>
      <c r="J75" s="213">
        <f ca="1">AVERAGE(C79:C81)</f>
        <v>0</v>
      </c>
      <c r="K75" s="205"/>
      <c r="L75" s="205"/>
      <c r="M75" s="205"/>
      <c r="N75" s="205"/>
      <c r="T75" s="212" t="str">
        <f>Interview!$B$16</f>
        <v>Governance</v>
      </c>
      <c r="U75" s="221" t="str">
        <f>Interview!$B$45</f>
        <v>Education &amp; Guidance</v>
      </c>
      <c r="V75" s="213">
        <f ca="1">C75</f>
        <v>0</v>
      </c>
      <c r="W75" s="213">
        <v>0</v>
      </c>
      <c r="X75" s="213">
        <v>0</v>
      </c>
      <c r="Y75" s="213">
        <v>0</v>
      </c>
      <c r="Z75" s="213">
        <v>0</v>
      </c>
    </row>
    <row r="76" spans="1:26" ht="25.05" customHeight="1" x14ac:dyDescent="0.5">
      <c r="A76" s="216" t="str">
        <f>Interview!$B$59</f>
        <v>Design</v>
      </c>
      <c r="B76" s="222" t="str">
        <f>Interview!$B$60</f>
        <v>Threat Assessment</v>
      </c>
      <c r="C76" s="213">
        <f ca="1">Roadmap!U46</f>
        <v>0</v>
      </c>
      <c r="D76" s="213">
        <f ca="1">Roadmap!T46</f>
        <v>0</v>
      </c>
      <c r="E76" s="213">
        <f ca="1">Roadmap!T47</f>
        <v>0</v>
      </c>
      <c r="F76" s="213">
        <f ca="1">Roadmap!T48</f>
        <v>0</v>
      </c>
      <c r="G76" s="214">
        <f t="shared" ca="1" si="9"/>
        <v>0</v>
      </c>
      <c r="H76" s="215"/>
      <c r="I76" s="219" t="str">
        <f>A82</f>
        <v>Verification</v>
      </c>
      <c r="J76" s="213">
        <f ca="1">AVERAGE(C82:C84)</f>
        <v>0</v>
      </c>
      <c r="K76" s="205"/>
      <c r="L76" s="205"/>
      <c r="M76" s="205"/>
      <c r="N76" s="205"/>
      <c r="T76" s="216" t="str">
        <f>Interview!$B$59</f>
        <v>Design</v>
      </c>
      <c r="U76" s="222" t="str">
        <f>Interview!$B$60</f>
        <v>Threat Assessment</v>
      </c>
      <c r="V76" s="213">
        <v>0</v>
      </c>
      <c r="W76" s="213">
        <f ca="1">C76</f>
        <v>0</v>
      </c>
      <c r="X76" s="213">
        <v>0</v>
      </c>
      <c r="Y76" s="213">
        <v>0</v>
      </c>
      <c r="Z76" s="213">
        <v>0</v>
      </c>
    </row>
    <row r="77" spans="1:26" ht="25.05" customHeight="1" x14ac:dyDescent="0.5">
      <c r="A77" s="216" t="str">
        <f>Interview!$B$59</f>
        <v>Design</v>
      </c>
      <c r="B77" s="222" t="str">
        <f>Interview!$B$74</f>
        <v>Security Requirements</v>
      </c>
      <c r="C77" s="213">
        <f ca="1">Roadmap!U55</f>
        <v>0</v>
      </c>
      <c r="D77" s="213">
        <f ca="1">Roadmap!T55</f>
        <v>0</v>
      </c>
      <c r="E77" s="213">
        <f ca="1">Roadmap!T56</f>
        <v>0</v>
      </c>
      <c r="F77" s="213">
        <f ca="1">Roadmap!T57</f>
        <v>0</v>
      </c>
      <c r="G77" s="214">
        <f t="shared" ca="1" si="9"/>
        <v>0</v>
      </c>
      <c r="H77" s="215"/>
      <c r="I77" s="220" t="str">
        <f>A85</f>
        <v>Operations</v>
      </c>
      <c r="J77" s="213">
        <f ca="1">AVERAGE(C85:C87)</f>
        <v>0</v>
      </c>
      <c r="K77" s="205"/>
      <c r="L77" s="455"/>
      <c r="M77" s="205"/>
      <c r="N77" s="205"/>
      <c r="T77" s="216" t="str">
        <f>Interview!$B$59</f>
        <v>Design</v>
      </c>
      <c r="U77" s="222" t="str">
        <f>Interview!$B$74</f>
        <v>Security Requirements</v>
      </c>
      <c r="V77" s="213">
        <v>0</v>
      </c>
      <c r="W77" s="213">
        <f ca="1">C77</f>
        <v>0</v>
      </c>
      <c r="X77" s="213">
        <v>0</v>
      </c>
      <c r="Y77" s="213">
        <v>0</v>
      </c>
      <c r="Z77" s="213">
        <v>0</v>
      </c>
    </row>
    <row r="78" spans="1:26" ht="25.05" customHeight="1" x14ac:dyDescent="0.5">
      <c r="A78" s="216" t="str">
        <f>Interview!$B$59</f>
        <v>Design</v>
      </c>
      <c r="B78" s="222" t="str">
        <f>Interview!$B$88</f>
        <v>Secure Architecture</v>
      </c>
      <c r="C78" s="213">
        <f ca="1">Roadmap!U64</f>
        <v>0</v>
      </c>
      <c r="D78" s="213">
        <f ca="1">Roadmap!T64</f>
        <v>0</v>
      </c>
      <c r="E78" s="213">
        <f ca="1">Roadmap!T65</f>
        <v>0</v>
      </c>
      <c r="F78" s="213">
        <f ca="1">Roadmap!T66</f>
        <v>0</v>
      </c>
      <c r="G78" s="214">
        <f t="shared" ca="1" si="9"/>
        <v>0</v>
      </c>
      <c r="H78" s="215"/>
      <c r="I78" s="217" t="s">
        <v>243</v>
      </c>
      <c r="J78" s="213">
        <f ca="1">AVERAGE(J73:J77)</f>
        <v>0</v>
      </c>
      <c r="K78" s="205"/>
      <c r="L78" s="455"/>
      <c r="M78" s="205"/>
      <c r="N78" s="205"/>
      <c r="T78" s="216" t="str">
        <f>Interview!$B$59</f>
        <v>Design</v>
      </c>
      <c r="U78" s="222" t="str">
        <f>Interview!$B$88</f>
        <v>Secure Architecture</v>
      </c>
      <c r="V78" s="213">
        <v>0</v>
      </c>
      <c r="W78" s="213">
        <f ca="1">C78</f>
        <v>0</v>
      </c>
      <c r="X78" s="213">
        <v>0</v>
      </c>
      <c r="Y78" s="213">
        <v>0</v>
      </c>
      <c r="Z78" s="213">
        <v>0</v>
      </c>
    </row>
    <row r="79" spans="1:26" ht="25.05" customHeight="1" x14ac:dyDescent="0.5">
      <c r="A79" s="218" t="str">
        <f>Interview!$B$102</f>
        <v>Implementation</v>
      </c>
      <c r="B79" s="223" t="str">
        <f>Interview!$B$103</f>
        <v>Secure Build</v>
      </c>
      <c r="C79" s="213">
        <f ca="1">Roadmap!U74</f>
        <v>0</v>
      </c>
      <c r="D79" s="213">
        <f ca="1">Roadmap!T74</f>
        <v>0</v>
      </c>
      <c r="E79" s="213">
        <f ca="1">Roadmap!T75</f>
        <v>0</v>
      </c>
      <c r="F79" s="213">
        <f ca="1">Roadmap!T76</f>
        <v>0</v>
      </c>
      <c r="G79" s="214">
        <f ca="1">(((((IF((C79="0+"),0.5,0)+IF((C79=1),1,0))+IF((C79="1+"),1.5,0))+IF((C79=2),2,0))+IF((C79="2+"),2.5,0))+IF((C79=3),3,0))+IF((C79="3+"),3.5,0)</f>
        <v>0</v>
      </c>
      <c r="H79" s="215"/>
      <c r="I79" s="205"/>
      <c r="J79" s="205"/>
      <c r="K79" s="205"/>
      <c r="L79" s="455"/>
      <c r="M79" s="205"/>
      <c r="N79" s="205"/>
      <c r="T79" s="218" t="str">
        <f>Interview!$B$102</f>
        <v>Implementation</v>
      </c>
      <c r="U79" s="223" t="str">
        <f>Interview!$B$103</f>
        <v>Secure Build</v>
      </c>
      <c r="V79" s="213">
        <v>0</v>
      </c>
      <c r="W79" s="213">
        <v>0</v>
      </c>
      <c r="X79" s="213">
        <f ca="1">C79</f>
        <v>0</v>
      </c>
      <c r="Y79" s="213">
        <v>0</v>
      </c>
      <c r="Z79" s="213">
        <v>0</v>
      </c>
    </row>
    <row r="80" spans="1:26" ht="25.05" customHeight="1" x14ac:dyDescent="0.5">
      <c r="A80" s="218" t="str">
        <f>Interview!$B$102</f>
        <v>Implementation</v>
      </c>
      <c r="B80" s="223" t="str">
        <f>Interview!$B$117</f>
        <v>Secure Deployment</v>
      </c>
      <c r="C80" s="213">
        <f ca="1">Roadmap!U83</f>
        <v>0</v>
      </c>
      <c r="D80" s="213">
        <f ca="1">Roadmap!T83</f>
        <v>0</v>
      </c>
      <c r="E80" s="213">
        <f ca="1">Roadmap!T84</f>
        <v>0</v>
      </c>
      <c r="F80" s="213">
        <f ca="1">Roadmap!T85</f>
        <v>0</v>
      </c>
      <c r="G80" s="214">
        <f ca="1">(((((IF((C80="0+"),0.5,0)+IF((C80=1),1,0))+IF((C80="1+"),1.5,0))+IF((C80=2),2,0))+IF((C80="2+"),2.5,0))+IF((C80=3),3,0))+IF((C80="3+"),3.5,0)</f>
        <v>0</v>
      </c>
      <c r="H80" s="215"/>
      <c r="I80" s="205"/>
      <c r="J80" s="205"/>
      <c r="K80" s="205"/>
      <c r="L80" s="205"/>
      <c r="M80" s="205"/>
      <c r="N80" s="205"/>
      <c r="T80" s="218" t="str">
        <f>Interview!$B$102</f>
        <v>Implementation</v>
      </c>
      <c r="U80" s="223" t="str">
        <f>Interview!$B$117</f>
        <v>Secure Deployment</v>
      </c>
      <c r="V80" s="213">
        <v>0</v>
      </c>
      <c r="W80" s="213">
        <v>0</v>
      </c>
      <c r="X80" s="213">
        <f ca="1">C80</f>
        <v>0</v>
      </c>
      <c r="Y80" s="213">
        <v>0</v>
      </c>
      <c r="Z80" s="213">
        <v>0</v>
      </c>
    </row>
    <row r="81" spans="1:26" ht="25.05" customHeight="1" x14ac:dyDescent="0.5">
      <c r="A81" s="218" t="str">
        <f>Interview!$B$102</f>
        <v>Implementation</v>
      </c>
      <c r="B81" s="223" t="str">
        <f>Interview!$B$131</f>
        <v>Defect Management</v>
      </c>
      <c r="C81" s="213">
        <f ca="1">Roadmap!U92</f>
        <v>0</v>
      </c>
      <c r="D81" s="213">
        <f ca="1">Roadmap!T92</f>
        <v>0</v>
      </c>
      <c r="E81" s="213">
        <f ca="1">Roadmap!T93</f>
        <v>0</v>
      </c>
      <c r="F81" s="213">
        <f ca="1">Roadmap!T94</f>
        <v>0</v>
      </c>
      <c r="G81" s="214">
        <f ca="1">(((((IF((C81="0+"),0.5,0)+IF((C81=1),1,0))+IF((C81="1+"),1.5,0))+IF((C81=2),2,0))+IF((C81="2+"),2.5,0))+IF((C81=3),3,0))+IF((C81="3+"),3.5,0)</f>
        <v>0</v>
      </c>
      <c r="H81" s="215"/>
      <c r="I81" s="205"/>
      <c r="J81" s="205"/>
      <c r="K81" s="205"/>
      <c r="L81" s="205"/>
      <c r="M81" s="205"/>
      <c r="N81" s="205"/>
      <c r="T81" s="218" t="str">
        <f>Interview!$B$102</f>
        <v>Implementation</v>
      </c>
      <c r="U81" s="223" t="str">
        <f>Interview!$B$131</f>
        <v>Defect Management</v>
      </c>
      <c r="V81" s="213">
        <v>0</v>
      </c>
      <c r="W81" s="213">
        <v>0</v>
      </c>
      <c r="X81" s="213">
        <f ca="1">C81</f>
        <v>0</v>
      </c>
      <c r="Y81" s="213">
        <v>0</v>
      </c>
      <c r="Z81" s="213">
        <v>0</v>
      </c>
    </row>
    <row r="82" spans="1:26" ht="25.05" customHeight="1" x14ac:dyDescent="0.5">
      <c r="A82" s="219" t="str">
        <f>Interview!$B$145</f>
        <v>Verification</v>
      </c>
      <c r="B82" s="224" t="str">
        <f>Interview!$B$146</f>
        <v>Architecture Assessment</v>
      </c>
      <c r="C82" s="213">
        <f ca="1">Roadmap!U102</f>
        <v>0</v>
      </c>
      <c r="D82" s="213">
        <f ca="1">Roadmap!T102</f>
        <v>0</v>
      </c>
      <c r="E82" s="213">
        <f ca="1">Roadmap!T103</f>
        <v>0</v>
      </c>
      <c r="F82" s="213">
        <f ca="1">Roadmap!T104</f>
        <v>0</v>
      </c>
      <c r="G82" s="214">
        <f t="shared" ref="G82:G87" ca="1" si="10">(((((IF((C82="0+"),0.5,0)+IF((C82=1),1,0))+IF((C82="1+"),1.5,0))+IF((C82=2),2,0))+IF((C82="2+"),2.5,0))+IF((C82=3),3,0))+IF((C82="3+"),3.5,0)</f>
        <v>0</v>
      </c>
      <c r="H82" s="215"/>
      <c r="I82" s="205"/>
      <c r="J82" s="205"/>
      <c r="K82" s="205"/>
      <c r="L82" s="205"/>
      <c r="M82" s="205"/>
      <c r="N82" s="205"/>
      <c r="T82" s="219" t="str">
        <f>Interview!$B$145</f>
        <v>Verification</v>
      </c>
      <c r="U82" s="224" t="str">
        <f>Interview!$B$146</f>
        <v>Architecture Assessment</v>
      </c>
      <c r="V82" s="213">
        <v>0</v>
      </c>
      <c r="W82" s="213">
        <v>0</v>
      </c>
      <c r="X82" s="213">
        <v>0</v>
      </c>
      <c r="Y82" s="213">
        <f ca="1">C82</f>
        <v>0</v>
      </c>
      <c r="Z82" s="213">
        <v>0</v>
      </c>
    </row>
    <row r="83" spans="1:26" ht="25.05" customHeight="1" x14ac:dyDescent="0.5">
      <c r="A83" s="219" t="str">
        <f>Interview!$B$145</f>
        <v>Verification</v>
      </c>
      <c r="B83" s="224" t="str">
        <f>Interview!$B$160</f>
        <v>Requirements Testing</v>
      </c>
      <c r="C83" s="213">
        <f ca="1">Roadmap!U111</f>
        <v>0</v>
      </c>
      <c r="D83" s="213">
        <f ca="1">Roadmap!T111</f>
        <v>0</v>
      </c>
      <c r="E83" s="213">
        <f ca="1">Roadmap!T112</f>
        <v>0</v>
      </c>
      <c r="F83" s="213">
        <f ca="1">Roadmap!T113</f>
        <v>0</v>
      </c>
      <c r="G83" s="214">
        <f t="shared" ca="1" si="10"/>
        <v>0</v>
      </c>
      <c r="H83" s="215"/>
      <c r="I83" s="205"/>
      <c r="J83" s="205"/>
      <c r="K83" s="205"/>
      <c r="L83" s="205"/>
      <c r="M83" s="205"/>
      <c r="N83" s="205"/>
      <c r="T83" s="219" t="str">
        <f>Interview!$B$145</f>
        <v>Verification</v>
      </c>
      <c r="U83" s="224" t="str">
        <f>Interview!$B$160</f>
        <v>Requirements Testing</v>
      </c>
      <c r="V83" s="213">
        <v>0</v>
      </c>
      <c r="W83" s="213">
        <v>0</v>
      </c>
      <c r="X83" s="213">
        <v>0</v>
      </c>
      <c r="Y83" s="213">
        <f ca="1">C83</f>
        <v>0</v>
      </c>
      <c r="Z83" s="213">
        <v>0</v>
      </c>
    </row>
    <row r="84" spans="1:26" ht="25.05" customHeight="1" x14ac:dyDescent="0.5">
      <c r="A84" s="219" t="str">
        <f>Interview!$B$145</f>
        <v>Verification</v>
      </c>
      <c r="B84" s="224" t="str">
        <f>Interview!$B$174</f>
        <v>Security Testing</v>
      </c>
      <c r="C84" s="213">
        <f ca="1">Roadmap!U120</f>
        <v>0</v>
      </c>
      <c r="D84" s="213">
        <f ca="1">Roadmap!T120</f>
        <v>0</v>
      </c>
      <c r="E84" s="213">
        <f ca="1">Roadmap!T121</f>
        <v>0</v>
      </c>
      <c r="F84" s="213">
        <f ca="1">Roadmap!T122</f>
        <v>0</v>
      </c>
      <c r="G84" s="214">
        <f t="shared" ca="1" si="10"/>
        <v>0</v>
      </c>
      <c r="H84" s="215"/>
      <c r="I84" s="205"/>
      <c r="J84" s="205"/>
      <c r="K84" s="205"/>
      <c r="L84" s="205"/>
      <c r="M84" s="205"/>
      <c r="N84" s="205"/>
      <c r="T84" s="219" t="str">
        <f>Interview!$B$145</f>
        <v>Verification</v>
      </c>
      <c r="U84" s="224" t="str">
        <f>Interview!$B$174</f>
        <v>Security Testing</v>
      </c>
      <c r="V84" s="213">
        <v>0</v>
      </c>
      <c r="W84" s="213">
        <v>0</v>
      </c>
      <c r="X84" s="213">
        <v>0</v>
      </c>
      <c r="Y84" s="213">
        <f ca="1">C84</f>
        <v>0</v>
      </c>
      <c r="Z84" s="213">
        <v>0</v>
      </c>
    </row>
    <row r="85" spans="1:26" ht="25.05" customHeight="1" x14ac:dyDescent="0.5">
      <c r="A85" s="220" t="str">
        <f>Interview!$B$188</f>
        <v>Operations</v>
      </c>
      <c r="B85" s="225" t="str">
        <f>Interview!$B$189</f>
        <v>Incident Management</v>
      </c>
      <c r="C85" s="213">
        <f ca="1">Roadmap!U130</f>
        <v>0</v>
      </c>
      <c r="D85" s="213">
        <f ca="1">Roadmap!T130</f>
        <v>0</v>
      </c>
      <c r="E85" s="213">
        <f ca="1">Roadmap!T131</f>
        <v>0</v>
      </c>
      <c r="F85" s="213">
        <f ca="1">Roadmap!T132</f>
        <v>0</v>
      </c>
      <c r="G85" s="214">
        <f t="shared" ca="1" si="10"/>
        <v>0</v>
      </c>
      <c r="H85" s="215"/>
      <c r="I85" s="205"/>
      <c r="J85" s="205"/>
      <c r="K85" s="205"/>
      <c r="L85" s="205"/>
      <c r="M85" s="205"/>
      <c r="N85" s="205"/>
      <c r="T85" s="220" t="str">
        <f>Interview!$B$188</f>
        <v>Operations</v>
      </c>
      <c r="U85" s="225" t="str">
        <f>Interview!$B$189</f>
        <v>Incident Management</v>
      </c>
      <c r="V85" s="213">
        <v>0</v>
      </c>
      <c r="W85" s="213">
        <v>0</v>
      </c>
      <c r="X85" s="213">
        <v>0</v>
      </c>
      <c r="Y85" s="213">
        <v>0</v>
      </c>
      <c r="Z85" s="213">
        <f ca="1">C85</f>
        <v>0</v>
      </c>
    </row>
    <row r="86" spans="1:26" ht="25.05" customHeight="1" x14ac:dyDescent="0.5">
      <c r="A86" s="220" t="str">
        <f>Interview!$B$188</f>
        <v>Operations</v>
      </c>
      <c r="B86" s="225" t="str">
        <f>Interview!$B$203</f>
        <v>Environment Management</v>
      </c>
      <c r="C86" s="213">
        <f ca="1">Roadmap!U139</f>
        <v>0</v>
      </c>
      <c r="D86" s="213">
        <f ca="1">Roadmap!T139</f>
        <v>0</v>
      </c>
      <c r="E86" s="213">
        <f ca="1">Roadmap!T140</f>
        <v>0</v>
      </c>
      <c r="F86" s="213">
        <f ca="1">Roadmap!T141</f>
        <v>0</v>
      </c>
      <c r="G86" s="214">
        <f t="shared" ca="1" si="10"/>
        <v>0</v>
      </c>
      <c r="H86" s="215"/>
      <c r="I86" s="205"/>
      <c r="J86" s="205"/>
      <c r="K86" s="205"/>
      <c r="L86" s="205"/>
      <c r="M86" s="205"/>
      <c r="N86" s="205"/>
      <c r="T86" s="220" t="str">
        <f>Interview!$B$188</f>
        <v>Operations</v>
      </c>
      <c r="U86" s="225" t="str">
        <f>Interview!$B$203</f>
        <v>Environment Management</v>
      </c>
      <c r="V86" s="213">
        <v>0</v>
      </c>
      <c r="W86" s="213">
        <v>0</v>
      </c>
      <c r="X86" s="213">
        <v>0</v>
      </c>
      <c r="Y86" s="213">
        <v>0</v>
      </c>
      <c r="Z86" s="213">
        <f ca="1">C86</f>
        <v>0</v>
      </c>
    </row>
    <row r="87" spans="1:26" ht="25.05" customHeight="1" x14ac:dyDescent="0.5">
      <c r="A87" s="220" t="str">
        <f>Interview!$B$188</f>
        <v>Operations</v>
      </c>
      <c r="B87" s="225" t="str">
        <f>Interview!$B$217</f>
        <v>Operational Management</v>
      </c>
      <c r="C87" s="213">
        <f ca="1">Roadmap!U148</f>
        <v>0</v>
      </c>
      <c r="D87" s="213">
        <f ca="1">Roadmap!T148</f>
        <v>0</v>
      </c>
      <c r="E87" s="213">
        <f ca="1">Roadmap!T149</f>
        <v>0</v>
      </c>
      <c r="F87" s="213">
        <f ca="1">Roadmap!T150</f>
        <v>0</v>
      </c>
      <c r="G87" s="214">
        <f t="shared" ca="1" si="10"/>
        <v>0</v>
      </c>
      <c r="H87" s="215"/>
      <c r="I87" s="205"/>
      <c r="J87" s="205"/>
      <c r="K87" s="205"/>
      <c r="L87" s="205"/>
      <c r="M87" s="205"/>
      <c r="N87" s="205"/>
      <c r="T87" s="220" t="str">
        <f>Interview!$B$188</f>
        <v>Operations</v>
      </c>
      <c r="U87" s="225" t="str">
        <f>Interview!$B$217</f>
        <v>Operational Management</v>
      </c>
      <c r="V87" s="213">
        <v>0</v>
      </c>
      <c r="W87" s="213">
        <v>0</v>
      </c>
      <c r="X87" s="213">
        <v>0</v>
      </c>
      <c r="Y87" s="213">
        <v>0</v>
      </c>
      <c r="Z87" s="213">
        <f ca="1">C87</f>
        <v>0</v>
      </c>
    </row>
    <row r="88" spans="1:26" ht="12.75" customHeight="1" x14ac:dyDescent="0.5">
      <c r="A88" s="205"/>
      <c r="B88" s="205"/>
      <c r="C88" s="205"/>
      <c r="D88" s="205"/>
      <c r="E88" s="205"/>
      <c r="F88" s="205"/>
      <c r="G88" s="205"/>
      <c r="H88" s="205"/>
      <c r="I88" s="205"/>
      <c r="J88" s="205"/>
      <c r="K88" s="205"/>
      <c r="L88" s="205"/>
      <c r="M88" s="205"/>
      <c r="N88" s="205"/>
    </row>
    <row r="89" spans="1:26" ht="12.75" customHeight="1" x14ac:dyDescent="0.5">
      <c r="A89" s="205"/>
      <c r="B89" s="205"/>
      <c r="C89" s="205"/>
      <c r="D89" s="205"/>
      <c r="E89" s="205"/>
      <c r="F89" s="205"/>
      <c r="G89" s="205"/>
      <c r="H89" s="205"/>
      <c r="I89" s="205"/>
      <c r="J89" s="205"/>
      <c r="K89" s="205"/>
      <c r="L89" s="205"/>
      <c r="M89" s="205"/>
      <c r="N89" s="205"/>
    </row>
    <row r="90" spans="1:26" ht="12.75" customHeight="1" thickBot="1" x14ac:dyDescent="0.55000000000000004">
      <c r="K90" s="205"/>
    </row>
    <row r="91" spans="1:26" ht="25.05" customHeight="1" thickBot="1" x14ac:dyDescent="0.55000000000000004">
      <c r="A91" s="563" t="s">
        <v>247</v>
      </c>
      <c r="B91" s="564"/>
      <c r="C91" s="564"/>
      <c r="D91" s="564"/>
      <c r="E91" s="564"/>
      <c r="F91" s="564"/>
      <c r="G91" s="564"/>
      <c r="H91" s="564"/>
      <c r="I91" s="564"/>
      <c r="J91" s="565"/>
      <c r="K91" s="205"/>
      <c r="L91" s="563" t="s">
        <v>247</v>
      </c>
      <c r="M91" s="564"/>
      <c r="N91" s="564"/>
      <c r="O91" s="564"/>
      <c r="P91" s="564"/>
      <c r="Q91" s="564"/>
      <c r="R91" s="565"/>
      <c r="T91" s="566" t="s">
        <v>247</v>
      </c>
      <c r="U91" s="564"/>
      <c r="V91" s="564"/>
      <c r="W91" s="564"/>
      <c r="X91" s="564"/>
      <c r="Y91" s="564"/>
      <c r="Z91" s="565"/>
    </row>
    <row r="92" spans="1:26" ht="12" customHeight="1" x14ac:dyDescent="0.5">
      <c r="A92" s="206"/>
      <c r="B92" s="206"/>
      <c r="C92" s="206"/>
      <c r="D92" s="560" t="s">
        <v>238</v>
      </c>
      <c r="E92" s="561"/>
      <c r="F92" s="562"/>
      <c r="G92" s="205"/>
      <c r="H92" s="205"/>
      <c r="I92" s="205"/>
      <c r="J92" s="205"/>
      <c r="K92" s="205"/>
      <c r="L92" s="205"/>
      <c r="M92" s="205"/>
      <c r="N92" s="205"/>
    </row>
    <row r="93" spans="1:26" ht="25.05" customHeight="1" x14ac:dyDescent="0.5">
      <c r="A93" s="209" t="s">
        <v>239</v>
      </c>
      <c r="B93" s="209" t="s">
        <v>240</v>
      </c>
      <c r="C93" s="209" t="s">
        <v>241</v>
      </c>
      <c r="D93" s="210">
        <v>1</v>
      </c>
      <c r="E93" s="210">
        <v>2</v>
      </c>
      <c r="F93" s="210">
        <v>3</v>
      </c>
      <c r="G93" s="211" t="s">
        <v>242</v>
      </c>
      <c r="H93" s="95"/>
      <c r="I93" s="209" t="s">
        <v>239</v>
      </c>
      <c r="J93" s="209" t="s">
        <v>241</v>
      </c>
      <c r="K93" s="205"/>
      <c r="L93" s="205"/>
      <c r="M93" s="205"/>
      <c r="N93" s="205"/>
      <c r="V93" s="87" t="str">
        <f>T94</f>
        <v>Governance</v>
      </c>
      <c r="W93" s="87" t="str">
        <f>T97</f>
        <v>Design</v>
      </c>
      <c r="X93" s="87" t="str">
        <f>T100</f>
        <v>Implementation</v>
      </c>
      <c r="Y93" s="87" t="str">
        <f>T103</f>
        <v>Verification</v>
      </c>
      <c r="Z93" s="87" t="str">
        <f>T106</f>
        <v>Operations</v>
      </c>
    </row>
    <row r="94" spans="1:26" ht="25.05" customHeight="1" x14ac:dyDescent="0.5">
      <c r="A94" s="212" t="str">
        <f>Interview!$B$16</f>
        <v>Governance</v>
      </c>
      <c r="B94" s="221" t="str">
        <f>Interview!$D$17</f>
        <v>Strategy &amp; Metrics</v>
      </c>
      <c r="C94" s="213">
        <f ca="1">Roadmap!Y18</f>
        <v>0</v>
      </c>
      <c r="D94" s="213">
        <f ca="1">Roadmap!X18</f>
        <v>0</v>
      </c>
      <c r="E94" s="213">
        <f ca="1">Roadmap!X19</f>
        <v>0</v>
      </c>
      <c r="F94" s="213">
        <f ca="1">Roadmap!X20</f>
        <v>0</v>
      </c>
      <c r="G94" s="214">
        <f t="shared" ref="G94:G99" ca="1" si="11">(((((IF((C94="0+"),0.5,0)+IF((C94=1),1,0))+IF((C94="1+"),1.5,0))+IF((C94=2),2,0))+IF((C94="2+"),2.5,0))+IF((C94=3),3,0))+IF((C94="3+"),3.5,0)</f>
        <v>0</v>
      </c>
      <c r="H94" s="215"/>
      <c r="I94" s="212" t="str">
        <f>A94</f>
        <v>Governance</v>
      </c>
      <c r="J94" s="213">
        <f ca="1">AVERAGE(C94:C96)</f>
        <v>0</v>
      </c>
      <c r="K94" s="205"/>
      <c r="L94" s="205"/>
      <c r="M94" s="205"/>
      <c r="N94" s="205"/>
      <c r="T94" s="212" t="str">
        <f>Interview!$B$16</f>
        <v>Governance</v>
      </c>
      <c r="U94" s="221" t="str">
        <f>Interview!$D$17</f>
        <v>Strategy &amp; Metrics</v>
      </c>
      <c r="V94" s="213">
        <f ca="1">C94</f>
        <v>0</v>
      </c>
      <c r="W94" s="213">
        <v>0</v>
      </c>
      <c r="X94" s="213">
        <v>0</v>
      </c>
      <c r="Y94" s="213">
        <v>0</v>
      </c>
      <c r="Z94" s="213">
        <v>0</v>
      </c>
    </row>
    <row r="95" spans="1:26" ht="25.05" customHeight="1" x14ac:dyDescent="0.5">
      <c r="A95" s="212" t="str">
        <f>Interview!$B$16</f>
        <v>Governance</v>
      </c>
      <c r="B95" s="221" t="str">
        <f>Interview!$B$31</f>
        <v>Policy &amp; Compliance</v>
      </c>
      <c r="C95" s="213">
        <f ca="1">Roadmap!Y27</f>
        <v>0</v>
      </c>
      <c r="D95" s="213">
        <f ca="1">Roadmap!X27</f>
        <v>0</v>
      </c>
      <c r="E95" s="213">
        <f ca="1">Roadmap!X28</f>
        <v>0</v>
      </c>
      <c r="F95" s="213">
        <f ca="1">Roadmap!X29</f>
        <v>0</v>
      </c>
      <c r="G95" s="214">
        <f t="shared" ca="1" si="11"/>
        <v>0</v>
      </c>
      <c r="H95" s="215"/>
      <c r="I95" s="216" t="str">
        <f>A97</f>
        <v>Design</v>
      </c>
      <c r="J95" s="213">
        <f ca="1">AVERAGE(C97:C99)</f>
        <v>0</v>
      </c>
      <c r="K95" s="205"/>
      <c r="L95" s="205"/>
      <c r="M95" s="205"/>
      <c r="N95" s="205"/>
      <c r="T95" s="212" t="str">
        <f>Interview!$B$16</f>
        <v>Governance</v>
      </c>
      <c r="U95" s="221" t="str">
        <f>Interview!$B$31</f>
        <v>Policy &amp; Compliance</v>
      </c>
      <c r="V95" s="213">
        <f ca="1">C95</f>
        <v>0</v>
      </c>
      <c r="W95" s="213">
        <v>0</v>
      </c>
      <c r="X95" s="213">
        <v>0</v>
      </c>
      <c r="Y95" s="213">
        <v>0</v>
      </c>
      <c r="Z95" s="213">
        <v>0</v>
      </c>
    </row>
    <row r="96" spans="1:26" ht="25.05" customHeight="1" x14ac:dyDescent="0.5">
      <c r="A96" s="212" t="str">
        <f>Interview!$B$16</f>
        <v>Governance</v>
      </c>
      <c r="B96" s="221" t="str">
        <f>Interview!$B$45</f>
        <v>Education &amp; Guidance</v>
      </c>
      <c r="C96" s="213">
        <f ca="1">Roadmap!Y36</f>
        <v>0</v>
      </c>
      <c r="D96" s="213">
        <f ca="1">Roadmap!X36</f>
        <v>0</v>
      </c>
      <c r="E96" s="213">
        <f ca="1">Roadmap!X37</f>
        <v>0</v>
      </c>
      <c r="F96" s="213">
        <f ca="1">Roadmap!X38</f>
        <v>0</v>
      </c>
      <c r="G96" s="214">
        <f t="shared" ca="1" si="11"/>
        <v>0</v>
      </c>
      <c r="H96" s="215"/>
      <c r="I96" s="218" t="str">
        <f>A100</f>
        <v>Implementation</v>
      </c>
      <c r="J96" s="213">
        <f ca="1">AVERAGE(C100:C102)</f>
        <v>0</v>
      </c>
      <c r="K96" s="205"/>
      <c r="L96" s="205"/>
      <c r="M96" s="205"/>
      <c r="N96" s="205"/>
      <c r="T96" s="212" t="str">
        <f>Interview!$B$16</f>
        <v>Governance</v>
      </c>
      <c r="U96" s="221" t="str">
        <f>Interview!$B$45</f>
        <v>Education &amp; Guidance</v>
      </c>
      <c r="V96" s="213">
        <f ca="1">C96</f>
        <v>0</v>
      </c>
      <c r="W96" s="213">
        <v>0</v>
      </c>
      <c r="X96" s="213">
        <v>0</v>
      </c>
      <c r="Y96" s="213">
        <v>0</v>
      </c>
      <c r="Z96" s="213">
        <v>0</v>
      </c>
    </row>
    <row r="97" spans="1:26" ht="25.05" customHeight="1" x14ac:dyDescent="0.5">
      <c r="A97" s="216" t="str">
        <f>Interview!$B$59</f>
        <v>Design</v>
      </c>
      <c r="B97" s="222" t="str">
        <f>Interview!$B$60</f>
        <v>Threat Assessment</v>
      </c>
      <c r="C97" s="213">
        <f ca="1">Roadmap!Y46</f>
        <v>0</v>
      </c>
      <c r="D97" s="213">
        <f ca="1">Roadmap!X46</f>
        <v>0</v>
      </c>
      <c r="E97" s="213">
        <f ca="1">Roadmap!X47</f>
        <v>0</v>
      </c>
      <c r="F97" s="213">
        <f ca="1">Roadmap!X48</f>
        <v>0</v>
      </c>
      <c r="G97" s="214">
        <f t="shared" ca="1" si="11"/>
        <v>0</v>
      </c>
      <c r="H97" s="215"/>
      <c r="I97" s="219" t="str">
        <f>A103</f>
        <v>Verification</v>
      </c>
      <c r="J97" s="213">
        <f ca="1">AVERAGE(C103:C105)</f>
        <v>0</v>
      </c>
      <c r="K97" s="205"/>
      <c r="L97" s="205"/>
      <c r="M97" s="205"/>
      <c r="N97" s="205"/>
      <c r="T97" s="216" t="str">
        <f>Interview!$B$59</f>
        <v>Design</v>
      </c>
      <c r="U97" s="222" t="str">
        <f>Interview!$B$60</f>
        <v>Threat Assessment</v>
      </c>
      <c r="V97" s="213">
        <v>0</v>
      </c>
      <c r="W97" s="213">
        <f ca="1">C97</f>
        <v>0</v>
      </c>
      <c r="X97" s="213">
        <v>0</v>
      </c>
      <c r="Y97" s="213">
        <v>0</v>
      </c>
      <c r="Z97" s="213">
        <v>0</v>
      </c>
    </row>
    <row r="98" spans="1:26" ht="25.05" customHeight="1" x14ac:dyDescent="0.5">
      <c r="A98" s="216" t="str">
        <f>Interview!$B$59</f>
        <v>Design</v>
      </c>
      <c r="B98" s="222" t="str">
        <f>Interview!$B$74</f>
        <v>Security Requirements</v>
      </c>
      <c r="C98" s="213">
        <f ca="1">Roadmap!Y55</f>
        <v>0</v>
      </c>
      <c r="D98" s="213">
        <f ca="1">Roadmap!X55</f>
        <v>0</v>
      </c>
      <c r="E98" s="213">
        <f ca="1">Roadmap!X56</f>
        <v>0</v>
      </c>
      <c r="F98" s="213">
        <f ca="1">Roadmap!X57</f>
        <v>0</v>
      </c>
      <c r="G98" s="214">
        <f t="shared" ca="1" si="11"/>
        <v>0</v>
      </c>
      <c r="H98" s="215"/>
      <c r="I98" s="220" t="str">
        <f>A106</f>
        <v>Operations</v>
      </c>
      <c r="J98" s="213">
        <f ca="1">AVERAGE(C106:C108)</f>
        <v>0</v>
      </c>
      <c r="K98" s="205"/>
      <c r="L98" s="205"/>
      <c r="M98" s="205"/>
      <c r="N98" s="205"/>
      <c r="T98" s="216" t="str">
        <f>Interview!$B$59</f>
        <v>Design</v>
      </c>
      <c r="U98" s="222" t="str">
        <f>Interview!$B$74</f>
        <v>Security Requirements</v>
      </c>
      <c r="V98" s="213">
        <v>0</v>
      </c>
      <c r="W98" s="213">
        <f ca="1">C98</f>
        <v>0</v>
      </c>
      <c r="X98" s="213">
        <v>0</v>
      </c>
      <c r="Y98" s="213">
        <v>0</v>
      </c>
      <c r="Z98" s="213">
        <v>0</v>
      </c>
    </row>
    <row r="99" spans="1:26" ht="25.05" customHeight="1" x14ac:dyDescent="0.5">
      <c r="A99" s="216" t="str">
        <f>Interview!$B$59</f>
        <v>Design</v>
      </c>
      <c r="B99" s="222" t="str">
        <f>Interview!$B$88</f>
        <v>Secure Architecture</v>
      </c>
      <c r="C99" s="213">
        <f ca="1">Roadmap!Y64</f>
        <v>0</v>
      </c>
      <c r="D99" s="213">
        <f ca="1">Roadmap!X64</f>
        <v>0</v>
      </c>
      <c r="E99" s="213">
        <f ca="1">Roadmap!X65</f>
        <v>0</v>
      </c>
      <c r="F99" s="213">
        <f ca="1">Roadmap!X66</f>
        <v>0</v>
      </c>
      <c r="G99" s="214">
        <f t="shared" ca="1" si="11"/>
        <v>0</v>
      </c>
      <c r="H99" s="215"/>
      <c r="I99" s="217" t="s">
        <v>243</v>
      </c>
      <c r="J99" s="213">
        <f ca="1">AVERAGE(J94:J98)</f>
        <v>0</v>
      </c>
      <c r="K99" s="205"/>
      <c r="L99" s="205"/>
      <c r="M99" s="205"/>
      <c r="N99" s="205"/>
      <c r="T99" s="216" t="str">
        <f>Interview!$B$59</f>
        <v>Design</v>
      </c>
      <c r="U99" s="222" t="str">
        <f>Interview!$B$88</f>
        <v>Secure Architecture</v>
      </c>
      <c r="V99" s="213">
        <v>0</v>
      </c>
      <c r="W99" s="213">
        <f ca="1">C99</f>
        <v>0</v>
      </c>
      <c r="X99" s="213">
        <v>0</v>
      </c>
      <c r="Y99" s="213">
        <v>0</v>
      </c>
      <c r="Z99" s="213">
        <v>0</v>
      </c>
    </row>
    <row r="100" spans="1:26" ht="25.05" customHeight="1" x14ac:dyDescent="0.5">
      <c r="A100" s="218" t="str">
        <f>Interview!$B$102</f>
        <v>Implementation</v>
      </c>
      <c r="B100" s="223" t="str">
        <f>Interview!$B$103</f>
        <v>Secure Build</v>
      </c>
      <c r="C100" s="213">
        <f ca="1">Roadmap!Y74</f>
        <v>0</v>
      </c>
      <c r="D100" s="213">
        <f ca="1">Roadmap!X74</f>
        <v>0</v>
      </c>
      <c r="E100" s="213">
        <f ca="1">Roadmap!X75</f>
        <v>0</v>
      </c>
      <c r="F100" s="213">
        <f ca="1">Roadmap!X76</f>
        <v>0</v>
      </c>
      <c r="G100" s="214">
        <f ca="1">(((((IF((C100="0+"),0.5,0)+IF((C100=1),1,0))+IF((C100="1+"),1.5,0))+IF((C100=2),2,0))+IF((C100="2+"),2.5,0))+IF((C100=3),3,0))+IF((C100="3+"),3.5,0)</f>
        <v>0</v>
      </c>
      <c r="H100" s="215"/>
      <c r="I100" s="205"/>
      <c r="J100" s="205"/>
      <c r="K100" s="205"/>
      <c r="L100" s="205"/>
      <c r="M100" s="205"/>
      <c r="N100" s="205"/>
      <c r="T100" s="218" t="str">
        <f>Interview!$B$102</f>
        <v>Implementation</v>
      </c>
      <c r="U100" s="223" t="str">
        <f>Interview!$B$103</f>
        <v>Secure Build</v>
      </c>
      <c r="V100" s="213">
        <v>0</v>
      </c>
      <c r="W100" s="213">
        <v>0</v>
      </c>
      <c r="X100" s="213">
        <f ca="1">C100</f>
        <v>0</v>
      </c>
      <c r="Y100" s="213">
        <v>0</v>
      </c>
      <c r="Z100" s="213">
        <v>0</v>
      </c>
    </row>
    <row r="101" spans="1:26" ht="25.05" customHeight="1" x14ac:dyDescent="0.5">
      <c r="A101" s="218" t="str">
        <f>Interview!$B$102</f>
        <v>Implementation</v>
      </c>
      <c r="B101" s="223" t="str">
        <f>Interview!$B$117</f>
        <v>Secure Deployment</v>
      </c>
      <c r="C101" s="213">
        <f ca="1">Roadmap!Y83</f>
        <v>0</v>
      </c>
      <c r="D101" s="213">
        <f ca="1">Roadmap!X83</f>
        <v>0</v>
      </c>
      <c r="E101" s="213">
        <f ca="1">Roadmap!X84</f>
        <v>0</v>
      </c>
      <c r="F101" s="213">
        <f ca="1">Roadmap!X85</f>
        <v>0</v>
      </c>
      <c r="G101" s="214">
        <f ca="1">(((((IF((C101="0+"),0.5,0)+IF((C101=1),1,0))+IF((C101="1+"),1.5,0))+IF((C101=2),2,0))+IF((C101="2+"),2.5,0))+IF((C101=3),3,0))+IF((C101="3+"),3.5,0)</f>
        <v>0</v>
      </c>
      <c r="H101" s="215"/>
      <c r="I101" s="205"/>
      <c r="J101" s="205"/>
      <c r="K101" s="205"/>
      <c r="L101" s="205"/>
      <c r="M101" s="205"/>
      <c r="N101" s="205"/>
      <c r="T101" s="218" t="str">
        <f>Interview!$B$102</f>
        <v>Implementation</v>
      </c>
      <c r="U101" s="223" t="str">
        <f>Interview!$B$117</f>
        <v>Secure Deployment</v>
      </c>
      <c r="V101" s="213">
        <v>0</v>
      </c>
      <c r="W101" s="213">
        <v>0</v>
      </c>
      <c r="X101" s="213">
        <f ca="1">C101</f>
        <v>0</v>
      </c>
      <c r="Y101" s="213">
        <v>0</v>
      </c>
      <c r="Z101" s="213">
        <v>0</v>
      </c>
    </row>
    <row r="102" spans="1:26" ht="25.05" customHeight="1" x14ac:dyDescent="0.5">
      <c r="A102" s="218" t="str">
        <f>Interview!$B$102</f>
        <v>Implementation</v>
      </c>
      <c r="B102" s="223" t="str">
        <f>Interview!$B$131</f>
        <v>Defect Management</v>
      </c>
      <c r="C102" s="213">
        <f ca="1">Roadmap!Y92</f>
        <v>0</v>
      </c>
      <c r="D102" s="213">
        <f ca="1">Roadmap!X92</f>
        <v>0</v>
      </c>
      <c r="E102" s="213">
        <f ca="1">Roadmap!X93</f>
        <v>0</v>
      </c>
      <c r="F102" s="213">
        <f ca="1">Roadmap!X94</f>
        <v>0</v>
      </c>
      <c r="G102" s="214">
        <f ca="1">(((((IF((C102="0+"),0.5,0)+IF((C102=1),1,0))+IF((C102="1+"),1.5,0))+IF((C102=2),2,0))+IF((C102="2+"),2.5,0))+IF((C102=3),3,0))+IF((C102="3+"),3.5,0)</f>
        <v>0</v>
      </c>
      <c r="H102" s="215"/>
      <c r="I102" s="205"/>
      <c r="J102" s="205"/>
      <c r="K102" s="205"/>
      <c r="L102" s="205"/>
      <c r="M102" s="205"/>
      <c r="N102" s="205"/>
      <c r="T102" s="218" t="str">
        <f>Interview!$B$102</f>
        <v>Implementation</v>
      </c>
      <c r="U102" s="223" t="str">
        <f>Interview!$B$131</f>
        <v>Defect Management</v>
      </c>
      <c r="V102" s="213">
        <v>0</v>
      </c>
      <c r="W102" s="213">
        <v>0</v>
      </c>
      <c r="X102" s="213">
        <f ca="1">C102</f>
        <v>0</v>
      </c>
      <c r="Y102" s="213">
        <v>0</v>
      </c>
      <c r="Z102" s="213">
        <v>0</v>
      </c>
    </row>
    <row r="103" spans="1:26" ht="25.05" customHeight="1" x14ac:dyDescent="0.5">
      <c r="A103" s="219" t="str">
        <f>Interview!$B$145</f>
        <v>Verification</v>
      </c>
      <c r="B103" s="224" t="str">
        <f>Interview!$B$146</f>
        <v>Architecture Assessment</v>
      </c>
      <c r="C103" s="213">
        <f ca="1">Roadmap!Y102</f>
        <v>0</v>
      </c>
      <c r="D103" s="213">
        <f ca="1">Roadmap!X102</f>
        <v>0</v>
      </c>
      <c r="E103" s="213">
        <f ca="1">Roadmap!X103</f>
        <v>0</v>
      </c>
      <c r="F103" s="213">
        <f ca="1">Roadmap!X104</f>
        <v>0</v>
      </c>
      <c r="G103" s="214">
        <f t="shared" ref="G103:G108" ca="1" si="12">(((((IF((C103="0+"),0.5,0)+IF((C103=1),1,0))+IF((C103="1+"),1.5,0))+IF((C103=2),2,0))+IF((C103="2+"),2.5,0))+IF((C103=3),3,0))+IF((C103="3+"),3.5,0)</f>
        <v>0</v>
      </c>
      <c r="H103" s="215"/>
      <c r="I103" s="205"/>
      <c r="J103" s="205"/>
      <c r="K103" s="205"/>
      <c r="L103" s="205"/>
      <c r="M103" s="205"/>
      <c r="N103" s="205"/>
      <c r="T103" s="219" t="str">
        <f>Interview!$B$145</f>
        <v>Verification</v>
      </c>
      <c r="U103" s="224" t="str">
        <f>Interview!$B$146</f>
        <v>Architecture Assessment</v>
      </c>
      <c r="V103" s="213">
        <v>0</v>
      </c>
      <c r="W103" s="213">
        <v>0</v>
      </c>
      <c r="X103" s="213">
        <v>0</v>
      </c>
      <c r="Y103" s="213">
        <f ca="1">C103</f>
        <v>0</v>
      </c>
      <c r="Z103" s="213">
        <v>0</v>
      </c>
    </row>
    <row r="104" spans="1:26" ht="25.05" customHeight="1" x14ac:dyDescent="0.5">
      <c r="A104" s="219" t="str">
        <f>Interview!$B$145</f>
        <v>Verification</v>
      </c>
      <c r="B104" s="224" t="str">
        <f>Interview!$B$160</f>
        <v>Requirements Testing</v>
      </c>
      <c r="C104" s="213">
        <f ca="1">Roadmap!Y111</f>
        <v>0</v>
      </c>
      <c r="D104" s="213">
        <f ca="1">Roadmap!X111</f>
        <v>0</v>
      </c>
      <c r="E104" s="213">
        <f ca="1">Roadmap!X112</f>
        <v>0</v>
      </c>
      <c r="F104" s="213">
        <f ca="1">Roadmap!X113</f>
        <v>0</v>
      </c>
      <c r="G104" s="214">
        <f t="shared" ca="1" si="12"/>
        <v>0</v>
      </c>
      <c r="H104" s="215"/>
      <c r="I104" s="205"/>
      <c r="J104" s="205"/>
      <c r="K104" s="205"/>
      <c r="L104" s="205"/>
      <c r="M104" s="205"/>
      <c r="N104" s="205"/>
      <c r="T104" s="219" t="str">
        <f>Interview!$B$145</f>
        <v>Verification</v>
      </c>
      <c r="U104" s="224" t="str">
        <f>Interview!$B$160</f>
        <v>Requirements Testing</v>
      </c>
      <c r="V104" s="213">
        <v>0</v>
      </c>
      <c r="W104" s="213">
        <v>0</v>
      </c>
      <c r="X104" s="213">
        <v>0</v>
      </c>
      <c r="Y104" s="213">
        <f ca="1">C104</f>
        <v>0</v>
      </c>
      <c r="Z104" s="213">
        <v>0</v>
      </c>
    </row>
    <row r="105" spans="1:26" ht="25.05" customHeight="1" x14ac:dyDescent="0.5">
      <c r="A105" s="219" t="str">
        <f>Interview!$B$145</f>
        <v>Verification</v>
      </c>
      <c r="B105" s="224" t="str">
        <f>Interview!$B$174</f>
        <v>Security Testing</v>
      </c>
      <c r="C105" s="213">
        <f ca="1">Roadmap!Y120</f>
        <v>0</v>
      </c>
      <c r="D105" s="213">
        <f ca="1">Roadmap!X120</f>
        <v>0</v>
      </c>
      <c r="E105" s="213">
        <f ca="1">Roadmap!X121</f>
        <v>0</v>
      </c>
      <c r="F105" s="213">
        <f ca="1">Roadmap!X122</f>
        <v>0</v>
      </c>
      <c r="G105" s="214">
        <f t="shared" ca="1" si="12"/>
        <v>0</v>
      </c>
      <c r="H105" s="215"/>
      <c r="I105" s="205"/>
      <c r="J105" s="205"/>
      <c r="K105" s="205"/>
      <c r="L105" s="205"/>
      <c r="M105" s="205"/>
      <c r="N105" s="205"/>
      <c r="T105" s="219" t="str">
        <f>Interview!$B$145</f>
        <v>Verification</v>
      </c>
      <c r="U105" s="224" t="str">
        <f>Interview!$B$174</f>
        <v>Security Testing</v>
      </c>
      <c r="V105" s="213">
        <v>0</v>
      </c>
      <c r="W105" s="213">
        <v>0</v>
      </c>
      <c r="X105" s="213">
        <v>0</v>
      </c>
      <c r="Y105" s="213">
        <f ca="1">C105</f>
        <v>0</v>
      </c>
      <c r="Z105" s="213">
        <v>0</v>
      </c>
    </row>
    <row r="106" spans="1:26" ht="25.05" customHeight="1" x14ac:dyDescent="0.5">
      <c r="A106" s="220" t="str">
        <f>Interview!$B$188</f>
        <v>Operations</v>
      </c>
      <c r="B106" s="225" t="str">
        <f>Interview!$B$189</f>
        <v>Incident Management</v>
      </c>
      <c r="C106" s="213">
        <f ca="1">Roadmap!Y130</f>
        <v>0</v>
      </c>
      <c r="D106" s="213">
        <f ca="1">Roadmap!X130</f>
        <v>0</v>
      </c>
      <c r="E106" s="213">
        <f ca="1">Roadmap!X131</f>
        <v>0</v>
      </c>
      <c r="F106" s="213">
        <f ca="1">Roadmap!X132</f>
        <v>0</v>
      </c>
      <c r="G106" s="214">
        <f t="shared" ca="1" si="12"/>
        <v>0</v>
      </c>
      <c r="H106" s="215"/>
      <c r="I106" s="205"/>
      <c r="J106" s="205"/>
      <c r="K106" s="205"/>
      <c r="L106" s="205"/>
      <c r="M106" s="205"/>
      <c r="N106" s="205"/>
      <c r="T106" s="220" t="str">
        <f>Interview!$B$188</f>
        <v>Operations</v>
      </c>
      <c r="U106" s="225" t="str">
        <f>Interview!$B$189</f>
        <v>Incident Management</v>
      </c>
      <c r="V106" s="213">
        <v>0</v>
      </c>
      <c r="W106" s="213">
        <v>0</v>
      </c>
      <c r="X106" s="213">
        <v>0</v>
      </c>
      <c r="Y106" s="213">
        <v>0</v>
      </c>
      <c r="Z106" s="213">
        <f ca="1">C106</f>
        <v>0</v>
      </c>
    </row>
    <row r="107" spans="1:26" ht="25.05" customHeight="1" x14ac:dyDescent="0.5">
      <c r="A107" s="220" t="str">
        <f>Interview!$B$188</f>
        <v>Operations</v>
      </c>
      <c r="B107" s="225" t="str">
        <f>Interview!$B$203</f>
        <v>Environment Management</v>
      </c>
      <c r="C107" s="213">
        <f ca="1">Roadmap!Y139</f>
        <v>0</v>
      </c>
      <c r="D107" s="213">
        <f ca="1">Roadmap!X139</f>
        <v>0</v>
      </c>
      <c r="E107" s="213">
        <f ca="1">Roadmap!X140</f>
        <v>0</v>
      </c>
      <c r="F107" s="213">
        <f ca="1">Roadmap!X141</f>
        <v>0</v>
      </c>
      <c r="G107" s="214">
        <f t="shared" ca="1" si="12"/>
        <v>0</v>
      </c>
      <c r="H107" s="215"/>
      <c r="I107" s="205"/>
      <c r="J107" s="205"/>
      <c r="K107" s="205"/>
      <c r="L107" s="205"/>
      <c r="M107" s="205"/>
      <c r="N107" s="205"/>
      <c r="T107" s="220" t="str">
        <f>Interview!$B$188</f>
        <v>Operations</v>
      </c>
      <c r="U107" s="225" t="str">
        <f>Interview!$B$203</f>
        <v>Environment Management</v>
      </c>
      <c r="V107" s="213">
        <v>0</v>
      </c>
      <c r="W107" s="213">
        <v>0</v>
      </c>
      <c r="X107" s="213">
        <v>0</v>
      </c>
      <c r="Y107" s="213">
        <v>0</v>
      </c>
      <c r="Z107" s="213">
        <f ca="1">C107</f>
        <v>0</v>
      </c>
    </row>
    <row r="108" spans="1:26" ht="25.05" customHeight="1" x14ac:dyDescent="0.5">
      <c r="A108" s="220" t="str">
        <f>Interview!$B$188</f>
        <v>Operations</v>
      </c>
      <c r="B108" s="225" t="str">
        <f>Interview!$B$217</f>
        <v>Operational Management</v>
      </c>
      <c r="C108" s="213">
        <f ca="1">Roadmap!Y148</f>
        <v>0</v>
      </c>
      <c r="D108" s="213">
        <f ca="1">Roadmap!X148</f>
        <v>0</v>
      </c>
      <c r="E108" s="213">
        <f ca="1">Roadmap!X149</f>
        <v>0</v>
      </c>
      <c r="F108" s="213">
        <f ca="1">Roadmap!X150</f>
        <v>0</v>
      </c>
      <c r="G108" s="214">
        <f t="shared" ca="1" si="12"/>
        <v>0</v>
      </c>
      <c r="H108" s="215"/>
      <c r="I108" s="205"/>
      <c r="J108" s="205"/>
      <c r="K108" s="205"/>
      <c r="L108" s="205"/>
      <c r="M108" s="205"/>
      <c r="N108" s="205"/>
      <c r="T108" s="220" t="str">
        <f>Interview!$B$188</f>
        <v>Operations</v>
      </c>
      <c r="U108" s="225" t="str">
        <f>Interview!$B$217</f>
        <v>Operational Management</v>
      </c>
      <c r="V108" s="213">
        <v>0</v>
      </c>
      <c r="W108" s="213">
        <v>0</v>
      </c>
      <c r="X108" s="213">
        <v>0</v>
      </c>
      <c r="Y108" s="213">
        <v>0</v>
      </c>
      <c r="Z108" s="213">
        <f ca="1">C108</f>
        <v>0</v>
      </c>
    </row>
    <row r="109" spans="1:26" ht="12.75" customHeight="1" x14ac:dyDescent="0.5">
      <c r="A109" s="205"/>
      <c r="B109" s="205"/>
      <c r="C109" s="205"/>
      <c r="D109" s="205"/>
      <c r="E109" s="205"/>
      <c r="F109" s="205"/>
      <c r="G109" s="205"/>
      <c r="H109" s="205"/>
      <c r="I109" s="205"/>
      <c r="J109" s="205"/>
      <c r="K109" s="205"/>
      <c r="L109" s="205"/>
      <c r="M109" s="205"/>
      <c r="N109" s="205"/>
    </row>
    <row r="110" spans="1:26" ht="12.75" customHeight="1" x14ac:dyDescent="0.5">
      <c r="A110" s="205"/>
      <c r="B110" s="205"/>
      <c r="C110" s="205"/>
      <c r="D110" s="205"/>
      <c r="E110" s="205"/>
      <c r="F110" s="205"/>
      <c r="G110" s="205"/>
      <c r="H110" s="205"/>
      <c r="I110" s="205"/>
      <c r="J110" s="205"/>
      <c r="K110" s="205"/>
      <c r="L110" s="205"/>
      <c r="M110" s="205"/>
      <c r="N110" s="205"/>
    </row>
    <row r="111" spans="1:26" ht="12.75" customHeight="1" x14ac:dyDescent="0.5">
      <c r="A111" s="205"/>
      <c r="B111" s="205"/>
      <c r="C111" s="205"/>
      <c r="D111" s="205"/>
      <c r="E111" s="205"/>
      <c r="F111" s="205"/>
      <c r="G111" s="205"/>
      <c r="H111" s="205"/>
      <c r="I111" s="205"/>
      <c r="J111" s="205"/>
      <c r="K111" s="205"/>
      <c r="L111" s="205"/>
      <c r="M111" s="205"/>
      <c r="N111" s="205"/>
    </row>
    <row r="112" spans="1:26" ht="12.75" customHeight="1" x14ac:dyDescent="0.5">
      <c r="A112" s="205"/>
      <c r="B112" s="205"/>
      <c r="C112" s="205"/>
      <c r="D112" s="205"/>
      <c r="E112" s="205"/>
      <c r="F112" s="205"/>
      <c r="G112" s="205"/>
      <c r="H112" s="205"/>
      <c r="I112" s="205"/>
      <c r="J112" s="205"/>
      <c r="K112" s="205"/>
      <c r="L112" s="205"/>
      <c r="M112" s="205"/>
      <c r="N112" s="205"/>
    </row>
    <row r="113" spans="1:14" ht="12.75" customHeight="1" x14ac:dyDescent="0.5">
      <c r="A113" s="205"/>
      <c r="B113" s="205"/>
      <c r="C113" s="205"/>
      <c r="D113" s="205"/>
      <c r="E113" s="205"/>
      <c r="F113" s="205"/>
      <c r="G113" s="205"/>
      <c r="H113" s="205"/>
      <c r="I113" s="205"/>
      <c r="J113" s="205"/>
      <c r="K113" s="205"/>
      <c r="L113" s="205"/>
      <c r="M113" s="205"/>
      <c r="N113" s="205"/>
    </row>
    <row r="114" spans="1:14" ht="12.75" customHeight="1" x14ac:dyDescent="0.5">
      <c r="A114" s="205"/>
      <c r="B114" s="205"/>
      <c r="C114" s="205"/>
      <c r="D114" s="205"/>
      <c r="E114" s="205"/>
      <c r="F114" s="205"/>
      <c r="G114" s="205"/>
      <c r="H114" s="205"/>
      <c r="I114" s="205"/>
      <c r="J114" s="205"/>
      <c r="K114" s="205"/>
      <c r="L114" s="205"/>
      <c r="M114" s="205"/>
      <c r="N114" s="205"/>
    </row>
    <row r="115" spans="1:14" ht="12.75" customHeight="1" x14ac:dyDescent="0.5">
      <c r="A115" s="205"/>
      <c r="B115" s="205"/>
      <c r="C115" s="205"/>
      <c r="D115" s="205"/>
      <c r="E115" s="205"/>
      <c r="F115" s="205"/>
      <c r="G115" s="205"/>
      <c r="H115" s="205"/>
      <c r="I115" s="205"/>
      <c r="J115" s="205"/>
      <c r="K115" s="205"/>
      <c r="L115" s="205"/>
      <c r="M115" s="205"/>
      <c r="N115" s="205"/>
    </row>
    <row r="116" spans="1:14" ht="12.75" customHeight="1" x14ac:dyDescent="0.5">
      <c r="A116" s="205"/>
      <c r="B116" s="205"/>
      <c r="C116" s="205"/>
      <c r="D116" s="205"/>
      <c r="E116" s="205"/>
      <c r="F116" s="205"/>
      <c r="G116" s="205"/>
      <c r="H116" s="205"/>
      <c r="I116" s="205"/>
      <c r="J116" s="205"/>
      <c r="K116" s="205"/>
      <c r="L116" s="205"/>
      <c r="M116" s="205"/>
      <c r="N116" s="205"/>
    </row>
    <row r="117" spans="1:14" ht="12.75" customHeight="1" x14ac:dyDescent="0.5">
      <c r="A117" s="205"/>
      <c r="B117" s="205"/>
      <c r="C117" s="205"/>
      <c r="D117" s="205"/>
      <c r="E117" s="205"/>
      <c r="F117" s="205"/>
      <c r="G117" s="205"/>
      <c r="H117" s="205"/>
      <c r="I117" s="205"/>
      <c r="J117" s="205"/>
      <c r="K117" s="205"/>
      <c r="L117" s="205"/>
      <c r="M117" s="205"/>
      <c r="N117" s="205"/>
    </row>
    <row r="118" spans="1:14" ht="12.75" customHeight="1" x14ac:dyDescent="0.5">
      <c r="A118" s="205"/>
      <c r="B118" s="205"/>
      <c r="C118" s="205"/>
      <c r="D118" s="205"/>
      <c r="E118" s="205"/>
      <c r="F118" s="205"/>
      <c r="G118" s="205"/>
      <c r="H118" s="205"/>
      <c r="I118" s="205"/>
      <c r="J118" s="205"/>
      <c r="K118" s="205"/>
      <c r="L118" s="205"/>
      <c r="M118" s="205"/>
      <c r="N118" s="205"/>
    </row>
    <row r="119" spans="1:14" ht="12.75" customHeight="1" x14ac:dyDescent="0.5">
      <c r="A119" s="205"/>
      <c r="B119" s="205"/>
      <c r="C119" s="205"/>
      <c r="D119" s="205"/>
      <c r="E119" s="205"/>
      <c r="F119" s="205"/>
      <c r="G119" s="205"/>
      <c r="H119" s="205"/>
      <c r="I119" s="205"/>
      <c r="J119" s="205"/>
      <c r="K119" s="205"/>
      <c r="L119" s="205"/>
      <c r="M119" s="205"/>
      <c r="N119" s="205"/>
    </row>
    <row r="120" spans="1:14" ht="12.75" customHeight="1" x14ac:dyDescent="0.5">
      <c r="A120" s="205"/>
      <c r="B120" s="205"/>
      <c r="C120" s="205"/>
      <c r="D120" s="205"/>
      <c r="E120" s="205"/>
      <c r="F120" s="205"/>
      <c r="G120" s="205"/>
      <c r="H120" s="205"/>
      <c r="I120" s="205"/>
      <c r="J120" s="205"/>
      <c r="K120" s="205"/>
      <c r="L120" s="205"/>
      <c r="M120" s="205"/>
      <c r="N120" s="205"/>
    </row>
    <row r="121" spans="1:14" ht="12.75" customHeight="1" x14ac:dyDescent="0.5">
      <c r="A121" s="205"/>
      <c r="B121" s="205"/>
      <c r="C121" s="205"/>
      <c r="D121" s="205"/>
      <c r="E121" s="205"/>
      <c r="F121" s="205"/>
      <c r="G121" s="205"/>
      <c r="H121" s="205"/>
      <c r="I121" s="205"/>
      <c r="J121" s="205"/>
      <c r="K121" s="205"/>
      <c r="L121" s="205"/>
      <c r="M121" s="205"/>
      <c r="N121" s="205"/>
    </row>
    <row r="122" spans="1:14" ht="12.75" customHeight="1" x14ac:dyDescent="0.5">
      <c r="A122" s="205"/>
      <c r="B122" s="205"/>
      <c r="C122" s="205"/>
      <c r="D122" s="205"/>
      <c r="E122" s="205"/>
      <c r="F122" s="205"/>
      <c r="G122" s="205"/>
      <c r="H122" s="205"/>
      <c r="I122" s="205"/>
      <c r="J122" s="205"/>
      <c r="K122" s="205"/>
      <c r="L122" s="205"/>
      <c r="M122" s="205"/>
      <c r="N122" s="205"/>
    </row>
    <row r="123" spans="1:14" ht="12.75" customHeight="1" x14ac:dyDescent="0.5">
      <c r="A123" s="205"/>
      <c r="B123" s="205"/>
      <c r="C123" s="205"/>
      <c r="D123" s="205"/>
      <c r="E123" s="205"/>
      <c r="F123" s="205"/>
      <c r="G123" s="205"/>
      <c r="H123" s="205"/>
      <c r="I123" s="205"/>
      <c r="J123" s="205"/>
      <c r="K123" s="205"/>
      <c r="L123" s="205"/>
      <c r="M123" s="205"/>
      <c r="N123" s="205"/>
    </row>
    <row r="124" spans="1:14" ht="12.75" customHeight="1" x14ac:dyDescent="0.5">
      <c r="A124" s="205"/>
      <c r="B124" s="205"/>
      <c r="C124" s="205"/>
      <c r="D124" s="205"/>
      <c r="E124" s="205"/>
      <c r="F124" s="205"/>
      <c r="G124" s="205"/>
      <c r="H124" s="205"/>
      <c r="I124" s="205"/>
      <c r="J124" s="205"/>
      <c r="K124" s="205"/>
      <c r="L124" s="205"/>
      <c r="M124" s="205"/>
      <c r="N124" s="205"/>
    </row>
    <row r="125" spans="1:14" ht="12.75" customHeight="1" x14ac:dyDescent="0.5">
      <c r="A125" s="205"/>
      <c r="B125" s="205"/>
      <c r="C125" s="205"/>
      <c r="D125" s="205"/>
      <c r="E125" s="205"/>
      <c r="F125" s="205"/>
      <c r="G125" s="205"/>
      <c r="H125" s="205"/>
      <c r="I125" s="205"/>
      <c r="J125" s="205"/>
      <c r="K125" s="205"/>
      <c r="L125" s="205"/>
      <c r="M125" s="205"/>
      <c r="N125" s="205"/>
    </row>
    <row r="126" spans="1:14" ht="12.75" customHeight="1" x14ac:dyDescent="0.5">
      <c r="A126" s="205"/>
      <c r="B126" s="205"/>
      <c r="C126" s="205"/>
      <c r="D126" s="205"/>
      <c r="E126" s="205"/>
      <c r="F126" s="205"/>
      <c r="G126" s="205"/>
      <c r="H126" s="205"/>
      <c r="I126" s="205"/>
      <c r="J126" s="205"/>
      <c r="K126" s="205"/>
      <c r="L126" s="205"/>
      <c r="M126" s="205"/>
      <c r="N126" s="205"/>
    </row>
    <row r="127" spans="1:14" ht="12.75" customHeight="1" x14ac:dyDescent="0.5">
      <c r="A127" s="205"/>
      <c r="B127" s="205"/>
      <c r="C127" s="205"/>
      <c r="D127" s="205"/>
      <c r="E127" s="205"/>
      <c r="F127" s="205"/>
      <c r="G127" s="205"/>
      <c r="H127" s="205"/>
      <c r="I127" s="205"/>
      <c r="J127" s="205"/>
      <c r="K127" s="205"/>
      <c r="L127" s="205"/>
      <c r="M127" s="205"/>
      <c r="N127" s="205"/>
    </row>
    <row r="128" spans="1:14" ht="12.75" customHeight="1" x14ac:dyDescent="0.5">
      <c r="A128" s="205"/>
      <c r="B128" s="205"/>
      <c r="C128" s="205"/>
      <c r="D128" s="205"/>
      <c r="E128" s="205"/>
      <c r="F128" s="205"/>
      <c r="G128" s="205"/>
      <c r="H128" s="205"/>
      <c r="I128" s="205"/>
      <c r="J128" s="205"/>
      <c r="K128" s="205"/>
      <c r="L128" s="205"/>
      <c r="M128" s="205"/>
      <c r="N128" s="205"/>
    </row>
    <row r="129" spans="1:14" ht="12.75" customHeight="1" x14ac:dyDescent="0.5">
      <c r="A129" s="205"/>
      <c r="B129" s="205"/>
      <c r="C129" s="205"/>
      <c r="D129" s="205"/>
      <c r="E129" s="205"/>
      <c r="F129" s="205"/>
      <c r="G129" s="205"/>
      <c r="H129" s="205"/>
      <c r="I129" s="205"/>
      <c r="J129" s="205"/>
      <c r="K129" s="205"/>
      <c r="L129" s="205"/>
      <c r="M129" s="205"/>
      <c r="N129" s="205"/>
    </row>
    <row r="130" spans="1:14" ht="12.75" customHeight="1" x14ac:dyDescent="0.5">
      <c r="A130" s="205"/>
      <c r="B130" s="205"/>
      <c r="C130" s="205"/>
      <c r="D130" s="205"/>
      <c r="E130" s="205"/>
      <c r="F130" s="205"/>
      <c r="G130" s="205"/>
      <c r="H130" s="205"/>
      <c r="I130" s="205"/>
      <c r="J130" s="205"/>
      <c r="K130" s="205"/>
      <c r="L130" s="205"/>
      <c r="M130" s="205"/>
      <c r="N130" s="205"/>
    </row>
    <row r="131" spans="1:14" ht="12.75" customHeight="1" x14ac:dyDescent="0.5">
      <c r="A131" s="205"/>
      <c r="B131" s="205"/>
      <c r="C131" s="205"/>
      <c r="D131" s="205"/>
      <c r="E131" s="205"/>
      <c r="F131" s="205"/>
      <c r="G131" s="205"/>
      <c r="H131" s="205"/>
      <c r="I131" s="205"/>
      <c r="J131" s="205"/>
      <c r="K131" s="205"/>
      <c r="L131" s="205"/>
      <c r="M131" s="205"/>
      <c r="N131" s="205"/>
    </row>
    <row r="132" spans="1:14" ht="12.75" customHeight="1" x14ac:dyDescent="0.5">
      <c r="A132" s="205"/>
      <c r="B132" s="205"/>
      <c r="C132" s="205"/>
      <c r="D132" s="205"/>
      <c r="E132" s="205"/>
      <c r="F132" s="205"/>
      <c r="G132" s="205"/>
      <c r="H132" s="205"/>
      <c r="I132" s="205"/>
      <c r="J132" s="205"/>
      <c r="K132" s="205"/>
      <c r="L132" s="205"/>
      <c r="M132" s="205"/>
      <c r="N132" s="205"/>
    </row>
    <row r="133" spans="1:14" ht="12.75" customHeight="1" x14ac:dyDescent="0.5">
      <c r="A133" s="205"/>
      <c r="B133" s="205"/>
      <c r="C133" s="205"/>
      <c r="D133" s="205"/>
      <c r="E133" s="205"/>
      <c r="F133" s="205"/>
      <c r="G133" s="205"/>
      <c r="H133" s="205"/>
      <c r="I133" s="205"/>
      <c r="J133" s="205"/>
      <c r="K133" s="205"/>
      <c r="L133" s="205"/>
      <c r="M133" s="205"/>
      <c r="N133" s="205"/>
    </row>
    <row r="134" spans="1:14" ht="12.75" customHeight="1" x14ac:dyDescent="0.5">
      <c r="A134" s="205"/>
      <c r="B134" s="205"/>
      <c r="C134" s="205"/>
      <c r="D134" s="205"/>
      <c r="E134" s="205"/>
      <c r="F134" s="205"/>
      <c r="G134" s="205"/>
      <c r="H134" s="205"/>
      <c r="I134" s="205"/>
      <c r="J134" s="205"/>
      <c r="K134" s="205"/>
      <c r="L134" s="205"/>
      <c r="M134" s="205"/>
      <c r="N134" s="205"/>
    </row>
    <row r="135" spans="1:14" ht="12.75" customHeight="1" x14ac:dyDescent="0.5">
      <c r="A135" s="205"/>
      <c r="B135" s="205"/>
      <c r="C135" s="205"/>
      <c r="D135" s="205"/>
      <c r="E135" s="205"/>
      <c r="F135" s="205"/>
      <c r="G135" s="205"/>
      <c r="H135" s="205"/>
      <c r="I135" s="205"/>
      <c r="J135" s="205"/>
      <c r="K135" s="205"/>
      <c r="L135" s="205"/>
      <c r="M135" s="205"/>
      <c r="N135" s="205"/>
    </row>
    <row r="136" spans="1:14" ht="12.75" customHeight="1" x14ac:dyDescent="0.5">
      <c r="A136" s="205"/>
      <c r="B136" s="205"/>
      <c r="C136" s="205"/>
      <c r="D136" s="205"/>
      <c r="E136" s="205"/>
      <c r="F136" s="205"/>
      <c r="G136" s="205"/>
      <c r="H136" s="205"/>
      <c r="I136" s="205"/>
      <c r="J136" s="205"/>
      <c r="K136" s="205"/>
      <c r="L136" s="205"/>
      <c r="M136" s="205"/>
      <c r="N136" s="205"/>
    </row>
    <row r="137" spans="1:14" ht="12.75" customHeight="1" x14ac:dyDescent="0.5">
      <c r="A137" s="205"/>
      <c r="B137" s="205"/>
      <c r="C137" s="205"/>
      <c r="D137" s="205"/>
      <c r="E137" s="205"/>
      <c r="F137" s="205"/>
      <c r="G137" s="205"/>
      <c r="H137" s="205"/>
      <c r="I137" s="205"/>
      <c r="J137" s="205"/>
      <c r="K137" s="205"/>
      <c r="L137" s="205"/>
      <c r="M137" s="205"/>
      <c r="N137" s="205"/>
    </row>
    <row r="138" spans="1:14" ht="12.75" customHeight="1" x14ac:dyDescent="0.5">
      <c r="A138" s="205"/>
      <c r="B138" s="205"/>
      <c r="C138" s="205"/>
      <c r="D138" s="205"/>
      <c r="E138" s="205"/>
      <c r="F138" s="205"/>
      <c r="G138" s="205"/>
      <c r="H138" s="205"/>
      <c r="I138" s="205"/>
      <c r="J138" s="205"/>
      <c r="K138" s="205"/>
      <c r="L138" s="205"/>
      <c r="M138" s="205"/>
      <c r="N138" s="205"/>
    </row>
    <row r="139" spans="1:14" ht="12.75" customHeight="1" x14ac:dyDescent="0.5">
      <c r="A139" s="205"/>
      <c r="B139" s="205"/>
      <c r="C139" s="205"/>
      <c r="D139" s="205"/>
      <c r="E139" s="205"/>
      <c r="F139" s="205"/>
      <c r="G139" s="205"/>
      <c r="H139" s="205"/>
      <c r="I139" s="205"/>
      <c r="J139" s="205"/>
      <c r="K139" s="205"/>
      <c r="L139" s="205"/>
      <c r="M139" s="205"/>
      <c r="N139" s="205"/>
    </row>
    <row r="140" spans="1:14" ht="12.75" customHeight="1" x14ac:dyDescent="0.5">
      <c r="A140" s="205"/>
      <c r="B140" s="205"/>
      <c r="C140" s="205"/>
      <c r="D140" s="205"/>
      <c r="E140" s="205"/>
      <c r="F140" s="205"/>
      <c r="G140" s="205"/>
      <c r="H140" s="205"/>
      <c r="I140" s="205"/>
      <c r="J140" s="205"/>
      <c r="K140" s="205"/>
      <c r="L140" s="205"/>
      <c r="M140" s="205"/>
      <c r="N140" s="205"/>
    </row>
    <row r="141" spans="1:14" ht="12.75" customHeight="1" x14ac:dyDescent="0.5">
      <c r="A141" s="205"/>
      <c r="B141" s="205"/>
      <c r="C141" s="205"/>
      <c r="D141" s="205"/>
      <c r="E141" s="205"/>
      <c r="F141" s="205"/>
      <c r="G141" s="205"/>
      <c r="H141" s="205"/>
      <c r="I141" s="205"/>
      <c r="J141" s="205"/>
      <c r="K141" s="205"/>
      <c r="L141" s="205"/>
      <c r="M141" s="205"/>
      <c r="N141" s="205"/>
    </row>
    <row r="142" spans="1:14" ht="12.75" customHeight="1" x14ac:dyDescent="0.5">
      <c r="A142" s="205"/>
      <c r="B142" s="205"/>
      <c r="C142" s="205"/>
      <c r="D142" s="205"/>
      <c r="E142" s="205"/>
      <c r="F142" s="205"/>
      <c r="G142" s="205"/>
      <c r="H142" s="205"/>
      <c r="I142" s="205"/>
      <c r="J142" s="205"/>
      <c r="K142" s="205"/>
      <c r="L142" s="205"/>
      <c r="M142" s="205"/>
      <c r="N142" s="205"/>
    </row>
    <row r="143" spans="1:14" ht="12.75" customHeight="1" x14ac:dyDescent="0.5">
      <c r="A143" s="205"/>
      <c r="B143" s="205"/>
      <c r="C143" s="205"/>
      <c r="D143" s="205"/>
      <c r="E143" s="205"/>
      <c r="F143" s="205"/>
      <c r="G143" s="205"/>
      <c r="H143" s="205"/>
      <c r="I143" s="205"/>
      <c r="J143" s="205"/>
      <c r="K143" s="205"/>
      <c r="L143" s="205"/>
      <c r="M143" s="205"/>
      <c r="N143" s="205"/>
    </row>
    <row r="144" spans="1:14" ht="12.75" customHeight="1" x14ac:dyDescent="0.5">
      <c r="A144" s="205"/>
      <c r="B144" s="205"/>
      <c r="C144" s="205"/>
      <c r="D144" s="205"/>
      <c r="E144" s="205"/>
      <c r="F144" s="205"/>
      <c r="G144" s="205"/>
      <c r="H144" s="205"/>
      <c r="I144" s="205"/>
      <c r="J144" s="205"/>
      <c r="K144" s="205"/>
      <c r="L144" s="205"/>
      <c r="M144" s="205"/>
      <c r="N144" s="205"/>
    </row>
  </sheetData>
  <mergeCells count="32">
    <mergeCell ref="A70:J70"/>
    <mergeCell ref="L70:R70"/>
    <mergeCell ref="T70:Z70"/>
    <mergeCell ref="A1:J1"/>
    <mergeCell ref="A9:B9"/>
    <mergeCell ref="A7:B7"/>
    <mergeCell ref="C7:F7"/>
    <mergeCell ref="A8:B8"/>
    <mergeCell ref="C8:F8"/>
    <mergeCell ref="A5:B5"/>
    <mergeCell ref="C5:F5"/>
    <mergeCell ref="A6:B6"/>
    <mergeCell ref="C6:F6"/>
    <mergeCell ref="A3:K3"/>
    <mergeCell ref="C9:I9"/>
    <mergeCell ref="T11:Z11"/>
    <mergeCell ref="T51:Z51"/>
    <mergeCell ref="D52:F52"/>
    <mergeCell ref="L11:R11"/>
    <mergeCell ref="A11:J11"/>
    <mergeCell ref="A51:J51"/>
    <mergeCell ref="L51:R51"/>
    <mergeCell ref="D12:F12"/>
    <mergeCell ref="A31:J31"/>
    <mergeCell ref="L31:R31"/>
    <mergeCell ref="T31:Z31"/>
    <mergeCell ref="D32:F32"/>
    <mergeCell ref="D71:F71"/>
    <mergeCell ref="A91:J91"/>
    <mergeCell ref="L91:R91"/>
    <mergeCell ref="T91:Z91"/>
    <mergeCell ref="D92:F92"/>
  </mergeCells>
  <conditionalFormatting sqref="D14:F16">
    <cfRule type="dataBar" priority="284">
      <dataBar>
        <cfvo type="num" val="0"/>
        <cfvo type="num" val="1"/>
        <color theme="5" tint="0.39997558519241921"/>
      </dataBar>
    </cfRule>
  </conditionalFormatting>
  <conditionalFormatting sqref="D17:F19">
    <cfRule type="dataBar" priority="151">
      <dataBar>
        <cfvo type="num" val="0"/>
        <cfvo type="num" val="1"/>
        <color theme="6" tint="0.39997558519241921"/>
      </dataBar>
    </cfRule>
  </conditionalFormatting>
  <conditionalFormatting sqref="D20:F22">
    <cfRule type="dataBar" priority="150">
      <dataBar>
        <cfvo type="num" val="0"/>
        <cfvo type="num" val="1"/>
        <color theme="7" tint="0.39997558519241921"/>
      </dataBar>
    </cfRule>
  </conditionalFormatting>
  <conditionalFormatting sqref="D23:F23">
    <cfRule type="dataBar" priority="13">
      <dataBar>
        <cfvo type="num" val="0"/>
        <cfvo type="num" val="1"/>
        <color theme="8" tint="0.39997558519241921"/>
      </dataBar>
    </cfRule>
  </conditionalFormatting>
  <conditionalFormatting sqref="D23:F25">
    <cfRule type="dataBar" priority="12">
      <dataBar>
        <cfvo type="num" val="0"/>
        <cfvo type="num" val="1"/>
        <color rgb="FFB18192"/>
      </dataBar>
    </cfRule>
  </conditionalFormatting>
  <conditionalFormatting sqref="D25:F25">
    <cfRule type="dataBar" priority="11">
      <dataBar>
        <cfvo type="num" val="0"/>
        <cfvo type="num" val="1"/>
        <color theme="8" tint="0.39997558519241921"/>
      </dataBar>
    </cfRule>
  </conditionalFormatting>
  <conditionalFormatting sqref="D26:F28">
    <cfRule type="dataBar" priority="33">
      <dataBar>
        <cfvo type="num" val="0"/>
        <cfvo type="num" val="3"/>
        <color rgb="FF929A9A"/>
      </dataBar>
    </cfRule>
  </conditionalFormatting>
  <conditionalFormatting sqref="D34:F35">
    <cfRule type="dataBar" priority="147">
      <dataBar>
        <cfvo type="num" val="0"/>
        <cfvo type="num" val="1"/>
        <color theme="5" tint="0.39997558519241921"/>
      </dataBar>
    </cfRule>
  </conditionalFormatting>
  <conditionalFormatting sqref="D36:F36">
    <cfRule type="dataBar" priority="144">
      <dataBar>
        <cfvo type="num" val="0"/>
        <cfvo type="num" val="1"/>
        <color theme="5" tint="0.39997558519241921"/>
      </dataBar>
    </cfRule>
  </conditionalFormatting>
  <conditionalFormatting sqref="D37:F39">
    <cfRule type="dataBar" priority="121">
      <dataBar>
        <cfvo type="num" val="0"/>
        <cfvo type="num" val="1"/>
        <color theme="6" tint="0.39997558519241921"/>
      </dataBar>
    </cfRule>
  </conditionalFormatting>
  <conditionalFormatting sqref="D40:F42">
    <cfRule type="dataBar" priority="122">
      <dataBar>
        <cfvo type="num" val="0"/>
        <cfvo type="num" val="1"/>
        <color theme="7" tint="0.39997558519241921"/>
      </dataBar>
    </cfRule>
  </conditionalFormatting>
  <conditionalFormatting sqref="D43:F43">
    <cfRule type="dataBar" priority="16">
      <dataBar>
        <cfvo type="num" val="0"/>
        <cfvo type="num" val="1"/>
        <color theme="8" tint="0.39997558519241921"/>
      </dataBar>
    </cfRule>
  </conditionalFormatting>
  <conditionalFormatting sqref="D43:F45">
    <cfRule type="dataBar" priority="15">
      <dataBar>
        <cfvo type="num" val="0"/>
        <cfvo type="num" val="1"/>
        <color rgb="FFB18192"/>
      </dataBar>
    </cfRule>
  </conditionalFormatting>
  <conditionalFormatting sqref="D45:F45">
    <cfRule type="dataBar" priority="14">
      <dataBar>
        <cfvo type="num" val="0"/>
        <cfvo type="num" val="1"/>
        <color theme="8" tint="0.39997558519241921"/>
      </dataBar>
    </cfRule>
  </conditionalFormatting>
  <conditionalFormatting sqref="D46:F48">
    <cfRule type="dataBar" priority="32">
      <dataBar>
        <cfvo type="num" val="0"/>
        <cfvo type="num" val="3"/>
        <color rgb="FF929A9A"/>
      </dataBar>
    </cfRule>
  </conditionalFormatting>
  <conditionalFormatting sqref="D54:F55">
    <cfRule type="dataBar" priority="87">
      <dataBar>
        <cfvo type="num" val="0"/>
        <cfvo type="num" val="1"/>
        <color theme="5" tint="0.39997558519241921"/>
      </dataBar>
    </cfRule>
  </conditionalFormatting>
  <conditionalFormatting sqref="D56:F56">
    <cfRule type="dataBar" priority="81">
      <dataBar>
        <cfvo type="num" val="0"/>
        <cfvo type="num" val="1"/>
        <color theme="5" tint="0.39997558519241921"/>
      </dataBar>
    </cfRule>
  </conditionalFormatting>
  <conditionalFormatting sqref="D57:F59">
    <cfRule type="dataBar" priority="82">
      <dataBar>
        <cfvo type="num" val="0"/>
        <cfvo type="num" val="1"/>
        <color theme="6" tint="0.39997558519241921"/>
      </dataBar>
    </cfRule>
  </conditionalFormatting>
  <conditionalFormatting sqref="D60:F62">
    <cfRule type="dataBar" priority="83">
      <dataBar>
        <cfvo type="num" val="0"/>
        <cfvo type="num" val="1"/>
        <color theme="7" tint="0.39997558519241921"/>
      </dataBar>
    </cfRule>
  </conditionalFormatting>
  <conditionalFormatting sqref="D63:F63">
    <cfRule type="dataBar" priority="19">
      <dataBar>
        <cfvo type="num" val="0"/>
        <cfvo type="num" val="1"/>
        <color theme="8" tint="0.39997558519241921"/>
      </dataBar>
    </cfRule>
  </conditionalFormatting>
  <conditionalFormatting sqref="D63:F65">
    <cfRule type="dataBar" priority="18">
      <dataBar>
        <cfvo type="num" val="0"/>
        <cfvo type="num" val="1"/>
        <color rgb="FFB18192"/>
      </dataBar>
    </cfRule>
  </conditionalFormatting>
  <conditionalFormatting sqref="D65:F65">
    <cfRule type="dataBar" priority="17">
      <dataBar>
        <cfvo type="num" val="0"/>
        <cfvo type="num" val="1"/>
        <color theme="8" tint="0.39997558519241921"/>
      </dataBar>
    </cfRule>
  </conditionalFormatting>
  <conditionalFormatting sqref="D66:F68">
    <cfRule type="dataBar" priority="28">
      <dataBar>
        <cfvo type="num" val="0"/>
        <cfvo type="num" val="3"/>
        <color rgb="FF929A9A"/>
      </dataBar>
    </cfRule>
  </conditionalFormatting>
  <conditionalFormatting sqref="D73:F74">
    <cfRule type="dataBar" priority="114">
      <dataBar>
        <cfvo type="num" val="0"/>
        <cfvo type="num" val="1"/>
        <color theme="5" tint="0.39997558519241921"/>
      </dataBar>
    </cfRule>
  </conditionalFormatting>
  <conditionalFormatting sqref="D75:F75">
    <cfRule type="dataBar" priority="80">
      <dataBar>
        <cfvo type="num" val="0"/>
        <cfvo type="num" val="1"/>
        <color theme="5" tint="0.39997558519241921"/>
      </dataBar>
    </cfRule>
  </conditionalFormatting>
  <conditionalFormatting sqref="D76:F76">
    <cfRule type="dataBar" priority="78">
      <dataBar>
        <cfvo type="num" val="0"/>
        <cfvo type="num" val="1"/>
        <color theme="6" tint="0.39997558519241921"/>
      </dataBar>
    </cfRule>
  </conditionalFormatting>
  <conditionalFormatting sqref="D77:F77">
    <cfRule type="dataBar" priority="77">
      <dataBar>
        <cfvo type="num" val="0"/>
        <cfvo type="num" val="1"/>
        <color theme="6" tint="0.39997558519241921"/>
      </dataBar>
    </cfRule>
  </conditionalFormatting>
  <conditionalFormatting sqref="D78:F78">
    <cfRule type="dataBar" priority="76">
      <dataBar>
        <cfvo type="num" val="0"/>
        <cfvo type="num" val="1"/>
        <color theme="6" tint="0.39997558519241921"/>
      </dataBar>
    </cfRule>
  </conditionalFormatting>
  <conditionalFormatting sqref="D79:F79">
    <cfRule type="dataBar" priority="74">
      <dataBar>
        <cfvo type="num" val="0"/>
        <cfvo type="num" val="1"/>
        <color theme="7" tint="0.39997558519241921"/>
      </dataBar>
    </cfRule>
  </conditionalFormatting>
  <conditionalFormatting sqref="D80:F80">
    <cfRule type="dataBar" priority="73">
      <dataBar>
        <cfvo type="num" val="0"/>
        <cfvo type="num" val="1"/>
        <color theme="7" tint="0.39997558519241921"/>
      </dataBar>
    </cfRule>
  </conditionalFormatting>
  <conditionalFormatting sqref="D81:F81">
    <cfRule type="dataBar" priority="72">
      <dataBar>
        <cfvo type="num" val="0"/>
        <cfvo type="num" val="1"/>
        <color theme="7" tint="0.39997558519241921"/>
      </dataBar>
    </cfRule>
  </conditionalFormatting>
  <conditionalFormatting sqref="D82:F82">
    <cfRule type="dataBar" priority="22">
      <dataBar>
        <cfvo type="num" val="0"/>
        <cfvo type="num" val="1"/>
        <color theme="8" tint="0.39997558519241921"/>
      </dataBar>
    </cfRule>
  </conditionalFormatting>
  <conditionalFormatting sqref="D82:F84">
    <cfRule type="dataBar" priority="21">
      <dataBar>
        <cfvo type="num" val="0"/>
        <cfvo type="num" val="1"/>
        <color rgb="FFB18192"/>
      </dataBar>
    </cfRule>
  </conditionalFormatting>
  <conditionalFormatting sqref="D84:F84">
    <cfRule type="dataBar" priority="20">
      <dataBar>
        <cfvo type="num" val="0"/>
        <cfvo type="num" val="1"/>
        <color theme="8" tint="0.39997558519241921"/>
      </dataBar>
    </cfRule>
  </conditionalFormatting>
  <conditionalFormatting sqref="D85:F87">
    <cfRule type="dataBar" priority="27">
      <dataBar>
        <cfvo type="num" val="0"/>
        <cfvo type="num" val="3"/>
        <color rgb="FF929A9A"/>
      </dataBar>
    </cfRule>
  </conditionalFormatting>
  <conditionalFormatting sqref="D94:F95">
    <cfRule type="dataBar" priority="108">
      <dataBar>
        <cfvo type="num" val="0"/>
        <cfvo type="num" val="1"/>
        <color theme="5" tint="0.39997558519241921"/>
      </dataBar>
    </cfRule>
  </conditionalFormatting>
  <conditionalFormatting sqref="D96:F96">
    <cfRule type="dataBar" priority="55">
      <dataBar>
        <cfvo type="num" val="0"/>
        <cfvo type="num" val="1"/>
        <color theme="5" tint="0.39997558519241921"/>
      </dataBar>
    </cfRule>
  </conditionalFormatting>
  <conditionalFormatting sqref="D97:F97">
    <cfRule type="dataBar" priority="53">
      <dataBar>
        <cfvo type="num" val="0"/>
        <cfvo type="num" val="1"/>
        <color theme="6" tint="0.39997558519241921"/>
      </dataBar>
    </cfRule>
  </conditionalFormatting>
  <conditionalFormatting sqref="D98:F98">
    <cfRule type="dataBar" priority="52">
      <dataBar>
        <cfvo type="num" val="0"/>
        <cfvo type="num" val="1"/>
        <color theme="6" tint="0.39997558519241921"/>
      </dataBar>
    </cfRule>
  </conditionalFormatting>
  <conditionalFormatting sqref="D99:F99">
    <cfRule type="dataBar" priority="51">
      <dataBar>
        <cfvo type="num" val="0"/>
        <cfvo type="num" val="1"/>
        <color theme="6" tint="0.39997558519241921"/>
      </dataBar>
    </cfRule>
  </conditionalFormatting>
  <conditionalFormatting sqref="D100:F100">
    <cfRule type="dataBar" priority="49">
      <dataBar>
        <cfvo type="num" val="0"/>
        <cfvo type="num" val="1"/>
        <color theme="7" tint="0.39997558519241921"/>
      </dataBar>
    </cfRule>
  </conditionalFormatting>
  <conditionalFormatting sqref="D101:F101">
    <cfRule type="dataBar" priority="48">
      <dataBar>
        <cfvo type="num" val="0"/>
        <cfvo type="num" val="1"/>
        <color theme="7" tint="0.39997558519241921"/>
      </dataBar>
    </cfRule>
  </conditionalFormatting>
  <conditionalFormatting sqref="D102:F102">
    <cfRule type="dataBar" priority="47">
      <dataBar>
        <cfvo type="num" val="0"/>
        <cfvo type="num" val="1"/>
        <color theme="7" tint="0.39997558519241921"/>
      </dataBar>
    </cfRule>
  </conditionalFormatting>
  <conditionalFormatting sqref="D103:F103">
    <cfRule type="dataBar" priority="45">
      <dataBar>
        <cfvo type="num" val="0"/>
        <cfvo type="num" val="1"/>
        <color theme="8" tint="0.39997558519241921"/>
      </dataBar>
    </cfRule>
  </conditionalFormatting>
  <conditionalFormatting sqref="D103:F105">
    <cfRule type="dataBar" priority="44">
      <dataBar>
        <cfvo type="num" val="0"/>
        <cfvo type="num" val="1"/>
        <color rgb="FFB18192"/>
      </dataBar>
    </cfRule>
  </conditionalFormatting>
  <conditionalFormatting sqref="D105:F105">
    <cfRule type="dataBar" priority="43">
      <dataBar>
        <cfvo type="num" val="0"/>
        <cfvo type="num" val="1"/>
        <color theme="8" tint="0.39997558519241921"/>
      </dataBar>
    </cfRule>
  </conditionalFormatting>
  <conditionalFormatting sqref="D106:F108">
    <cfRule type="dataBar" priority="23">
      <dataBar>
        <cfvo type="num" val="0"/>
        <cfvo type="num" val="3"/>
        <color rgb="FF929A9A"/>
      </dataBar>
    </cfRule>
  </conditionalFormatting>
  <conditionalFormatting sqref="J14">
    <cfRule type="dataBar" priority="211">
      <dataBar>
        <cfvo type="num" val="0"/>
        <cfvo type="num" val="3"/>
        <color theme="5" tint="0.39997558519241921"/>
      </dataBar>
    </cfRule>
  </conditionalFormatting>
  <conditionalFormatting sqref="J15">
    <cfRule type="dataBar" priority="210">
      <dataBar>
        <cfvo type="num" val="0"/>
        <cfvo type="num" val="3"/>
        <color theme="6" tint="0.39997558519241921"/>
      </dataBar>
    </cfRule>
  </conditionalFormatting>
  <conditionalFormatting sqref="J16">
    <cfRule type="dataBar" priority="152">
      <dataBar>
        <cfvo type="num" val="0"/>
        <cfvo type="num" val="3"/>
        <color theme="7" tint="0.39997558519241921"/>
      </dataBar>
    </cfRule>
  </conditionalFormatting>
  <conditionalFormatting sqref="J17">
    <cfRule type="dataBar" priority="9">
      <dataBar>
        <cfvo type="num" val="0"/>
        <cfvo type="num" val="1"/>
        <color rgb="FFB18192"/>
      </dataBar>
    </cfRule>
    <cfRule type="dataBar" priority="10">
      <dataBar>
        <cfvo type="num" val="0"/>
        <cfvo type="num" val="1"/>
        <color theme="8" tint="0.39997558519241921"/>
      </dataBar>
    </cfRule>
  </conditionalFormatting>
  <conditionalFormatting sqref="J18">
    <cfRule type="dataBar" priority="38">
      <dataBar>
        <cfvo type="num" val="0"/>
        <cfvo type="num" val="3"/>
        <color rgb="FF929A9A"/>
      </dataBar>
    </cfRule>
  </conditionalFormatting>
  <conditionalFormatting sqref="J19">
    <cfRule type="dataBar" priority="208">
      <dataBar>
        <cfvo type="num" val="0"/>
        <cfvo type="num" val="3"/>
        <color theme="1" tint="0.499984740745262"/>
      </dataBar>
    </cfRule>
  </conditionalFormatting>
  <conditionalFormatting sqref="J34">
    <cfRule type="dataBar" priority="143">
      <dataBar>
        <cfvo type="num" val="0"/>
        <cfvo type="num" val="3"/>
        <color theme="5" tint="0.39997558519241921"/>
      </dataBar>
    </cfRule>
  </conditionalFormatting>
  <conditionalFormatting sqref="J35">
    <cfRule type="dataBar" priority="142">
      <dataBar>
        <cfvo type="num" val="0"/>
        <cfvo type="num" val="3"/>
        <color theme="6" tint="0.39997558519241921"/>
      </dataBar>
    </cfRule>
  </conditionalFormatting>
  <conditionalFormatting sqref="J36">
    <cfRule type="dataBar" priority="139">
      <dataBar>
        <cfvo type="num" val="0"/>
        <cfvo type="num" val="3"/>
        <color theme="7" tint="0.39997558519241921"/>
      </dataBar>
    </cfRule>
  </conditionalFormatting>
  <conditionalFormatting sqref="J37">
    <cfRule type="dataBar" priority="7">
      <dataBar>
        <cfvo type="num" val="0"/>
        <cfvo type="num" val="1"/>
        <color rgb="FFB18192"/>
      </dataBar>
    </cfRule>
    <cfRule type="dataBar" priority="8">
      <dataBar>
        <cfvo type="num" val="0"/>
        <cfvo type="num" val="1"/>
        <color theme="8" tint="0.39997558519241921"/>
      </dataBar>
    </cfRule>
  </conditionalFormatting>
  <conditionalFormatting sqref="J39">
    <cfRule type="dataBar" priority="30">
      <dataBar>
        <cfvo type="num" val="0"/>
        <cfvo type="num" val="3"/>
        <color theme="1" tint="0.499984740745262"/>
      </dataBar>
    </cfRule>
  </conditionalFormatting>
  <conditionalFormatting sqref="J54">
    <cfRule type="dataBar" priority="102">
      <dataBar>
        <cfvo type="num" val="0"/>
        <cfvo type="num" val="3"/>
        <color theme="5" tint="0.39997558519241921"/>
      </dataBar>
    </cfRule>
  </conditionalFormatting>
  <conditionalFormatting sqref="J55">
    <cfRule type="dataBar" priority="101">
      <dataBar>
        <cfvo type="num" val="0"/>
        <cfvo type="num" val="3"/>
        <color theme="6" tint="0.39997558519241921"/>
      </dataBar>
    </cfRule>
  </conditionalFormatting>
  <conditionalFormatting sqref="J56">
    <cfRule type="dataBar" priority="98">
      <dataBar>
        <cfvo type="num" val="0"/>
        <cfvo type="num" val="3"/>
        <color theme="7" tint="0.39997558519241921"/>
      </dataBar>
    </cfRule>
  </conditionalFormatting>
  <conditionalFormatting sqref="J57">
    <cfRule type="dataBar" priority="5">
      <dataBar>
        <cfvo type="num" val="0"/>
        <cfvo type="num" val="1"/>
        <color rgb="FFB18192"/>
      </dataBar>
    </cfRule>
    <cfRule type="dataBar" priority="6">
      <dataBar>
        <cfvo type="num" val="0"/>
        <cfvo type="num" val="1"/>
        <color theme="8" tint="0.39997558519241921"/>
      </dataBar>
    </cfRule>
  </conditionalFormatting>
  <conditionalFormatting sqref="J58">
    <cfRule type="dataBar" priority="29">
      <dataBar>
        <cfvo type="num" val="0"/>
        <cfvo type="num" val="3"/>
        <color rgb="FF929A9A"/>
      </dataBar>
    </cfRule>
  </conditionalFormatting>
  <conditionalFormatting sqref="J59">
    <cfRule type="dataBar" priority="36">
      <dataBar>
        <cfvo type="num" val="0"/>
        <cfvo type="num" val="3"/>
        <color theme="1" tint="0.499984740745262"/>
      </dataBar>
    </cfRule>
  </conditionalFormatting>
  <conditionalFormatting sqref="J73">
    <cfRule type="dataBar" priority="97">
      <dataBar>
        <cfvo type="num" val="0"/>
        <cfvo type="num" val="3"/>
        <color theme="5" tint="0.39997558519241921"/>
      </dataBar>
    </cfRule>
  </conditionalFormatting>
  <conditionalFormatting sqref="J74">
    <cfRule type="dataBar" priority="96">
      <dataBar>
        <cfvo type="num" val="0"/>
        <cfvo type="num" val="3"/>
        <color theme="6" tint="0.39997558519241921"/>
      </dataBar>
    </cfRule>
  </conditionalFormatting>
  <conditionalFormatting sqref="J75">
    <cfRule type="dataBar" priority="93">
      <dataBar>
        <cfvo type="num" val="0"/>
        <cfvo type="num" val="3"/>
        <color theme="7" tint="0.39997558519241921"/>
      </dataBar>
    </cfRule>
  </conditionalFormatting>
  <conditionalFormatting sqref="J76">
    <cfRule type="dataBar" priority="3">
      <dataBar>
        <cfvo type="num" val="0"/>
        <cfvo type="num" val="1"/>
        <color rgb="FFB18192"/>
      </dataBar>
    </cfRule>
    <cfRule type="dataBar" priority="4">
      <dataBar>
        <cfvo type="num" val="0"/>
        <cfvo type="num" val="1"/>
        <color theme="8" tint="0.39997558519241921"/>
      </dataBar>
    </cfRule>
  </conditionalFormatting>
  <conditionalFormatting sqref="J78">
    <cfRule type="dataBar" priority="25">
      <dataBar>
        <cfvo type="num" val="0"/>
        <cfvo type="num" val="3"/>
        <color theme="1" tint="0.499984740745262"/>
      </dataBar>
    </cfRule>
  </conditionalFormatting>
  <conditionalFormatting sqref="J94">
    <cfRule type="dataBar" priority="92">
      <dataBar>
        <cfvo type="num" val="0"/>
        <cfvo type="num" val="3"/>
        <color theme="5" tint="0.39997558519241921"/>
      </dataBar>
    </cfRule>
  </conditionalFormatting>
  <conditionalFormatting sqref="J95">
    <cfRule type="dataBar" priority="91">
      <dataBar>
        <cfvo type="num" val="0"/>
        <cfvo type="num" val="3"/>
        <color theme="6" tint="0.39997558519241921"/>
      </dataBar>
    </cfRule>
  </conditionalFormatting>
  <conditionalFormatting sqref="J96">
    <cfRule type="dataBar" priority="88">
      <dataBar>
        <cfvo type="num" val="0"/>
        <cfvo type="num" val="3"/>
        <color theme="7" tint="0.39997558519241921"/>
      </dataBar>
    </cfRule>
  </conditionalFormatting>
  <conditionalFormatting sqref="J97">
    <cfRule type="dataBar" priority="1">
      <dataBar>
        <cfvo type="num" val="0"/>
        <cfvo type="num" val="1"/>
        <color rgb="FFB18192"/>
      </dataBar>
    </cfRule>
    <cfRule type="dataBar" priority="2">
      <dataBar>
        <cfvo type="num" val="0"/>
        <cfvo type="num" val="1"/>
        <color theme="8" tint="0.39997558519241921"/>
      </dataBar>
    </cfRule>
  </conditionalFormatting>
  <conditionalFormatting sqref="J98">
    <cfRule type="dataBar" priority="24">
      <dataBar>
        <cfvo type="num" val="0"/>
        <cfvo type="num" val="3"/>
        <color rgb="FF929A9A"/>
      </dataBar>
    </cfRule>
  </conditionalFormatting>
  <conditionalFormatting sqref="J99">
    <cfRule type="dataBar" priority="34">
      <dataBar>
        <cfvo type="num" val="0"/>
        <cfvo type="num" val="3"/>
        <color theme="1" tint="0.499984740745262"/>
      </dataBar>
    </cfRule>
  </conditionalFormatting>
  <conditionalFormatting sqref="L38:L40 J38">
    <cfRule type="dataBar" priority="31">
      <dataBar>
        <cfvo type="num" val="0"/>
        <cfvo type="num" val="3"/>
        <color rgb="FF929A9A"/>
      </dataBar>
    </cfRule>
  </conditionalFormatting>
  <conditionalFormatting sqref="L77:L79 J77">
    <cfRule type="dataBar" priority="26">
      <dataBar>
        <cfvo type="num" val="0"/>
        <cfvo type="num" val="3"/>
        <color rgb="FF929A9A"/>
      </dataBar>
    </cfRule>
  </conditionalFormatting>
  <pageMargins left="0.75" right="0.75" top="1" bottom="1" header="0.5" footer="0.5"/>
  <pageSetup paperSize="9" scale="10" firstPageNumber="0" fitToWidth="0" fitToHeight="0"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54"/>
  <sheetViews>
    <sheetView topLeftCell="U42" zoomScaleNormal="100" workbookViewId="0">
      <selection activeCell="Z71" sqref="Z71"/>
    </sheetView>
  </sheetViews>
  <sheetFormatPr defaultColWidth="8.796875" defaultRowHeight="13.5" x14ac:dyDescent="0.35"/>
  <cols>
    <col min="1" max="1" width="11" style="87" hidden="1" customWidth="1"/>
    <col min="2" max="2" width="15.46484375" style="87" customWidth="1"/>
    <col min="3" max="3" width="7.46484375" style="87" customWidth="1"/>
    <col min="4" max="4" width="71.6640625" style="90" bestFit="1" customWidth="1"/>
    <col min="5" max="5" width="5.1328125" style="91" hidden="1" customWidth="1"/>
    <col min="6" max="6" width="40.46484375" style="92" customWidth="1"/>
    <col min="7" max="7" width="8.46484375" style="87" hidden="1" customWidth="1"/>
    <col min="8" max="8" width="8.46484375" style="93" hidden="1" customWidth="1"/>
    <col min="9" max="9" width="15" style="203" customWidth="1"/>
    <col min="10" max="10" width="40.46484375" style="89" customWidth="1"/>
    <col min="11" max="11" width="7" style="89" hidden="1" customWidth="1"/>
    <col min="12" max="12" width="9.1328125" style="89" hidden="1" customWidth="1"/>
    <col min="13" max="13" width="16.46484375" style="89" customWidth="1"/>
    <col min="14" max="14" width="40.46484375" style="89" customWidth="1"/>
    <col min="15" max="15" width="28.46484375" style="89" hidden="1" customWidth="1"/>
    <col min="16" max="16" width="15" style="89" hidden="1" customWidth="1"/>
    <col min="17" max="17" width="15" style="89" customWidth="1"/>
    <col min="18" max="18" width="40.46484375" style="89" customWidth="1"/>
    <col min="19" max="20" width="15" style="89" hidden="1" customWidth="1"/>
    <col min="21" max="21" width="15" style="89" customWidth="1"/>
    <col min="22" max="22" width="40.46484375" style="89" customWidth="1"/>
    <col min="23" max="24" width="15" style="89" hidden="1" customWidth="1"/>
    <col min="25" max="25" width="15" style="89" customWidth="1"/>
    <col min="26" max="26" width="17.46484375" style="89" customWidth="1"/>
    <col min="27" max="27" width="8.796875" style="89" customWidth="1"/>
    <col min="28" max="16384" width="8.796875" style="89"/>
  </cols>
  <sheetData>
    <row r="1" spans="1:26" ht="18" customHeight="1" x14ac:dyDescent="0.35">
      <c r="B1" s="254" t="str">
        <f>CONCATENATE("SAMM Assessment Interview: ",D11," For ",D10)</f>
        <v xml:space="preserve">SAMM Assessment Interview:  For </v>
      </c>
      <c r="C1" s="88"/>
      <c r="D1" s="255"/>
      <c r="E1" s="255"/>
      <c r="F1" s="255"/>
      <c r="G1" s="255"/>
      <c r="H1" s="255"/>
      <c r="I1" s="94"/>
      <c r="J1" s="95"/>
      <c r="K1" s="95"/>
      <c r="L1" s="95"/>
      <c r="M1" s="95"/>
      <c r="N1" s="95"/>
      <c r="O1" s="95"/>
      <c r="P1" s="95"/>
      <c r="Q1" s="95"/>
      <c r="R1" s="95"/>
      <c r="S1" s="95"/>
      <c r="T1" s="95"/>
      <c r="U1" s="95"/>
      <c r="V1" s="95"/>
      <c r="W1" s="95"/>
      <c r="X1" s="95"/>
      <c r="Y1" s="95"/>
    </row>
    <row r="2" spans="1:26" ht="15" customHeight="1" thickBot="1" x14ac:dyDescent="0.4">
      <c r="B2" s="256"/>
      <c r="C2" s="96"/>
      <c r="D2" s="95"/>
      <c r="E2" s="96"/>
      <c r="F2" s="88"/>
      <c r="G2" s="96"/>
      <c r="H2" s="97"/>
      <c r="I2" s="94"/>
      <c r="J2" s="95"/>
      <c r="K2" s="95"/>
      <c r="L2" s="95"/>
      <c r="M2" s="95"/>
      <c r="N2" s="95"/>
      <c r="O2" s="95"/>
      <c r="P2" s="95"/>
      <c r="Q2" s="95"/>
      <c r="R2" s="95"/>
      <c r="S2" s="95"/>
      <c r="T2" s="95"/>
      <c r="U2" s="95"/>
      <c r="V2" s="95"/>
      <c r="W2" s="95"/>
      <c r="X2" s="95"/>
      <c r="Y2" s="95"/>
    </row>
    <row r="3" spans="1:26" x14ac:dyDescent="0.35">
      <c r="B3" s="257" t="s">
        <v>0</v>
      </c>
      <c r="C3" s="228"/>
      <c r="D3" s="258"/>
      <c r="E3" s="258"/>
      <c r="F3" s="259"/>
      <c r="G3" s="255"/>
      <c r="H3" s="255"/>
      <c r="I3" s="94"/>
      <c r="J3" s="95"/>
      <c r="K3" s="95"/>
      <c r="L3" s="95"/>
      <c r="M3" s="95"/>
      <c r="N3" s="95"/>
      <c r="O3" s="95"/>
      <c r="P3" s="95"/>
      <c r="Q3" s="95"/>
      <c r="R3" s="95"/>
      <c r="S3" s="95"/>
      <c r="T3" s="95"/>
      <c r="U3" s="95"/>
      <c r="V3" s="95"/>
      <c r="W3" s="95"/>
      <c r="X3" s="95"/>
      <c r="Y3" s="95"/>
    </row>
    <row r="4" spans="1:26" x14ac:dyDescent="0.35">
      <c r="B4" s="260" t="s">
        <v>1</v>
      </c>
      <c r="C4" s="229"/>
      <c r="D4" s="261"/>
      <c r="E4" s="261"/>
      <c r="F4" s="262"/>
      <c r="G4" s="95"/>
      <c r="H4" s="95"/>
      <c r="I4" s="94"/>
      <c r="J4" s="95"/>
      <c r="K4" s="95"/>
      <c r="L4" s="95"/>
      <c r="M4" s="95"/>
      <c r="N4" s="95"/>
      <c r="O4" s="95"/>
      <c r="P4" s="95"/>
      <c r="Q4" s="95"/>
      <c r="R4" s="95"/>
      <c r="S4" s="95"/>
      <c r="T4" s="95"/>
      <c r="U4" s="95"/>
      <c r="V4" s="95"/>
      <c r="W4" s="95"/>
      <c r="X4" s="95"/>
      <c r="Y4" s="95"/>
    </row>
    <row r="5" spans="1:26" x14ac:dyDescent="0.35">
      <c r="B5" s="263" t="s">
        <v>2</v>
      </c>
      <c r="C5" s="230"/>
      <c r="D5" s="264"/>
      <c r="E5" s="264"/>
      <c r="F5" s="265"/>
      <c r="G5" s="95"/>
      <c r="H5" s="95"/>
      <c r="I5" s="94"/>
      <c r="J5" s="95"/>
      <c r="K5" s="95"/>
      <c r="L5" s="95"/>
      <c r="M5" s="95"/>
      <c r="N5" s="95"/>
      <c r="O5" s="95"/>
      <c r="P5" s="95"/>
      <c r="Q5" s="95"/>
      <c r="R5" s="95"/>
      <c r="S5" s="95"/>
      <c r="T5" s="95"/>
      <c r="U5" s="95"/>
      <c r="V5" s="95"/>
      <c r="W5" s="95"/>
      <c r="X5" s="95"/>
      <c r="Y5" s="95"/>
    </row>
    <row r="6" spans="1:26" x14ac:dyDescent="0.35">
      <c r="B6" s="263" t="s">
        <v>3</v>
      </c>
      <c r="C6" s="230"/>
      <c r="D6" s="264"/>
      <c r="E6" s="264"/>
      <c r="F6" s="265"/>
      <c r="G6" s="95"/>
      <c r="H6" s="95"/>
      <c r="I6" s="94"/>
      <c r="J6" s="95"/>
      <c r="K6" s="95"/>
      <c r="L6" s="95"/>
      <c r="M6" s="95"/>
      <c r="N6" s="95"/>
      <c r="O6" s="95"/>
      <c r="P6" s="95"/>
      <c r="Q6" s="95"/>
      <c r="R6" s="95"/>
      <c r="S6" s="95"/>
      <c r="T6" s="95"/>
      <c r="U6" s="95"/>
      <c r="V6" s="95"/>
      <c r="W6" s="95"/>
      <c r="X6" s="95"/>
      <c r="Y6" s="95"/>
    </row>
    <row r="7" spans="1:26" x14ac:dyDescent="0.35">
      <c r="B7" s="263" t="s">
        <v>4</v>
      </c>
      <c r="C7" s="230"/>
      <c r="D7" s="264"/>
      <c r="E7" s="264"/>
      <c r="F7" s="265"/>
      <c r="G7" s="95"/>
      <c r="H7" s="95"/>
      <c r="I7" s="94"/>
      <c r="J7" s="95"/>
      <c r="K7" s="95"/>
      <c r="L7" s="95"/>
      <c r="M7" s="95"/>
      <c r="N7" s="95"/>
      <c r="O7" s="95"/>
      <c r="P7" s="95"/>
      <c r="Q7" s="95"/>
      <c r="R7" s="95"/>
      <c r="S7" s="95"/>
      <c r="T7" s="95"/>
      <c r="U7" s="95"/>
      <c r="V7" s="95"/>
      <c r="W7" s="95"/>
      <c r="X7" s="95"/>
      <c r="Y7" s="95"/>
    </row>
    <row r="8" spans="1:26" ht="15" customHeight="1" thickBot="1" x14ac:dyDescent="0.4">
      <c r="B8" s="266" t="s">
        <v>5</v>
      </c>
      <c r="C8" s="231"/>
      <c r="D8" s="267"/>
      <c r="E8" s="267"/>
      <c r="F8" s="268"/>
      <c r="G8" s="95"/>
      <c r="H8" s="95"/>
      <c r="I8" s="94"/>
      <c r="J8" s="95"/>
      <c r="K8" s="95"/>
      <c r="L8" s="95"/>
      <c r="M8" s="95"/>
      <c r="N8" s="95"/>
      <c r="O8" s="95"/>
      <c r="P8" s="95"/>
      <c r="Q8" s="95"/>
      <c r="R8" s="95"/>
      <c r="S8" s="95"/>
      <c r="T8" s="95"/>
      <c r="U8" s="95"/>
      <c r="V8" s="95"/>
      <c r="W8" s="95"/>
      <c r="X8" s="95"/>
      <c r="Y8" s="95"/>
    </row>
    <row r="9" spans="1:26" ht="15" customHeight="1" thickBot="1" x14ac:dyDescent="0.4">
      <c r="B9" s="256"/>
      <c r="C9" s="96"/>
      <c r="D9" s="95"/>
      <c r="E9" s="96"/>
      <c r="F9" s="88"/>
      <c r="G9" s="96"/>
      <c r="H9" s="97"/>
      <c r="I9" s="94"/>
      <c r="J9" s="95"/>
      <c r="K9" s="95"/>
      <c r="L9" s="95"/>
      <c r="M9" s="95"/>
      <c r="N9" s="95"/>
      <c r="O9" s="95"/>
      <c r="P9" s="95"/>
      <c r="Q9" s="95"/>
      <c r="R9" s="95"/>
      <c r="S9" s="95"/>
      <c r="T9" s="95"/>
      <c r="U9" s="95"/>
      <c r="V9" s="95"/>
      <c r="W9" s="95"/>
      <c r="X9" s="95"/>
      <c r="Y9" s="95"/>
    </row>
    <row r="10" spans="1:26" ht="15" customHeight="1" x14ac:dyDescent="0.35">
      <c r="B10" s="611" t="s">
        <v>6</v>
      </c>
      <c r="C10" s="612"/>
      <c r="D10" s="269" t="str">
        <f>IF(ISBLANK(Interview!D10),"",Interview!D10)</f>
        <v/>
      </c>
      <c r="E10" s="96"/>
      <c r="F10" s="88"/>
      <c r="G10" s="96"/>
      <c r="H10" s="97"/>
      <c r="I10" s="94"/>
      <c r="J10" s="95"/>
      <c r="K10" s="95"/>
      <c r="L10" s="95"/>
      <c r="M10" s="95"/>
      <c r="N10" s="95"/>
      <c r="O10" s="95"/>
      <c r="P10" s="95"/>
      <c r="Q10" s="95"/>
      <c r="R10" s="95"/>
      <c r="S10" s="95"/>
      <c r="T10" s="95"/>
      <c r="U10" s="95"/>
      <c r="V10" s="95"/>
      <c r="W10" s="95"/>
      <c r="X10" s="95"/>
      <c r="Y10" s="95"/>
    </row>
    <row r="11" spans="1:26" ht="15" customHeight="1" x14ac:dyDescent="0.35">
      <c r="B11" s="613" t="s">
        <v>7</v>
      </c>
      <c r="C11" s="614"/>
      <c r="D11" s="270" t="str">
        <f>IF(ISBLANK(Interview!D11),"",Interview!D11)</f>
        <v/>
      </c>
      <c r="E11" s="96"/>
      <c r="F11" s="88"/>
      <c r="G11" s="96"/>
      <c r="H11" s="97"/>
      <c r="I11" s="94"/>
      <c r="J11" s="95"/>
      <c r="K11" s="95"/>
      <c r="L11" s="95"/>
      <c r="M11" s="95"/>
      <c r="N11" s="95"/>
      <c r="O11" s="95"/>
      <c r="P11" s="95"/>
      <c r="Q11" s="95"/>
      <c r="R11" s="95"/>
      <c r="S11" s="95"/>
      <c r="T11" s="95"/>
      <c r="U11" s="95"/>
      <c r="V11" s="95"/>
      <c r="W11" s="95"/>
      <c r="X11" s="95"/>
      <c r="Y11" s="95"/>
    </row>
    <row r="12" spans="1:26" ht="15" customHeight="1" x14ac:dyDescent="0.35">
      <c r="B12" s="613" t="s">
        <v>8</v>
      </c>
      <c r="C12" s="614"/>
      <c r="D12" s="271" t="str">
        <f>IF(ISBLANK(Interview!D12),"",Interview!D12)</f>
        <v/>
      </c>
      <c r="E12" s="102"/>
      <c r="F12" s="88"/>
      <c r="G12" s="96"/>
      <c r="H12" s="97"/>
      <c r="I12" s="94"/>
      <c r="J12" s="95"/>
      <c r="K12" s="95"/>
      <c r="L12" s="95"/>
      <c r="M12" s="95"/>
      <c r="N12" s="95"/>
      <c r="O12" s="95"/>
      <c r="P12" s="95"/>
      <c r="Q12" s="95"/>
      <c r="R12" s="95"/>
      <c r="S12" s="95"/>
      <c r="T12" s="95"/>
      <c r="U12" s="95"/>
      <c r="V12" s="95"/>
      <c r="W12" s="95"/>
      <c r="X12" s="95"/>
      <c r="Y12" s="95"/>
    </row>
    <row r="13" spans="1:26" ht="15" customHeight="1" x14ac:dyDescent="0.35">
      <c r="B13" s="613" t="s">
        <v>9</v>
      </c>
      <c r="C13" s="614"/>
      <c r="D13" s="270" t="str">
        <f>IF(ISBLANK(Interview!D13),"",Interview!D13)</f>
        <v/>
      </c>
      <c r="E13" s="96"/>
      <c r="F13" s="88"/>
      <c r="G13" s="96"/>
      <c r="H13" s="97"/>
      <c r="I13" s="94"/>
      <c r="J13" s="95"/>
      <c r="K13" s="95"/>
      <c r="L13" s="95"/>
      <c r="M13" s="95"/>
      <c r="N13" s="95"/>
      <c r="O13" s="95"/>
      <c r="P13" s="95"/>
      <c r="Q13" s="95"/>
      <c r="R13" s="95"/>
      <c r="S13" s="95"/>
      <c r="T13" s="95"/>
      <c r="U13" s="95"/>
      <c r="V13" s="95"/>
      <c r="W13" s="95"/>
      <c r="X13" s="95"/>
      <c r="Y13" s="95"/>
    </row>
    <row r="14" spans="1:26" ht="24" customHeight="1" thickBot="1" x14ac:dyDescent="0.4">
      <c r="A14" s="103" t="str">
        <f>IF(A15=A16,"OK","Problem")</f>
        <v>OK</v>
      </c>
      <c r="B14" s="615" t="s">
        <v>10</v>
      </c>
      <c r="C14" s="616"/>
      <c r="D14" s="272" t="str">
        <f>IF(ISBLANK(Interview!D14),"",Interview!D14)</f>
        <v/>
      </c>
      <c r="E14" s="96"/>
      <c r="F14" s="88"/>
      <c r="G14" s="96"/>
      <c r="H14" s="97"/>
      <c r="I14" s="94"/>
      <c r="J14" s="95"/>
      <c r="K14" s="95"/>
      <c r="L14" s="95"/>
      <c r="M14" s="95"/>
      <c r="N14" s="95"/>
      <c r="O14" s="95"/>
      <c r="P14" s="95"/>
      <c r="Q14" s="95"/>
      <c r="R14" s="95"/>
      <c r="S14" s="95"/>
      <c r="T14" s="95"/>
      <c r="U14" s="95"/>
      <c r="V14" s="95"/>
      <c r="W14" s="95"/>
      <c r="X14" s="95"/>
      <c r="Y14" s="95"/>
    </row>
    <row r="15" spans="1:26" x14ac:dyDescent="0.35">
      <c r="A15" s="89">
        <f>COUNTA('imp-questions'!A2:A300)</f>
        <v>90</v>
      </c>
      <c r="B15" s="96"/>
      <c r="C15" s="96"/>
      <c r="D15" s="95"/>
      <c r="E15" s="96"/>
      <c r="F15" s="88"/>
      <c r="G15" s="96"/>
      <c r="H15" s="97"/>
      <c r="I15" s="94"/>
      <c r="J15" s="95"/>
      <c r="K15" s="95"/>
      <c r="L15" s="95"/>
      <c r="M15" s="95"/>
      <c r="N15" s="95"/>
      <c r="O15" s="95"/>
      <c r="P15" s="95"/>
      <c r="Q15" s="95"/>
      <c r="R15" s="95"/>
      <c r="S15" s="95"/>
      <c r="T15" s="95"/>
      <c r="U15" s="95"/>
      <c r="V15" s="95"/>
      <c r="W15" s="95"/>
      <c r="X15" s="95"/>
      <c r="Y15" s="95"/>
    </row>
    <row r="16" spans="1:26" ht="21.75" customHeight="1" x14ac:dyDescent="0.35">
      <c r="A16" s="89">
        <f>COUNTA(A18:A175)</f>
        <v>90</v>
      </c>
      <c r="B16" s="622" t="s">
        <v>11</v>
      </c>
      <c r="C16" s="618"/>
      <c r="D16" s="618"/>
      <c r="E16" s="273"/>
      <c r="F16" s="617" t="s">
        <v>248</v>
      </c>
      <c r="G16" s="618"/>
      <c r="H16" s="618"/>
      <c r="I16" s="619"/>
      <c r="J16" s="617" t="s">
        <v>249</v>
      </c>
      <c r="K16" s="618"/>
      <c r="L16" s="618"/>
      <c r="M16" s="619"/>
      <c r="N16" s="617" t="s">
        <v>250</v>
      </c>
      <c r="O16" s="618"/>
      <c r="P16" s="618"/>
      <c r="Q16" s="619"/>
      <c r="R16" s="617" t="s">
        <v>251</v>
      </c>
      <c r="S16" s="618"/>
      <c r="T16" s="618"/>
      <c r="U16" s="619"/>
      <c r="V16" s="573" t="s">
        <v>252</v>
      </c>
      <c r="W16" s="527"/>
      <c r="X16" s="527"/>
      <c r="Y16" s="527"/>
      <c r="Z16" s="527"/>
    </row>
    <row r="17" spans="1:26" ht="16.25" customHeight="1" x14ac:dyDescent="0.35">
      <c r="B17" s="232" t="s">
        <v>12</v>
      </c>
      <c r="C17" s="233" t="s">
        <v>13</v>
      </c>
      <c r="D17" s="232" t="s">
        <v>14</v>
      </c>
      <c r="E17" s="274"/>
      <c r="F17" s="275" t="s">
        <v>15</v>
      </c>
      <c r="G17" s="276"/>
      <c r="H17" s="277"/>
      <c r="I17" s="278" t="s">
        <v>17</v>
      </c>
      <c r="J17" s="279" t="s">
        <v>15</v>
      </c>
      <c r="K17" s="276"/>
      <c r="L17" s="277"/>
      <c r="M17" s="278" t="s">
        <v>17</v>
      </c>
      <c r="N17" s="279" t="s">
        <v>15</v>
      </c>
      <c r="O17" s="280"/>
      <c r="P17" s="281"/>
      <c r="Q17" s="278" t="s">
        <v>17</v>
      </c>
      <c r="R17" s="279" t="s">
        <v>15</v>
      </c>
      <c r="S17" s="280"/>
      <c r="T17" s="281"/>
      <c r="U17" s="278" t="s">
        <v>17</v>
      </c>
      <c r="V17" s="279" t="s">
        <v>15</v>
      </c>
      <c r="W17" s="280"/>
      <c r="X17" s="281"/>
      <c r="Y17" s="278" t="s">
        <v>17</v>
      </c>
      <c r="Z17" s="278" t="s">
        <v>253</v>
      </c>
    </row>
    <row r="18" spans="1:26" ht="28.25" customHeight="1" x14ac:dyDescent="0.35">
      <c r="A18" s="87" t="str">
        <f>Interview!A18</f>
        <v>G-SM-A-1-1</v>
      </c>
      <c r="B18" s="620" t="str">
        <f>INDEX('imp-questions'!D:D, MATCH(A18, 'imp-questions'!A:A, 0))</f>
        <v>Create and Promote</v>
      </c>
      <c r="C18" s="234">
        <f>INDEX('imp-questions'!E:E, MATCH(A18, 'imp-questions'!A:A, 0))</f>
        <v>1</v>
      </c>
      <c r="D18" s="282" t="str">
        <f>INDEX('imp-questions'!F:F, MATCH(A18, 'imp-questions'!A:A, 0))</f>
        <v>Do you understand the enterprise-wide risk appetite for your applications?</v>
      </c>
      <c r="E18" s="283" t="str">
        <f>CHAR(65+INDEX('imp-questions'!H:H, MATCH(A18, 'imp-questions'!A:A, 0)))</f>
        <v>N</v>
      </c>
      <c r="F18" s="284" t="str">
        <f>IF(ISBLANK(Interview!F18),"",Interview!F18)</f>
        <v/>
      </c>
      <c r="G18" s="285">
        <f ca="1">IFERROR(INDEX(INDIRECT("Ans" &amp; E18 &amp; "TBL"), MATCH(F18, INDEX(INDIRECT("Ans" &amp; E18 &amp; "TBL"), 0, 1), 0), 2), 0)</f>
        <v>0</v>
      </c>
      <c r="H18" s="286">
        <f ca="1">IFERROR(AVERAGE(G18,G22),0)</f>
        <v>0</v>
      </c>
      <c r="I18" s="582">
        <f ca="1">SUM(H18,H19,H20)</f>
        <v>0</v>
      </c>
      <c r="J18" s="287" t="str">
        <f>F18</f>
        <v/>
      </c>
      <c r="K18" s="285">
        <f ca="1">IFERROR(INDEX(INDIRECT("Ans" &amp; E18 &amp; "TBL"), MATCH(J18, INDEX(INDIRECT("Ans" &amp; E18 &amp; "TBL"), 0, 1), 0), 2), 0)</f>
        <v>0</v>
      </c>
      <c r="L18" s="286">
        <f ca="1">IFERROR(AVERAGE(K18,K22),0)</f>
        <v>0</v>
      </c>
      <c r="M18" s="582">
        <f ca="1">SUM(L18,L19,L20)</f>
        <v>0</v>
      </c>
      <c r="N18" s="287" t="str">
        <f>J18</f>
        <v/>
      </c>
      <c r="O18" s="288">
        <f ca="1">IFERROR(INDEX(INDIRECT("Ans" &amp; E18 &amp; "TBL"), MATCH(N18, INDEX(INDIRECT("Ans" &amp; E18 &amp; "TBL"), 0, 1), 0), 2), 0)</f>
        <v>0</v>
      </c>
      <c r="P18" s="289">
        <f ca="1">IFERROR(AVERAGE(O18,O22),0)</f>
        <v>0</v>
      </c>
      <c r="Q18" s="582">
        <f ca="1">SUM(P18,P19,P20)</f>
        <v>0</v>
      </c>
      <c r="R18" s="287" t="str">
        <f>N18</f>
        <v/>
      </c>
      <c r="S18" s="290">
        <f ca="1">IFERROR(INDEX(INDIRECT("Ans" &amp; E18 &amp; "TBL"), MATCH(R18, INDEX(INDIRECT("Ans" &amp; E18 &amp; "TBL"), 0, 1), 0), 2), 0)</f>
        <v>0</v>
      </c>
      <c r="T18" s="289">
        <f ca="1">IFERROR(AVERAGE(S18,S22),0)</f>
        <v>0</v>
      </c>
      <c r="U18" s="582">
        <f ca="1">SUM(T18,T19,T20)</f>
        <v>0</v>
      </c>
      <c r="V18" s="287" t="str">
        <f>R18</f>
        <v/>
      </c>
      <c r="W18" s="290">
        <f ca="1">IFERROR(INDEX(INDIRECT("Ans" &amp; E18 &amp; "TBL"), MATCH(V18, INDEX(INDIRECT("Ans" &amp; E18 &amp; "TBL"), 0, 1), 0), 2), 0)</f>
        <v>0</v>
      </c>
      <c r="X18" s="289">
        <f ca="1">IFERROR(AVERAGE(W18,W22),0)</f>
        <v>0</v>
      </c>
      <c r="Y18" s="582">
        <f ca="1">SUM(X18,X19,X20)</f>
        <v>0</v>
      </c>
      <c r="Z18" s="582">
        <f ca="1">IFERROR(Y18-I18,Y18-LEFT(I18,1))</f>
        <v>0</v>
      </c>
    </row>
    <row r="19" spans="1:26" ht="28.25" customHeight="1" x14ac:dyDescent="0.35">
      <c r="A19" s="87" t="str">
        <f>Interview!A20</f>
        <v>G-SM-A-2-1</v>
      </c>
      <c r="B19" s="601"/>
      <c r="C19" s="234">
        <f>INDEX('imp-questions'!E:E, MATCH(A19, 'imp-questions'!A:A, 0))</f>
        <v>2</v>
      </c>
      <c r="D19" s="282" t="str">
        <f>INDEX('imp-questions'!F:F, MATCH(A19, 'imp-questions'!A:A, 0))</f>
        <v>Do you have a strategic plan for application security and use it to make decisions?</v>
      </c>
      <c r="E19" s="283" t="str">
        <f>CHAR(65+INDEX('imp-questions'!H:H, MATCH(A19, 'imp-questions'!A:A, 0)))</f>
        <v>O</v>
      </c>
      <c r="F19" s="284" t="str">
        <f>IF(ISBLANK(Interview!F20),"",Interview!F20)</f>
        <v/>
      </c>
      <c r="G19" s="285">
        <f ca="1">IFERROR(INDEX(INDIRECT("Ans" &amp; E19 &amp; "TBL"), MATCH(F19, INDEX(INDIRECT("Ans" &amp; E19 &amp; "TBL"), 0, 1), 0), 2), 0)</f>
        <v>0</v>
      </c>
      <c r="H19" s="291">
        <f ca="1">IFERROR(AVERAGE(G19,G23),0)</f>
        <v>0</v>
      </c>
      <c r="I19" s="583"/>
      <c r="J19" s="287" t="str">
        <f>F19</f>
        <v/>
      </c>
      <c r="K19" s="285">
        <f ca="1">IFERROR(INDEX(INDIRECT("Ans" &amp; E19 &amp; "TBL"), MATCH(J19, INDEX(INDIRECT("Ans" &amp; E19 &amp; "TBL"), 0, 1), 0), 2), 0)</f>
        <v>0</v>
      </c>
      <c r="L19" s="291">
        <f ca="1">IFERROR(AVERAGE(K19,K23),0)</f>
        <v>0</v>
      </c>
      <c r="M19" s="583"/>
      <c r="N19" s="287" t="str">
        <f>J19</f>
        <v/>
      </c>
      <c r="O19" s="292">
        <f ca="1">IFERROR(INDEX(INDIRECT("Ans" &amp; E19 &amp; "TBL"), MATCH(N19, INDEX(INDIRECT("Ans" &amp; E19 &amp; "TBL"), 0, 1), 0), 2), 0)</f>
        <v>0</v>
      </c>
      <c r="P19" s="293">
        <f ca="1">IFERROR(AVERAGE(O19,O23),0)</f>
        <v>0</v>
      </c>
      <c r="Q19" s="583"/>
      <c r="R19" s="287" t="str">
        <f>N19</f>
        <v/>
      </c>
      <c r="S19" s="135">
        <f ca="1">IFERROR(INDEX(INDIRECT("Ans" &amp; E19 &amp; "TBL"), MATCH(R19, INDEX(INDIRECT("Ans" &amp; E19 &amp; "TBL"), 0, 1), 0), 2), 0)</f>
        <v>0</v>
      </c>
      <c r="T19" s="294">
        <f ca="1">IFERROR(AVERAGE(S19,S23),0)</f>
        <v>0</v>
      </c>
      <c r="U19" s="583"/>
      <c r="V19" s="287" t="str">
        <f>R19</f>
        <v/>
      </c>
      <c r="W19" s="295">
        <f ca="1">IFERROR(INDEX(INDIRECT("Ans" &amp; E19 &amp; "TBL"), MATCH(V19, INDEX(INDIRECT("Ans" &amp; E19 &amp; "TBL"), 0, 1), 0), 2), 0)</f>
        <v>0</v>
      </c>
      <c r="X19" s="293">
        <f ca="1">IFERROR(AVERAGE(W19,W23),0)</f>
        <v>0</v>
      </c>
      <c r="Y19" s="583"/>
      <c r="Z19" s="583"/>
    </row>
    <row r="20" spans="1:26" ht="28.25" customHeight="1" x14ac:dyDescent="0.35">
      <c r="A20" s="87" t="str">
        <f>Interview!A22</f>
        <v>G-SM-A-3-1</v>
      </c>
      <c r="B20" s="605"/>
      <c r="C20" s="234">
        <f>INDEX('imp-questions'!E:E, MATCH(A20, 'imp-questions'!A:A, 0))</f>
        <v>3</v>
      </c>
      <c r="D20" s="296" t="str">
        <f>INDEX('imp-questions'!F:F, MATCH(A20, 'imp-questions'!A:A, 0))</f>
        <v>Do you regularly review and update the Strategic Plan for Application Security?</v>
      </c>
      <c r="E20" s="283" t="str">
        <f>CHAR(65+INDEX('imp-questions'!H:H, MATCH(A20, 'imp-questions'!A:A, 0)))</f>
        <v>P</v>
      </c>
      <c r="F20" s="297" t="str">
        <f>IF(ISBLANK(Interview!F22),"",Interview!F22)</f>
        <v/>
      </c>
      <c r="G20" s="285">
        <f ca="1">IFERROR(INDEX(INDIRECT("Ans" &amp; E20 &amp; "TBL"), MATCH(F20, INDEX(INDIRECT("Ans" &amp; E20 &amp; "TBL"), 0, 1), 0), 2), 0)</f>
        <v>0</v>
      </c>
      <c r="H20" s="291">
        <f ca="1">IFERROR(AVERAGE(G20,G24),0)</f>
        <v>0</v>
      </c>
      <c r="I20" s="583"/>
      <c r="J20" s="287" t="str">
        <f>F20</f>
        <v/>
      </c>
      <c r="K20" s="285">
        <f ca="1">IFERROR(INDEX(INDIRECT("Ans" &amp; E20 &amp; "TBL"), MATCH(J20, INDEX(INDIRECT("Ans" &amp; E20 &amp; "TBL"), 0, 1), 0), 2), 0)</f>
        <v>0</v>
      </c>
      <c r="L20" s="291">
        <f ca="1">IFERROR(AVERAGE(K20,K24),0)</f>
        <v>0</v>
      </c>
      <c r="M20" s="583"/>
      <c r="N20" s="287" t="str">
        <f>J20</f>
        <v/>
      </c>
      <c r="O20" s="298">
        <f ca="1">IFERROR(INDEX(INDIRECT("Ans" &amp; E20 &amp; "TBL"), MATCH(N20, INDEX(INDIRECT("Ans" &amp; E20 &amp; "TBL"), 0, 1), 0), 2), 0)</f>
        <v>0</v>
      </c>
      <c r="P20" s="293">
        <f ca="1">IFERROR(AVERAGE(O20,O24),0)</f>
        <v>0</v>
      </c>
      <c r="Q20" s="583"/>
      <c r="R20" s="287" t="str">
        <f>N20</f>
        <v/>
      </c>
      <c r="S20" s="135">
        <f ca="1">IFERROR(INDEX(INDIRECT("Ans" &amp; E20 &amp; "TBL"), MATCH(R20, INDEX(INDIRECT("Ans" &amp; E20 &amp; "TBL"), 0, 1), 0), 2), 0)</f>
        <v>0</v>
      </c>
      <c r="T20" s="294">
        <f ca="1">IFERROR(AVERAGE(S20,S24),0)</f>
        <v>0</v>
      </c>
      <c r="U20" s="583"/>
      <c r="V20" s="287" t="str">
        <f>R20</f>
        <v/>
      </c>
      <c r="W20" s="299">
        <f ca="1">IFERROR(INDEX(INDIRECT("Ans" &amp; E20 &amp; "TBL"), MATCH(V20, INDEX(INDIRECT("Ans" &amp; E20 &amp; "TBL"), 0, 1), 0), 2), 0)</f>
        <v>0</v>
      </c>
      <c r="X20" s="293">
        <f ca="1">IFERROR(AVERAGE(W20,W24),0)</f>
        <v>0</v>
      </c>
      <c r="Y20" s="583"/>
      <c r="Z20" s="583"/>
    </row>
    <row r="21" spans="1:26" ht="13.05" customHeight="1" x14ac:dyDescent="0.35">
      <c r="B21" s="235"/>
      <c r="C21" s="236"/>
      <c r="D21" s="125"/>
      <c r="E21" s="153"/>
      <c r="F21" s="125"/>
      <c r="G21" s="153"/>
      <c r="H21" s="153"/>
      <c r="I21" s="583"/>
      <c r="J21" s="125"/>
      <c r="K21" s="153"/>
      <c r="L21" s="153"/>
      <c r="M21" s="583"/>
      <c r="N21" s="125"/>
      <c r="O21" s="125"/>
      <c r="P21" s="153"/>
      <c r="Q21" s="583"/>
      <c r="R21" s="125"/>
      <c r="S21" s="153"/>
      <c r="T21" s="153"/>
      <c r="U21" s="583"/>
      <c r="V21" s="125"/>
      <c r="W21" s="153"/>
      <c r="X21" s="153"/>
      <c r="Y21" s="583"/>
      <c r="Z21" s="583"/>
    </row>
    <row r="22" spans="1:26" ht="28.25" customHeight="1" x14ac:dyDescent="0.35">
      <c r="A22" s="87" t="str">
        <f>Interview!A25</f>
        <v>G-SM-B-1-1</v>
      </c>
      <c r="B22" s="620" t="str">
        <f>INDEX('imp-questions'!D:D, MATCH(A22, 'imp-questions'!A:A, 0))</f>
        <v>Measure and Improve</v>
      </c>
      <c r="C22" s="234">
        <f>INDEX('imp-questions'!E:E, MATCH(A22, 'imp-questions'!A:A, 0))</f>
        <v>1</v>
      </c>
      <c r="D22" s="300" t="str">
        <f>INDEX('imp-questions'!F:F, MATCH(A22, 'imp-questions'!A:A, 0))</f>
        <v>Do you use a set of metrics to measure the effectiveness and efficiency of the application security program across applications?</v>
      </c>
      <c r="E22" s="301" t="str">
        <f>CHAR(65+INDEX('imp-questions'!H:H, MATCH(A22, 'imp-questions'!A:A, 0)))</f>
        <v>Q</v>
      </c>
      <c r="F22" s="287" t="str">
        <f>IF(ISBLANK(Interview!F25),"",Interview!F25)</f>
        <v/>
      </c>
      <c r="G22" s="302">
        <f ca="1">IFERROR(INDEX(INDIRECT("Ans" &amp; E22 &amp; "TBL"), MATCH(F22, INDEX(INDIRECT("Ans" &amp; E22 &amp; "TBL"), 0, 1), 0), 2), 0)</f>
        <v>0</v>
      </c>
      <c r="H22" s="303"/>
      <c r="I22" s="583"/>
      <c r="J22" s="287" t="str">
        <f>F22</f>
        <v/>
      </c>
      <c r="K22" s="285">
        <f ca="1">IFERROR(INDEX(INDIRECT("Ans" &amp; E22 &amp; "TBL"), MATCH(J22, INDEX(INDIRECT("Ans" &amp; E22 &amp; "TBL"), 0, 1), 0), 2), 0)</f>
        <v>0</v>
      </c>
      <c r="L22" s="303"/>
      <c r="M22" s="583"/>
      <c r="N22" s="287" t="str">
        <f>J22</f>
        <v/>
      </c>
      <c r="O22" s="305">
        <f ca="1">IFERROR(INDEX(INDIRECT("Ans" &amp; E22 &amp; "TBL"), MATCH(N22, INDEX(INDIRECT("Ans" &amp; E22 &amp; "TBL"), 0, 1), 0), 2), 0)</f>
        <v>0</v>
      </c>
      <c r="P22" s="303"/>
      <c r="Q22" s="583"/>
      <c r="R22" s="287" t="str">
        <f>N22</f>
        <v/>
      </c>
      <c r="S22" s="135">
        <f ca="1">IFERROR(INDEX(INDIRECT("Ans" &amp; E22 &amp; "TBL"), MATCH(R22, INDEX(INDIRECT("Ans" &amp; E22 &amp; "TBL"), 0, 1), 0), 2), 0)</f>
        <v>0</v>
      </c>
      <c r="T22" s="306"/>
      <c r="U22" s="583"/>
      <c r="V22" s="287" t="str">
        <f>R22</f>
        <v/>
      </c>
      <c r="W22" s="290">
        <f ca="1">IFERROR(INDEX(INDIRECT("Ans" &amp; E22 &amp; "TBL"), MATCH(V22, INDEX(INDIRECT("Ans" &amp; E22 &amp; "TBL"), 0, 1), 0), 2), 0)</f>
        <v>0</v>
      </c>
      <c r="X22" s="303"/>
      <c r="Y22" s="583"/>
      <c r="Z22" s="583"/>
    </row>
    <row r="23" spans="1:26" ht="28.25" customHeight="1" x14ac:dyDescent="0.35">
      <c r="A23" s="87" t="str">
        <f>Interview!A27</f>
        <v>G-SM-B-2-1</v>
      </c>
      <c r="B23" s="601"/>
      <c r="C23" s="234">
        <f>INDEX('imp-questions'!E:E, MATCH(A23, 'imp-questions'!A:A, 0))</f>
        <v>2</v>
      </c>
      <c r="D23" s="300" t="str">
        <f>INDEX('imp-questions'!F:F, MATCH(A23, 'imp-questions'!A:A, 0))</f>
        <v>Did you define Key Performance Indicators (KPI) from available application security metrics?</v>
      </c>
      <c r="E23" s="307" t="str">
        <f>CHAR(65+INDEX('imp-questions'!H:H, MATCH(A23, 'imp-questions'!A:A, 0)))</f>
        <v>S</v>
      </c>
      <c r="F23" s="284" t="str">
        <f>IF(ISBLANK(Interview!F27),"",Interview!F27)</f>
        <v/>
      </c>
      <c r="G23" s="302">
        <f ca="1">IFERROR(INDEX(INDIRECT("Ans" &amp; E23 &amp; "TBL"), MATCH(F23, INDEX(INDIRECT("Ans" &amp; E23 &amp; "TBL"), 0, 1), 0), 2), 0)</f>
        <v>0</v>
      </c>
      <c r="H23" s="308"/>
      <c r="I23" s="583"/>
      <c r="J23" s="287" t="str">
        <f>F23</f>
        <v/>
      </c>
      <c r="K23" s="285">
        <f ca="1">IFERROR(INDEX(INDIRECT("Ans" &amp; E23 &amp; "TBL"), MATCH(J23, INDEX(INDIRECT("Ans" &amp; E23 &amp; "TBL"), 0, 1), 0), 2), 0)</f>
        <v>0</v>
      </c>
      <c r="L23" s="308"/>
      <c r="M23" s="583"/>
      <c r="N23" s="287" t="str">
        <f>J23</f>
        <v/>
      </c>
      <c r="O23" s="305">
        <f ca="1">IFERROR(INDEX(INDIRECT("Ans" &amp; E23 &amp; "TBL"), MATCH(N23, INDEX(INDIRECT("Ans" &amp; E23 &amp; "TBL"), 0, 1), 0), 2), 0)</f>
        <v>0</v>
      </c>
      <c r="P23" s="308"/>
      <c r="Q23" s="583"/>
      <c r="R23" s="287" t="str">
        <f>N23</f>
        <v/>
      </c>
      <c r="S23" s="135">
        <f ca="1">IFERROR(INDEX(INDIRECT("Ans" &amp; E23 &amp; "TBL"), MATCH(R23, INDEX(INDIRECT("Ans" &amp; E23 &amp; "TBL"), 0, 1), 0), 2), 0)</f>
        <v>0</v>
      </c>
      <c r="T23" s="309"/>
      <c r="U23" s="583"/>
      <c r="V23" s="287" t="str">
        <f>R23</f>
        <v/>
      </c>
      <c r="W23" s="295">
        <f ca="1">IFERROR(INDEX(INDIRECT("Ans" &amp; E23 &amp; "TBL"), MATCH(V23, INDEX(INDIRECT("Ans" &amp; E23 &amp; "TBL"), 0, 1), 0), 2), 0)</f>
        <v>0</v>
      </c>
      <c r="X23" s="308"/>
      <c r="Y23" s="583"/>
      <c r="Z23" s="583"/>
    </row>
    <row r="24" spans="1:26" ht="28.25" customHeight="1" x14ac:dyDescent="0.35">
      <c r="A24" s="87" t="str">
        <f>Interview!A29</f>
        <v>G-SM-B-3-1</v>
      </c>
      <c r="B24" s="605"/>
      <c r="C24" s="234">
        <f>INDEX('imp-questions'!E:E, MATCH(A24, 'imp-questions'!A:A, 0))</f>
        <v>3</v>
      </c>
      <c r="D24" s="296" t="str">
        <f>INDEX('imp-questions'!F:F, MATCH(A24, 'imp-questions'!A:A, 0))</f>
        <v>Do you update the Application Security strategy and roadmap based on application security metrics and KPIs?</v>
      </c>
      <c r="E24" s="310" t="str">
        <f>CHAR(65+INDEX('imp-questions'!H:H, MATCH(A24, 'imp-questions'!A:A, 0)))</f>
        <v>P</v>
      </c>
      <c r="F24" s="284" t="str">
        <f>IF(ISBLANK(Interview!F29),"",Interview!F29)</f>
        <v/>
      </c>
      <c r="G24" s="302">
        <f ca="1">IFERROR(INDEX(INDIRECT("Ans" &amp; E24 &amp; "TBL"), MATCH(F24, INDEX(INDIRECT("Ans" &amp; E24 &amp; "TBL"), 0, 1), 0), 2), 0)</f>
        <v>0</v>
      </c>
      <c r="H24" s="311"/>
      <c r="I24" s="584"/>
      <c r="J24" s="287" t="str">
        <f>F24</f>
        <v/>
      </c>
      <c r="K24" s="285">
        <f ca="1">IFERROR(INDEX(INDIRECT("Ans" &amp; E24 &amp; "TBL"), MATCH(J24, INDEX(INDIRECT("Ans" &amp; E24 &amp; "TBL"), 0, 1), 0), 2), 0)</f>
        <v>0</v>
      </c>
      <c r="L24" s="311"/>
      <c r="M24" s="584"/>
      <c r="N24" s="287" t="str">
        <f>J24</f>
        <v/>
      </c>
      <c r="O24" s="135">
        <f ca="1">IFERROR(INDEX(INDIRECT("Ans" &amp; E24 &amp; "TBL"), MATCH(N24, INDEX(INDIRECT("Ans" &amp; E24 &amp; "TBL"), 0, 1), 0), 2), 0)</f>
        <v>0</v>
      </c>
      <c r="P24" s="311"/>
      <c r="Q24" s="584"/>
      <c r="R24" s="287" t="str">
        <f>N24</f>
        <v/>
      </c>
      <c r="S24" s="135">
        <f ca="1">IFERROR(INDEX(INDIRECT("Ans" &amp; E24 &amp; "TBL"), MATCH(R24, INDEX(INDIRECT("Ans" &amp; E24 &amp; "TBL"), 0, 1), 0), 2), 0)</f>
        <v>0</v>
      </c>
      <c r="T24" s="312"/>
      <c r="U24" s="584"/>
      <c r="V24" s="287" t="str">
        <f>R24</f>
        <v/>
      </c>
      <c r="W24" s="299">
        <f ca="1">IFERROR(INDEX(INDIRECT("Ans" &amp; E24 &amp; "TBL"), MATCH(V24, INDEX(INDIRECT("Ans" &amp; E24 &amp; "TBL"), 0, 1), 0), 2), 0)</f>
        <v>0</v>
      </c>
      <c r="X24" s="311"/>
      <c r="Y24" s="584"/>
      <c r="Z24" s="584"/>
    </row>
    <row r="25" spans="1:26" ht="13.05" customHeight="1" x14ac:dyDescent="0.35">
      <c r="B25" s="235"/>
      <c r="C25" s="236"/>
      <c r="D25" s="125"/>
      <c r="E25" s="125"/>
      <c r="F25" s="125"/>
      <c r="G25" s="125"/>
      <c r="H25" s="125"/>
      <c r="I25" s="125"/>
      <c r="J25" s="125"/>
      <c r="K25" s="125"/>
      <c r="L25" s="125"/>
      <c r="M25" s="125"/>
      <c r="N25" s="125"/>
      <c r="O25" s="125"/>
      <c r="P25" s="125"/>
      <c r="Q25" s="125"/>
      <c r="R25" s="125"/>
      <c r="S25" s="313"/>
      <c r="T25" s="125"/>
      <c r="U25" s="125"/>
      <c r="V25" s="125"/>
      <c r="W25" s="125"/>
      <c r="X25" s="125"/>
      <c r="Y25" s="125"/>
      <c r="Z25" s="125"/>
    </row>
    <row r="26" spans="1:26" ht="16.25" customHeight="1" x14ac:dyDescent="0.35">
      <c r="B26" s="232" t="s">
        <v>12</v>
      </c>
      <c r="C26" s="233" t="s">
        <v>13</v>
      </c>
      <c r="D26" s="314" t="s">
        <v>24</v>
      </c>
      <c r="E26" s="315"/>
      <c r="F26" s="316" t="s">
        <v>15</v>
      </c>
      <c r="G26" s="317"/>
      <c r="H26" s="318"/>
      <c r="I26" s="278" t="s">
        <v>17</v>
      </c>
      <c r="J26" s="316" t="s">
        <v>15</v>
      </c>
      <c r="K26" s="316"/>
      <c r="L26" s="318"/>
      <c r="M26" s="278" t="s">
        <v>17</v>
      </c>
      <c r="N26" s="316" t="s">
        <v>15</v>
      </c>
      <c r="O26" s="316"/>
      <c r="P26" s="318"/>
      <c r="Q26" s="278" t="s">
        <v>17</v>
      </c>
      <c r="R26" s="316" t="s">
        <v>15</v>
      </c>
      <c r="S26" s="316"/>
      <c r="T26" s="318"/>
      <c r="U26" s="278" t="s">
        <v>17</v>
      </c>
      <c r="V26" s="316" t="s">
        <v>15</v>
      </c>
      <c r="W26" s="316"/>
      <c r="X26" s="318"/>
      <c r="Y26" s="278" t="s">
        <v>17</v>
      </c>
      <c r="Z26" s="278" t="s">
        <v>253</v>
      </c>
    </row>
    <row r="27" spans="1:26" ht="28.25" customHeight="1" x14ac:dyDescent="0.35">
      <c r="A27" s="87" t="str">
        <f>Interview!A32</f>
        <v>G-PC-A-1-1</v>
      </c>
      <c r="B27" s="620" t="str">
        <f>INDEX('imp-questions'!D:D, MATCH(A27, 'imp-questions'!A:A, 0))</f>
        <v>Policy and Standards</v>
      </c>
      <c r="C27" s="234">
        <f>INDEX('imp-questions'!E:E, MATCH(A27, 'imp-questions'!A:A, 0))</f>
        <v>1</v>
      </c>
      <c r="D27" s="282" t="str">
        <f>INDEX('imp-questions'!F:F, MATCH(A27, 'imp-questions'!A:A, 0))</f>
        <v>Do you have and apply a common set of policies and standards throughout your organization?</v>
      </c>
      <c r="E27" s="113" t="str">
        <f>CHAR(65+INDEX('imp-questions'!H:H, MATCH(A27, 'imp-questions'!A:A, 0)))</f>
        <v>A</v>
      </c>
      <c r="F27" s="284" t="str">
        <f>IF(ISBLANK(Interview!F32),"",Interview!F32)</f>
        <v/>
      </c>
      <c r="G27" s="285">
        <f ca="1">IFERROR(INDEX(INDIRECT("Ans" &amp; E27 &amp; "TBL"), MATCH(F27, INDEX(INDIRECT("Ans" &amp; E27 &amp; "TBL"), 0, 1), 0), 2), 0)</f>
        <v>0</v>
      </c>
      <c r="H27" s="286">
        <f ca="1">IFERROR(AVERAGE(G27,G31),0)</f>
        <v>0</v>
      </c>
      <c r="I27" s="585">
        <f ca="1">SUM(H27,H28,H29)</f>
        <v>0</v>
      </c>
      <c r="J27" s="287" t="str">
        <f>F27</f>
        <v/>
      </c>
      <c r="K27" s="305">
        <f ca="1">IFERROR(INDEX(INDIRECT("Ans" &amp; E27 &amp; "TBL"), MATCH(J27, INDEX(INDIRECT("Ans" &amp; E27 &amp; "TBL"), 0, 1), 0), 2), 0)</f>
        <v>0</v>
      </c>
      <c r="L27" s="289">
        <f ca="1">IFERROR(AVERAGE(K27,K31),0)</f>
        <v>0</v>
      </c>
      <c r="M27" s="585">
        <f ca="1">SUM(L27,L28,L29)</f>
        <v>0</v>
      </c>
      <c r="N27" s="287" t="str">
        <f>J27</f>
        <v/>
      </c>
      <c r="O27" s="305">
        <f ca="1">IFERROR(INDEX(INDIRECT("Ans" &amp; E27 &amp; "TBL"), MATCH(N27, INDEX(INDIRECT("Ans" &amp; E27 &amp; "TBL"), 0, 1), 0), 2), 0)</f>
        <v>0</v>
      </c>
      <c r="P27" s="289">
        <f ca="1">IFERROR(AVERAGE(O27,O31),0)</f>
        <v>0</v>
      </c>
      <c r="Q27" s="585">
        <f ca="1">SUM(P27,P28,P29)</f>
        <v>0</v>
      </c>
      <c r="R27" s="287" t="str">
        <f>N27</f>
        <v/>
      </c>
      <c r="S27" s="135">
        <f ca="1">IFERROR(INDEX(INDIRECT("Ans" &amp; E27 &amp; "TBL"), MATCH(R27, INDEX(INDIRECT("Ans" &amp; E27 &amp; "TBL"), 0, 1), 0), 2), 0)</f>
        <v>0</v>
      </c>
      <c r="T27" s="319">
        <f ca="1">IFERROR(AVERAGE(S27,S31),0)</f>
        <v>0</v>
      </c>
      <c r="U27" s="585">
        <f ca="1">SUM(T27,T28,T29)</f>
        <v>0</v>
      </c>
      <c r="V27" s="287" t="str">
        <f>R27</f>
        <v/>
      </c>
      <c r="W27" s="305">
        <f ca="1">IFERROR(INDEX(INDIRECT("Ans" &amp; E27 &amp; "TBL"), MATCH(V27, INDEX(INDIRECT("Ans" &amp; E27 &amp; "TBL"), 0, 1), 0), 2), 0)</f>
        <v>0</v>
      </c>
      <c r="X27" s="289">
        <f ca="1">IFERROR(AVERAGE(W27,W31),0)</f>
        <v>0</v>
      </c>
      <c r="Y27" s="585">
        <f ca="1">SUM(X27,X28,X29)</f>
        <v>0</v>
      </c>
      <c r="Z27" s="585">
        <f ca="1">IFERROR(Y27-I27,Y27-LEFT(I27,1))</f>
        <v>0</v>
      </c>
    </row>
    <row r="28" spans="1:26" ht="28.25" customHeight="1" x14ac:dyDescent="0.35">
      <c r="A28" s="87" t="str">
        <f>Interview!A34</f>
        <v>G-PC-A-2-1</v>
      </c>
      <c r="B28" s="601"/>
      <c r="C28" s="234">
        <f>INDEX('imp-questions'!E:E, MATCH(A28, 'imp-questions'!A:A, 0))</f>
        <v>2</v>
      </c>
      <c r="D28" s="300" t="str">
        <f>INDEX('imp-questions'!F:F, MATCH(A28, 'imp-questions'!A:A, 0))</f>
        <v>Do you publish the organization's policies as test scripts or run-books for easy interpretation by development teams?</v>
      </c>
      <c r="E28" s="113" t="str">
        <f>CHAR(65+INDEX('imp-questions'!H:H, MATCH(A28, 'imp-questions'!A:A, 0)))</f>
        <v>C</v>
      </c>
      <c r="F28" s="284" t="str">
        <f>IF(ISBLANK(Interview!F34),"",Interview!F34)</f>
        <v/>
      </c>
      <c r="G28" s="285">
        <f ca="1">IFERROR(INDEX(INDIRECT("Ans" &amp; E28 &amp; "TBL"), MATCH(F28, INDEX(INDIRECT("Ans" &amp; E28 &amp; "TBL"), 0, 1), 0), 2), 0)</f>
        <v>0</v>
      </c>
      <c r="H28" s="291">
        <f ca="1">IFERROR(AVERAGE(G28,G32),0)</f>
        <v>0</v>
      </c>
      <c r="I28" s="575"/>
      <c r="J28" s="287" t="str">
        <f>F28</f>
        <v/>
      </c>
      <c r="K28" s="305">
        <f ca="1">IFERROR(INDEX(INDIRECT("Ans" &amp; E28 &amp; "TBL"), MATCH(J28, INDEX(INDIRECT("Ans" &amp; E28 &amp; "TBL"), 0, 1), 0), 2), 0)</f>
        <v>0</v>
      </c>
      <c r="L28" s="293">
        <f ca="1">IFERROR(AVERAGE(K28,K32),0)</f>
        <v>0</v>
      </c>
      <c r="M28" s="575"/>
      <c r="N28" s="287" t="str">
        <f>J28</f>
        <v/>
      </c>
      <c r="O28" s="305">
        <f ca="1">IFERROR(INDEX(INDIRECT("Ans" &amp; E28 &amp; "TBL"), MATCH(N28, INDEX(INDIRECT("Ans" &amp; E28 &amp; "TBL"), 0, 1), 0), 2), 0)</f>
        <v>0</v>
      </c>
      <c r="P28" s="293">
        <f ca="1">IFERROR(AVERAGE(O28,O32),0)</f>
        <v>0</v>
      </c>
      <c r="Q28" s="575"/>
      <c r="R28" s="287" t="str">
        <f>N28</f>
        <v/>
      </c>
      <c r="S28" s="135">
        <f ca="1">IFERROR(INDEX(INDIRECT("Ans" &amp; E28 &amp; "TBL"), MATCH(R28, INDEX(INDIRECT("Ans" &amp; E28 &amp; "TBL"), 0, 1), 0), 2), 0)</f>
        <v>0</v>
      </c>
      <c r="T28" s="294">
        <f ca="1">IFERROR(AVERAGE(S28,S32),0)</f>
        <v>0</v>
      </c>
      <c r="U28" s="575"/>
      <c r="V28" s="287" t="str">
        <f>R28</f>
        <v/>
      </c>
      <c r="W28" s="305">
        <f ca="1">IFERROR(INDEX(INDIRECT("Ans" &amp; E28 &amp; "TBL"), MATCH(V28, INDEX(INDIRECT("Ans" &amp; E28 &amp; "TBL"), 0, 1), 0), 2), 0)</f>
        <v>0</v>
      </c>
      <c r="X28" s="293">
        <f ca="1">IFERROR(AVERAGE(W28,W32),0)</f>
        <v>0</v>
      </c>
      <c r="Y28" s="575"/>
      <c r="Z28" s="575"/>
    </row>
    <row r="29" spans="1:26" ht="28.25" customHeight="1" x14ac:dyDescent="0.35">
      <c r="A29" s="87" t="str">
        <f>Interview!A36</f>
        <v>G-PC-A-3-1</v>
      </c>
      <c r="B29" s="605"/>
      <c r="C29" s="234">
        <f>INDEX('imp-questions'!E:E, MATCH(A29, 'imp-questions'!A:A, 0))</f>
        <v>3</v>
      </c>
      <c r="D29" s="296" t="str">
        <f>INDEX('imp-questions'!F:F, MATCH(A29, 'imp-questions'!A:A, 0))</f>
        <v>Do you regularly report on policy and standard compliance, and use that information to guide compliance improvement efforts?</v>
      </c>
      <c r="E29" s="113" t="str">
        <f>CHAR(65+INDEX('imp-questions'!H:H, MATCH(A29, 'imp-questions'!A:A, 0)))</f>
        <v>T</v>
      </c>
      <c r="F29" s="284" t="str">
        <f>IF(ISBLANK(Interview!F36),"",Interview!F36)</f>
        <v/>
      </c>
      <c r="G29" s="285">
        <f ca="1">IFERROR(INDEX(INDIRECT("Ans" &amp; E29 &amp; "TBL"), MATCH(F29, INDEX(INDIRECT("Ans" &amp; E29 &amp; "TBL"), 0, 1), 0), 2), 0)</f>
        <v>0</v>
      </c>
      <c r="H29" s="291">
        <f ca="1">IFERROR(AVERAGE(G29,G33),0)</f>
        <v>0</v>
      </c>
      <c r="I29" s="575"/>
      <c r="J29" s="287" t="str">
        <f>F29</f>
        <v/>
      </c>
      <c r="K29" s="305">
        <f ca="1">IFERROR(INDEX(INDIRECT("Ans" &amp; E29 &amp; "TBL"), MATCH(J29, INDEX(INDIRECT("Ans" &amp; E29 &amp; "TBL"), 0, 1), 0), 2), 0)</f>
        <v>0</v>
      </c>
      <c r="L29" s="293">
        <f ca="1">IFERROR(AVERAGE(K29,K33),0)</f>
        <v>0</v>
      </c>
      <c r="M29" s="575"/>
      <c r="N29" s="287" t="str">
        <f>J29</f>
        <v/>
      </c>
      <c r="O29" s="305">
        <f ca="1">IFERROR(INDEX(INDIRECT("Ans" &amp; E29 &amp; "TBL"), MATCH(N29, INDEX(INDIRECT("Ans" &amp; E29 &amp; "TBL"), 0, 1), 0), 2), 0)</f>
        <v>0</v>
      </c>
      <c r="P29" s="293">
        <f ca="1">IFERROR(AVERAGE(O29,O33),0)</f>
        <v>0</v>
      </c>
      <c r="Q29" s="575"/>
      <c r="R29" s="287" t="str">
        <f>N29</f>
        <v/>
      </c>
      <c r="S29" s="135">
        <f ca="1">IFERROR(INDEX(INDIRECT("Ans" &amp; E29 &amp; "TBL"), MATCH(R29, INDEX(INDIRECT("Ans" &amp; E29 &amp; "TBL"), 0, 1), 0), 2), 0)</f>
        <v>0</v>
      </c>
      <c r="T29" s="294">
        <f ca="1">IFERROR(AVERAGE(S29,S33),0)</f>
        <v>0</v>
      </c>
      <c r="U29" s="575"/>
      <c r="V29" s="287" t="str">
        <f>R29</f>
        <v/>
      </c>
      <c r="W29" s="305">
        <f ca="1">IFERROR(INDEX(INDIRECT("Ans" &amp; E29 &amp; "TBL"), MATCH(V29, INDEX(INDIRECT("Ans" &amp; E29 &amp; "TBL"), 0, 1), 0), 2), 0)</f>
        <v>0</v>
      </c>
      <c r="X29" s="293">
        <f ca="1">IFERROR(AVERAGE(W29,W33),0)</f>
        <v>0</v>
      </c>
      <c r="Y29" s="575"/>
      <c r="Z29" s="575"/>
    </row>
    <row r="30" spans="1:26" ht="13.05" customHeight="1" x14ac:dyDescent="0.35">
      <c r="B30" s="237"/>
      <c r="C30" s="238"/>
      <c r="D30" s="124"/>
      <c r="E30" s="124"/>
      <c r="F30" s="124"/>
      <c r="G30" s="124"/>
      <c r="H30" s="320"/>
      <c r="I30" s="575"/>
      <c r="J30" s="124"/>
      <c r="K30" s="124"/>
      <c r="L30" s="320"/>
      <c r="M30" s="575"/>
      <c r="N30" s="124"/>
      <c r="O30" s="124"/>
      <c r="P30" s="124"/>
      <c r="Q30" s="575"/>
      <c r="R30" s="124"/>
      <c r="S30" s="321"/>
      <c r="T30" s="320"/>
      <c r="U30" s="575"/>
      <c r="V30" s="124"/>
      <c r="W30" s="124"/>
      <c r="X30" s="320"/>
      <c r="Y30" s="575"/>
      <c r="Z30" s="575"/>
    </row>
    <row r="31" spans="1:26" ht="28.25" customHeight="1" x14ac:dyDescent="0.35">
      <c r="A31" s="87" t="str">
        <f>Interview!A39</f>
        <v>G-PC-B-1-1</v>
      </c>
      <c r="B31" s="620" t="str">
        <f>INDEX('imp-questions'!D:D, MATCH(A31, 'imp-questions'!A:A, 0))</f>
        <v>Compliance Management</v>
      </c>
      <c r="C31" s="234">
        <f>INDEX('imp-questions'!E:E, MATCH(A31, 'imp-questions'!A:A, 0))</f>
        <v>1</v>
      </c>
      <c r="D31" s="300" t="str">
        <f>INDEX('imp-questions'!F:F, MATCH(A31, 'imp-questions'!A:A, 0))</f>
        <v>Do you have a complete picture of your external compliance obligations?</v>
      </c>
      <c r="E31" s="113" t="str">
        <f>CHAR(65+INDEX('imp-questions'!H:H, MATCH(A31, 'imp-questions'!A:A, 0)))</f>
        <v>A</v>
      </c>
      <c r="F31" s="287" t="str">
        <f>IF(ISBLANK(Interview!F39),"",Interview!F39)</f>
        <v/>
      </c>
      <c r="G31" s="322">
        <f ca="1">IFERROR(INDEX(INDIRECT("Ans" &amp; E31 &amp; "TBL"), MATCH(F31, INDEX(INDIRECT("Ans" &amp; E31 &amp; "TBL"), 0, 1), 0), 2), 0)</f>
        <v>0</v>
      </c>
      <c r="H31" s="323"/>
      <c r="I31" s="575"/>
      <c r="J31" s="287" t="str">
        <f>F31</f>
        <v/>
      </c>
      <c r="K31" s="322">
        <f ca="1">IFERROR(INDEX(INDIRECT("Ans" &amp; E31 &amp; "TBL"), MATCH(J31, INDEX(INDIRECT("Ans" &amp; E31 &amp; "TBL"), 0, 1), 0), 2), 0)</f>
        <v>0</v>
      </c>
      <c r="L31" s="323"/>
      <c r="M31" s="575"/>
      <c r="N31" s="287" t="str">
        <f>J31</f>
        <v/>
      </c>
      <c r="O31" s="324">
        <f ca="1">IFERROR(INDEX(INDIRECT("Ans" &amp; E31 &amp; "TBL"), MATCH(N31, INDEX(INDIRECT("Ans" &amp; E31 &amp; "TBL"), 0, 1), 0), 2), 0)</f>
        <v>0</v>
      </c>
      <c r="P31" s="325"/>
      <c r="Q31" s="575"/>
      <c r="R31" s="287" t="str">
        <f>N31</f>
        <v/>
      </c>
      <c r="S31" s="135">
        <f ca="1">IFERROR(INDEX(INDIRECT("Ans" &amp; E31 &amp; "TBL"), MATCH(R31, INDEX(INDIRECT("Ans" &amp; E31 &amp; "TBL"), 0, 1), 0), 2), 0)</f>
        <v>0</v>
      </c>
      <c r="T31" s="326"/>
      <c r="U31" s="575"/>
      <c r="V31" s="287" t="str">
        <f>R31</f>
        <v/>
      </c>
      <c r="W31" s="305">
        <f ca="1">IFERROR(INDEX(INDIRECT("Ans" &amp; E31 &amp; "TBL"), MATCH(V31, INDEX(INDIRECT("Ans" &amp; E31 &amp; "TBL"), 0, 1), 0), 2), 0)</f>
        <v>0</v>
      </c>
      <c r="X31" s="323"/>
      <c r="Y31" s="575"/>
      <c r="Z31" s="575"/>
    </row>
    <row r="32" spans="1:26" ht="28.25" customHeight="1" x14ac:dyDescent="0.35">
      <c r="A32" s="87" t="str">
        <f>Interview!A41</f>
        <v>G-PC-B-2-1</v>
      </c>
      <c r="B32" s="601"/>
      <c r="C32" s="234">
        <f>INDEX('imp-questions'!E:E, MATCH(A32, 'imp-questions'!A:A, 0))</f>
        <v>2</v>
      </c>
      <c r="D32" s="300" t="str">
        <f>INDEX('imp-questions'!F:F, MATCH(A32, 'imp-questions'!A:A, 0))</f>
        <v>Do you have a standard set of security requirements and verification procedures addressing the organization's external compliance obligations?</v>
      </c>
      <c r="E32" s="113" t="str">
        <f>CHAR(65+INDEX('imp-questions'!H:H, MATCH(A32, 'imp-questions'!A:A, 0)))</f>
        <v>U</v>
      </c>
      <c r="F32" s="284" t="str">
        <f>IF(ISBLANK(Interview!F41),"",Interview!F41)</f>
        <v/>
      </c>
      <c r="G32" s="322">
        <f ca="1">IFERROR(INDEX(INDIRECT("Ans" &amp; E32 &amp; "TBL"), MATCH(F32, INDEX(INDIRECT("Ans" &amp; E32 &amp; "TBL"), 0, 1), 0), 2), 0)</f>
        <v>0</v>
      </c>
      <c r="H32" s="308"/>
      <c r="I32" s="575"/>
      <c r="J32" s="287" t="str">
        <f>F32</f>
        <v/>
      </c>
      <c r="K32" s="322">
        <f ca="1">IFERROR(INDEX(INDIRECT("Ans" &amp; E32 &amp; "TBL"), MATCH(J32, INDEX(INDIRECT("Ans" &amp; E32 &amp; "TBL"), 0, 1), 0), 2), 0)</f>
        <v>0</v>
      </c>
      <c r="L32" s="308"/>
      <c r="M32" s="575"/>
      <c r="N32" s="287" t="str">
        <f>J32</f>
        <v/>
      </c>
      <c r="O32" s="324">
        <f ca="1">IFERROR(INDEX(INDIRECT("Ans" &amp; E32 &amp; "TBL"), MATCH(N32, INDEX(INDIRECT("Ans" &amp; E32 &amp; "TBL"), 0, 1), 0), 2), 0)</f>
        <v>0</v>
      </c>
      <c r="P32" s="325"/>
      <c r="Q32" s="575"/>
      <c r="R32" s="287" t="str">
        <f>N32</f>
        <v/>
      </c>
      <c r="S32" s="135">
        <f ca="1">IFERROR(INDEX(INDIRECT("Ans" &amp; E32 &amp; "TBL"), MATCH(R32, INDEX(INDIRECT("Ans" &amp; E32 &amp; "TBL"), 0, 1), 0), 2), 0)</f>
        <v>0</v>
      </c>
      <c r="T32" s="309"/>
      <c r="U32" s="575"/>
      <c r="V32" s="287" t="str">
        <f>R32</f>
        <v/>
      </c>
      <c r="W32" s="305">
        <f ca="1">IFERROR(INDEX(INDIRECT("Ans" &amp; E32 &amp; "TBL"), MATCH(V32, INDEX(INDIRECT("Ans" &amp; E32 &amp; "TBL"), 0, 1), 0), 2), 0)</f>
        <v>0</v>
      </c>
      <c r="X32" s="308"/>
      <c r="Y32" s="575"/>
      <c r="Z32" s="575"/>
    </row>
    <row r="33" spans="1:26" ht="28.25" customHeight="1" x14ac:dyDescent="0.35">
      <c r="A33" s="87" t="str">
        <f>Interview!A43</f>
        <v>G-PC-B-3-1</v>
      </c>
      <c r="B33" s="605"/>
      <c r="C33" s="234">
        <f>INDEX('imp-questions'!E:E, MATCH(A33, 'imp-questions'!A:A, 0))</f>
        <v>3</v>
      </c>
      <c r="D33" s="296" t="str">
        <f>INDEX('imp-questions'!F:F, MATCH(A33, 'imp-questions'!A:A, 0))</f>
        <v>Do you regularly report on adherence to external compliance obligations and use that information to guide efforts to close compliance gaps?</v>
      </c>
      <c r="E33" s="113" t="str">
        <f>CHAR(65+INDEX('imp-questions'!H:H, MATCH(A33, 'imp-questions'!A:A, 0)))</f>
        <v>T</v>
      </c>
      <c r="F33" s="284" t="str">
        <f>IF(ISBLANK(Interview!F43),"",Interview!F43)</f>
        <v/>
      </c>
      <c r="G33" s="322">
        <f ca="1">IFERROR(INDEX(INDIRECT("Ans" &amp; E33 &amp; "TBL"), MATCH(F33, INDEX(INDIRECT("Ans" &amp; E33 &amp; "TBL"), 0, 1), 0), 2), 0)</f>
        <v>0</v>
      </c>
      <c r="H33" s="311"/>
      <c r="I33" s="576"/>
      <c r="J33" s="287" t="str">
        <f>F33</f>
        <v/>
      </c>
      <c r="K33" s="322">
        <f ca="1">IFERROR(INDEX(INDIRECT("Ans" &amp; E33 &amp; "TBL"), MATCH(J33, INDEX(INDIRECT("Ans" &amp; E33 &amp; "TBL"), 0, 1), 0), 2), 0)</f>
        <v>0</v>
      </c>
      <c r="L33" s="311"/>
      <c r="M33" s="576"/>
      <c r="N33" s="287" t="str">
        <f>J33</f>
        <v/>
      </c>
      <c r="O33" s="324">
        <f ca="1">IFERROR(INDEX(INDIRECT("Ans" &amp; E33 &amp; "TBL"), MATCH(N33, INDEX(INDIRECT("Ans" &amp; E33 &amp; "TBL"), 0, 1), 0), 2), 0)</f>
        <v>0</v>
      </c>
      <c r="P33" s="325"/>
      <c r="Q33" s="576"/>
      <c r="R33" s="287" t="str">
        <f>N33</f>
        <v/>
      </c>
      <c r="S33" s="135">
        <f ca="1">IFERROR(INDEX(INDIRECT("Ans" &amp; E33 &amp; "TBL"), MATCH(R33, INDEX(INDIRECT("Ans" &amp; E33 &amp; "TBL"), 0, 1), 0), 2), 0)</f>
        <v>0</v>
      </c>
      <c r="T33" s="312"/>
      <c r="U33" s="576"/>
      <c r="V33" s="287" t="str">
        <f>R33</f>
        <v/>
      </c>
      <c r="W33" s="305">
        <f ca="1">IFERROR(INDEX(INDIRECT("Ans" &amp; E33 &amp; "TBL"), MATCH(V33, INDEX(INDIRECT("Ans" &amp; E33 &amp; "TBL"), 0, 1), 0), 2), 0)</f>
        <v>0</v>
      </c>
      <c r="X33" s="311"/>
      <c r="Y33" s="576"/>
      <c r="Z33" s="576"/>
    </row>
    <row r="34" spans="1:26" ht="13.05" customHeight="1" x14ac:dyDescent="0.35">
      <c r="B34" s="237"/>
      <c r="C34" s="238"/>
      <c r="D34" s="124"/>
      <c r="E34" s="124"/>
      <c r="F34" s="124"/>
      <c r="G34" s="124"/>
      <c r="H34" s="321"/>
      <c r="I34" s="125"/>
      <c r="J34" s="124"/>
      <c r="K34" s="124"/>
      <c r="L34" s="321"/>
      <c r="M34" s="125"/>
      <c r="N34" s="124"/>
      <c r="O34" s="124"/>
      <c r="P34" s="124"/>
      <c r="Q34" s="125"/>
      <c r="R34" s="124"/>
      <c r="S34" s="321"/>
      <c r="T34" s="321"/>
      <c r="U34" s="125"/>
      <c r="V34" s="124"/>
      <c r="W34" s="124"/>
      <c r="X34" s="321"/>
      <c r="Y34" s="125"/>
      <c r="Z34" s="125"/>
    </row>
    <row r="35" spans="1:26" ht="16.25" customHeight="1" x14ac:dyDescent="0.35">
      <c r="B35" s="232" t="s">
        <v>12</v>
      </c>
      <c r="C35" s="233" t="s">
        <v>13</v>
      </c>
      <c r="D35" s="314" t="s">
        <v>31</v>
      </c>
      <c r="E35" s="327"/>
      <c r="F35" s="316" t="s">
        <v>15</v>
      </c>
      <c r="G35" s="316"/>
      <c r="H35" s="328"/>
      <c r="I35" s="278" t="s">
        <v>17</v>
      </c>
      <c r="J35" s="316" t="s">
        <v>15</v>
      </c>
      <c r="K35" s="317"/>
      <c r="L35" s="318"/>
      <c r="M35" s="278" t="s">
        <v>17</v>
      </c>
      <c r="N35" s="316" t="s">
        <v>15</v>
      </c>
      <c r="O35" s="316"/>
      <c r="P35" s="318"/>
      <c r="Q35" s="278" t="s">
        <v>17</v>
      </c>
      <c r="R35" s="316" t="s">
        <v>15</v>
      </c>
      <c r="S35" s="317"/>
      <c r="T35" s="318"/>
      <c r="U35" s="278" t="s">
        <v>17</v>
      </c>
      <c r="V35" s="316" t="s">
        <v>15</v>
      </c>
      <c r="W35" s="317"/>
      <c r="X35" s="318"/>
      <c r="Y35" s="278" t="s">
        <v>17</v>
      </c>
      <c r="Z35" s="278" t="s">
        <v>253</v>
      </c>
    </row>
    <row r="36" spans="1:26" ht="28.25" customHeight="1" x14ac:dyDescent="0.35">
      <c r="A36" s="87" t="str">
        <f>Interview!A46</f>
        <v>G-EG-A-1-1</v>
      </c>
      <c r="B36" s="620" t="str">
        <f>INDEX('imp-questions'!D:D, MATCH(A36, 'imp-questions'!A:A, 0))</f>
        <v>Training and Awareness</v>
      </c>
      <c r="C36" s="234">
        <f>INDEX('imp-questions'!E:E, MATCH(A36, 'imp-questions'!A:A, 0))</f>
        <v>1</v>
      </c>
      <c r="D36" s="300" t="str">
        <f>INDEX('imp-questions'!F:F, MATCH(A36, 'imp-questions'!A:A, 0))</f>
        <v>Do you require employees involved with application development to take SDLC training?</v>
      </c>
      <c r="E36" s="329" t="str">
        <f>CHAR(65+INDEX('imp-questions'!H:H, MATCH(A36, 'imp-questions'!A:A, 0)))</f>
        <v>B</v>
      </c>
      <c r="F36" s="330" t="str">
        <f>IF(ISBLANK(Interview!F46),"",Interview!F46)</f>
        <v/>
      </c>
      <c r="G36" s="324">
        <f ca="1">IFERROR(INDEX(INDIRECT("Ans" &amp; E36 &amp; "TBL"), MATCH(F36, INDEX(INDIRECT("Ans" &amp; E36 &amp; "TBL"), 0, 1), 0), 2), 0)</f>
        <v>0</v>
      </c>
      <c r="H36" s="331">
        <f ca="1">IFERROR(AVERAGE(G36,G40),0)</f>
        <v>0</v>
      </c>
      <c r="I36" s="586">
        <f ca="1">SUM(H36,H37,H38)</f>
        <v>0</v>
      </c>
      <c r="J36" s="287" t="str">
        <f>F36</f>
        <v/>
      </c>
      <c r="K36" s="332">
        <f ca="1">IFERROR(INDEX(INDIRECT("Ans" &amp; E36 &amp; "TBL"), MATCH(J36, INDEX(INDIRECT("Ans" &amp; E36 &amp; "TBL"), 0, 1), 0), 2), 0)</f>
        <v>0</v>
      </c>
      <c r="L36" s="333">
        <f ca="1">IFERROR(AVERAGE(K36,K40),0)</f>
        <v>0</v>
      </c>
      <c r="M36" s="586">
        <f ca="1">SUM(L36,L37,L38)</f>
        <v>0</v>
      </c>
      <c r="N36" s="287" t="str">
        <f>J36</f>
        <v/>
      </c>
      <c r="O36" s="305">
        <f ca="1">IFERROR(INDEX(INDIRECT("Ans" &amp; E36 &amp; "TBL"), MATCH(N36, INDEX(INDIRECT("Ans" &amp; E36 &amp; "TBL"), 0, 1), 0), 2), 0)</f>
        <v>0</v>
      </c>
      <c r="P36" s="333">
        <f ca="1">IFERROR(AVERAGE(O36,O40),0)</f>
        <v>0</v>
      </c>
      <c r="Q36" s="586">
        <f ca="1">SUM(P36,P37,P38)</f>
        <v>0</v>
      </c>
      <c r="R36" s="287" t="str">
        <f>N36</f>
        <v/>
      </c>
      <c r="S36" s="135">
        <f ca="1">IFERROR(INDEX(INDIRECT("Ans" &amp; E36 &amp; "TBL"), MATCH(R36, INDEX(INDIRECT("Ans" &amp; E36 &amp; "TBL"), 0, 1), 0), 2), 0)</f>
        <v>0</v>
      </c>
      <c r="T36" s="334">
        <f ca="1">IFERROR(AVERAGE(S36,S40),0)</f>
        <v>0</v>
      </c>
      <c r="U36" s="586">
        <f ca="1">SUM(T36,T37,T38)</f>
        <v>0</v>
      </c>
      <c r="V36" s="287" t="str">
        <f>R36</f>
        <v/>
      </c>
      <c r="W36" s="290">
        <f ca="1">IFERROR(INDEX(INDIRECT("Ans" &amp; E36 &amp; "TBL"), MATCH(V36, INDEX(INDIRECT("Ans" &amp; E36 &amp; "TBL"), 0, 1), 0), 2), 0)</f>
        <v>0</v>
      </c>
      <c r="X36" s="333">
        <f ca="1">IFERROR(AVERAGE(W36,W40),0)</f>
        <v>0</v>
      </c>
      <c r="Y36" s="586">
        <f ca="1">SUM(X36,X37,X38)</f>
        <v>0</v>
      </c>
      <c r="Z36" s="586">
        <f ca="1">IFERROR(Y36-I36,Y36-LEFT(I36,1))</f>
        <v>0</v>
      </c>
    </row>
    <row r="37" spans="1:26" ht="28.25" customHeight="1" x14ac:dyDescent="0.35">
      <c r="A37" s="87" t="str">
        <f>Interview!A48</f>
        <v>G-EG-A-2-1</v>
      </c>
      <c r="B37" s="601"/>
      <c r="C37" s="234">
        <f>INDEX('imp-questions'!E:E, MATCH(A37, 'imp-questions'!A:A, 0))</f>
        <v>2</v>
      </c>
      <c r="D37" s="300" t="str">
        <f>INDEX('imp-questions'!F:F, MATCH(A37, 'imp-questions'!A:A, 0))</f>
        <v>Is training customized for individual roles such as developers, testers, or security champions?</v>
      </c>
      <c r="E37" s="329" t="str">
        <f>CHAR(65+INDEX('imp-questions'!H:H, MATCH(A37, 'imp-questions'!A:A, 0)))</f>
        <v>D</v>
      </c>
      <c r="F37" s="335" t="str">
        <f>IF(ISBLANK(Interview!F48),"",Interview!F48)</f>
        <v/>
      </c>
      <c r="G37" s="324">
        <f ca="1">IFERROR(INDEX(INDIRECT("Ans" &amp; E37 &amp; "TBL"), MATCH(F37, INDEX(INDIRECT("Ans" &amp; E37 &amp; "TBL"), 0, 1), 0), 2), 0)</f>
        <v>0</v>
      </c>
      <c r="H37" s="336">
        <f ca="1">IFERROR(AVERAGE(G37,G41),0)</f>
        <v>0</v>
      </c>
      <c r="I37" s="575"/>
      <c r="J37" s="287" t="str">
        <f>F37</f>
        <v/>
      </c>
      <c r="K37" s="305">
        <f ca="1">IFERROR(INDEX(INDIRECT("Ans" &amp; E37 &amp; "TBL"), MATCH(J37, INDEX(INDIRECT("Ans" &amp; E37 &amp; "TBL"), 0, 1), 0), 2), 0)</f>
        <v>0</v>
      </c>
      <c r="L37" s="337">
        <f ca="1">IFERROR(AVERAGE(K37,K41),0)</f>
        <v>0</v>
      </c>
      <c r="M37" s="575"/>
      <c r="N37" s="287" t="str">
        <f>J37</f>
        <v/>
      </c>
      <c r="O37" s="305">
        <f ca="1">IFERROR(INDEX(INDIRECT("Ans" &amp; E37 &amp; "TBL"), MATCH(N37, INDEX(INDIRECT("Ans" &amp; E37 &amp; "TBL"), 0, 1), 0), 2), 0)</f>
        <v>0</v>
      </c>
      <c r="P37" s="337">
        <f ca="1">IFERROR(AVERAGE(O37,O41),0)</f>
        <v>0</v>
      </c>
      <c r="Q37" s="575"/>
      <c r="R37" s="287" t="str">
        <f>N37</f>
        <v/>
      </c>
      <c r="S37" s="135">
        <f ca="1">IFERROR(INDEX(INDIRECT("Ans" &amp; E37 &amp; "TBL"), MATCH(R37, INDEX(INDIRECT("Ans" &amp; E37 &amp; "TBL"), 0, 1), 0), 2), 0)</f>
        <v>0</v>
      </c>
      <c r="T37" s="338">
        <f ca="1">IFERROR(AVERAGE(S37,S41),0)</f>
        <v>0</v>
      </c>
      <c r="U37" s="575"/>
      <c r="V37" s="287" t="str">
        <f>R37</f>
        <v/>
      </c>
      <c r="W37" s="295">
        <f ca="1">IFERROR(INDEX(INDIRECT("Ans" &amp; E37 &amp; "TBL"), MATCH(V37, INDEX(INDIRECT("Ans" &amp; E37 &amp; "TBL"), 0, 1), 0), 2), 0)</f>
        <v>0</v>
      </c>
      <c r="X37" s="337">
        <f ca="1">IFERROR(AVERAGE(W37,W41),0)</f>
        <v>0</v>
      </c>
      <c r="Y37" s="575"/>
      <c r="Z37" s="575"/>
    </row>
    <row r="38" spans="1:26" ht="28.25" customHeight="1" x14ac:dyDescent="0.35">
      <c r="A38" s="87" t="str">
        <f>Interview!A50</f>
        <v>G-EG-A-3-1</v>
      </c>
      <c r="B38" s="605"/>
      <c r="C38" s="234">
        <f>INDEX('imp-questions'!E:E, MATCH(A38, 'imp-questions'!A:A, 0))</f>
        <v>3</v>
      </c>
      <c r="D38" s="296" t="str">
        <f>INDEX('imp-questions'!F:F, MATCH(A38, 'imp-questions'!A:A, 0))</f>
        <v>Have you implemented a Learning Management System or equivalent to track employee training and certification processes?</v>
      </c>
      <c r="E38" s="329" t="str">
        <f>CHAR(65+INDEX('imp-questions'!H:H, MATCH(A38, 'imp-questions'!A:A, 0)))</f>
        <v>D</v>
      </c>
      <c r="F38" s="335" t="str">
        <f>IF(ISBLANK(Interview!F50),"",Interview!F50)</f>
        <v/>
      </c>
      <c r="G38" s="324">
        <f ca="1">IFERROR(INDEX(INDIRECT("Ans" &amp; E38 &amp; "TBL"), MATCH(F38, INDEX(INDIRECT("Ans" &amp; E38 &amp; "TBL"), 0, 1), 0), 2), 0)</f>
        <v>0</v>
      </c>
      <c r="H38" s="336">
        <f ca="1">IFERROR(AVERAGE(G38,G42),0)</f>
        <v>0</v>
      </c>
      <c r="I38" s="575"/>
      <c r="J38" s="287" t="str">
        <f>F38</f>
        <v/>
      </c>
      <c r="K38" s="339">
        <f ca="1">IFERROR(INDEX(INDIRECT("Ans" &amp; E38 &amp; "TBL"), MATCH(J38, INDEX(INDIRECT("Ans" &amp; E38 &amp; "TBL"), 0, 1), 0), 2), 0)</f>
        <v>0</v>
      </c>
      <c r="L38" s="337">
        <f ca="1">IFERROR(AVERAGE(K38,K42),0)</f>
        <v>0</v>
      </c>
      <c r="M38" s="575"/>
      <c r="N38" s="287" t="str">
        <f>J38</f>
        <v/>
      </c>
      <c r="O38" s="305">
        <f ca="1">IFERROR(INDEX(INDIRECT("Ans" &amp; E38 &amp; "TBL"), MATCH(N38, INDEX(INDIRECT("Ans" &amp; E38 &amp; "TBL"), 0, 1), 0), 2), 0)</f>
        <v>0</v>
      </c>
      <c r="P38" s="337">
        <f ca="1">IFERROR(AVERAGE(O38,O42),0)</f>
        <v>0</v>
      </c>
      <c r="Q38" s="575"/>
      <c r="R38" s="287" t="str">
        <f>N38</f>
        <v/>
      </c>
      <c r="S38" s="135">
        <f ca="1">IFERROR(INDEX(INDIRECT("Ans" &amp; E38 &amp; "TBL"), MATCH(R38, INDEX(INDIRECT("Ans" &amp; E38 &amp; "TBL"), 0, 1), 0), 2), 0)</f>
        <v>0</v>
      </c>
      <c r="T38" s="338">
        <f ca="1">IFERROR(AVERAGE(S38,S42),0)</f>
        <v>0</v>
      </c>
      <c r="U38" s="575"/>
      <c r="V38" s="287" t="str">
        <f>R38</f>
        <v/>
      </c>
      <c r="W38" s="299">
        <f ca="1">IFERROR(INDEX(INDIRECT("Ans" &amp; E38 &amp; "TBL"), MATCH(V38, INDEX(INDIRECT("Ans" &amp; E38 &amp; "TBL"), 0, 1), 0), 2), 0)</f>
        <v>0</v>
      </c>
      <c r="X38" s="337">
        <f ca="1">IFERROR(AVERAGE(W38,W42),0)</f>
        <v>0</v>
      </c>
      <c r="Y38" s="575"/>
      <c r="Z38" s="575"/>
    </row>
    <row r="39" spans="1:26" ht="13.05" customHeight="1" x14ac:dyDescent="0.35">
      <c r="B39" s="235"/>
      <c r="C39" s="236"/>
      <c r="D39" s="125"/>
      <c r="E39" s="153"/>
      <c r="F39" s="125"/>
      <c r="G39" s="125"/>
      <c r="H39" s="125"/>
      <c r="I39" s="575"/>
      <c r="J39" s="125"/>
      <c r="K39" s="153"/>
      <c r="L39" s="153"/>
      <c r="M39" s="575"/>
      <c r="N39" s="125"/>
      <c r="O39" s="153"/>
      <c r="P39" s="153"/>
      <c r="Q39" s="575"/>
      <c r="R39" s="125"/>
      <c r="S39" s="153"/>
      <c r="T39" s="153"/>
      <c r="U39" s="575"/>
      <c r="V39" s="125"/>
      <c r="W39" s="153"/>
      <c r="X39" s="153"/>
      <c r="Y39" s="575"/>
      <c r="Z39" s="575"/>
    </row>
    <row r="40" spans="1:26" ht="28.25" customHeight="1" x14ac:dyDescent="0.35">
      <c r="A40" s="87" t="str">
        <f>Interview!A53</f>
        <v>G-EG-B-1-1</v>
      </c>
      <c r="B40" s="620" t="str">
        <f>INDEX('imp-questions'!D:D, MATCH(A40, 'imp-questions'!A:A, 0))</f>
        <v>Organization and Culture</v>
      </c>
      <c r="C40" s="234">
        <f>INDEX('imp-questions'!E:E, MATCH(A40, 'imp-questions'!A:A, 0))</f>
        <v>1</v>
      </c>
      <c r="D40" s="300" t="str">
        <f>INDEX('imp-questions'!F:F, MATCH(A40, 'imp-questions'!A:A, 0))</f>
        <v>Have you identified a Security Champion for each development team?</v>
      </c>
      <c r="E40" s="329" t="str">
        <f>CHAR(65+INDEX('imp-questions'!H:H, MATCH(A40, 'imp-questions'!A:A, 0)))</f>
        <v>V</v>
      </c>
      <c r="F40" s="330" t="str">
        <f>IF(ISBLANK(Interview!F53),"",Interview!F53)</f>
        <v/>
      </c>
      <c r="G40" s="324">
        <f ca="1">IFERROR(INDEX(INDIRECT("Ans" &amp; E40 &amp; "TBL"), MATCH(F40, INDEX(INDIRECT("Ans" &amp; E40 &amp; "TBL"), 0, 1), 0), 2), 0)</f>
        <v>0</v>
      </c>
      <c r="H40" s="340"/>
      <c r="I40" s="575"/>
      <c r="J40" s="287" t="str">
        <f>F40</f>
        <v/>
      </c>
      <c r="K40" s="332">
        <f ca="1">IFERROR(INDEX(INDIRECT("Ans" &amp; E40 &amp; "TBL"), MATCH(J40, INDEX(INDIRECT("Ans" &amp; E40 &amp; "TBL"), 0, 1), 0), 2), 0)</f>
        <v>0</v>
      </c>
      <c r="L40" s="323"/>
      <c r="M40" s="575"/>
      <c r="N40" s="287" t="str">
        <f>J40</f>
        <v/>
      </c>
      <c r="O40" s="341">
        <f ca="1">IFERROR(INDEX(INDIRECT("Ans" &amp; E40 &amp; "TBL"), MATCH(N40, INDEX(INDIRECT("Ans" &amp; E40 &amp; "TBL"), 0, 1), 0), 2), 0)</f>
        <v>0</v>
      </c>
      <c r="P40" s="342"/>
      <c r="Q40" s="575"/>
      <c r="R40" s="287" t="str">
        <f>N40</f>
        <v/>
      </c>
      <c r="S40" s="135">
        <f ca="1">IFERROR(INDEX(INDIRECT("Ans" &amp; E40 &amp; "TBL"), MATCH(R40, INDEX(INDIRECT("Ans" &amp; E40 &amp; "TBL"), 0, 1), 0), 2), 0)</f>
        <v>0</v>
      </c>
      <c r="T40" s="326"/>
      <c r="U40" s="575"/>
      <c r="V40" s="287" t="str">
        <f>R40</f>
        <v/>
      </c>
      <c r="W40" s="343">
        <f ca="1">IFERROR(INDEX(INDIRECT("Ans" &amp; E40 &amp; "TBL"), MATCH(V40, INDEX(INDIRECT("Ans" &amp; E40 &amp; "TBL"), 0, 1), 0), 2), 0)</f>
        <v>0</v>
      </c>
      <c r="X40" s="342"/>
      <c r="Y40" s="575"/>
      <c r="Z40" s="575"/>
    </row>
    <row r="41" spans="1:26" ht="28.25" customHeight="1" x14ac:dyDescent="0.35">
      <c r="A41" s="87" t="str">
        <f>Interview!A55</f>
        <v>G-EG-B-2-1</v>
      </c>
      <c r="B41" s="601"/>
      <c r="C41" s="234">
        <f>INDEX('imp-questions'!E:E, MATCH(A41, 'imp-questions'!A:A, 0))</f>
        <v>2</v>
      </c>
      <c r="D41" s="300" t="str">
        <f>INDEX('imp-questions'!F:F, MATCH(A41, 'imp-questions'!A:A, 0))</f>
        <v>Does the organization have a Secure Software Center of Excellence (SSCE)?</v>
      </c>
      <c r="E41" s="329" t="str">
        <f>CHAR(65+INDEX('imp-questions'!H:H, MATCH(A41, 'imp-questions'!A:A, 0)))</f>
        <v>F</v>
      </c>
      <c r="F41" s="335" t="str">
        <f>IF(ISBLANK(Interview!F55),"",Interview!F55)</f>
        <v/>
      </c>
      <c r="G41" s="324">
        <f ca="1">IFERROR(INDEX(INDIRECT("Ans" &amp; E41 &amp; "TBL"), MATCH(F41, INDEX(INDIRECT("Ans" &amp; E41 &amp; "TBL"), 0, 1), 0), 2), 0)</f>
        <v>0</v>
      </c>
      <c r="H41" s="340"/>
      <c r="I41" s="575"/>
      <c r="J41" s="287" t="str">
        <f>F41</f>
        <v/>
      </c>
      <c r="K41" s="305">
        <f ca="1">IFERROR(INDEX(INDIRECT("Ans" &amp; E41 &amp; "TBL"), MATCH(J41, INDEX(INDIRECT("Ans" &amp; E41 &amp; "TBL"), 0, 1), 0), 2), 0)</f>
        <v>0</v>
      </c>
      <c r="L41" s="308"/>
      <c r="M41" s="575"/>
      <c r="N41" s="287" t="str">
        <f>J41</f>
        <v/>
      </c>
      <c r="O41" s="344">
        <f ca="1">IFERROR(INDEX(INDIRECT("Ans" &amp; E41 &amp; "TBL"), MATCH(N41, INDEX(INDIRECT("Ans" &amp; E41 &amp; "TBL"), 0, 1), 0), 2), 0)</f>
        <v>0</v>
      </c>
      <c r="P41" s="345"/>
      <c r="Q41" s="575"/>
      <c r="R41" s="287" t="str">
        <f>N41</f>
        <v/>
      </c>
      <c r="S41" s="135">
        <f ca="1">IFERROR(INDEX(INDIRECT("Ans" &amp; E41 &amp; "TBL"), MATCH(R41, INDEX(INDIRECT("Ans" &amp; E41 &amp; "TBL"), 0, 1), 0), 2), 0)</f>
        <v>0</v>
      </c>
      <c r="T41" s="309"/>
      <c r="U41" s="575"/>
      <c r="V41" s="287" t="str">
        <f>R41</f>
        <v/>
      </c>
      <c r="W41" s="346">
        <f ca="1">IFERROR(INDEX(INDIRECT("Ans" &amp; E41 &amp; "TBL"), MATCH(V41, INDEX(INDIRECT("Ans" &amp; E41 &amp; "TBL"), 0, 1), 0), 2), 0)</f>
        <v>0</v>
      </c>
      <c r="X41" s="345"/>
      <c r="Y41" s="575"/>
      <c r="Z41" s="575"/>
    </row>
    <row r="42" spans="1:26" ht="28.25" customHeight="1" x14ac:dyDescent="0.35">
      <c r="A42" s="87" t="str">
        <f>Interview!A57</f>
        <v>G-EG-B-3-1</v>
      </c>
      <c r="B42" s="605"/>
      <c r="C42" s="234">
        <f>INDEX('imp-questions'!E:E, MATCH(A42, 'imp-questions'!A:A, 0))</f>
        <v>3</v>
      </c>
      <c r="D42" s="296" t="str">
        <f>INDEX('imp-questions'!F:F, MATCH(A42, 'imp-questions'!A:A, 0))</f>
        <v>Is there a centralized portal where developers and application security professionals from different teams and business units are able to communicate and share information?</v>
      </c>
      <c r="E42" s="329" t="str">
        <f>CHAR(65+INDEX('imp-questions'!H:H, MATCH(A42, 'imp-questions'!A:A, 0)))</f>
        <v>F</v>
      </c>
      <c r="F42" s="335" t="str">
        <f>IF(ISBLANK(Interview!F57),"",Interview!F57)</f>
        <v/>
      </c>
      <c r="G42" s="324">
        <f ca="1">IFERROR(INDEX(INDIRECT("Ans" &amp; E42 &amp; "TBL"), MATCH(F42, INDEX(INDIRECT("Ans" &amp; E42 &amp; "TBL"), 0, 1), 0), 2), 0)</f>
        <v>0</v>
      </c>
      <c r="H42" s="340"/>
      <c r="I42" s="471"/>
      <c r="J42" s="287" t="str">
        <f>F42</f>
        <v/>
      </c>
      <c r="K42" s="339">
        <f ca="1">IFERROR(INDEX(INDIRECT("Ans" &amp; E42 &amp; "TBL"), MATCH(J42, INDEX(INDIRECT("Ans" &amp; E42 &amp; "TBL"), 0, 1), 0), 2), 0)</f>
        <v>0</v>
      </c>
      <c r="L42" s="311"/>
      <c r="M42" s="471"/>
      <c r="N42" s="287" t="str">
        <f>J42</f>
        <v/>
      </c>
      <c r="O42" s="347">
        <f ca="1">IFERROR(INDEX(INDIRECT("Ans" &amp; E42 &amp; "TBL"), MATCH(N42, INDEX(INDIRECT("Ans" &amp; E42 &amp; "TBL"), 0, 1), 0), 2), 0)</f>
        <v>0</v>
      </c>
      <c r="P42" s="348"/>
      <c r="Q42" s="471"/>
      <c r="R42" s="287" t="str">
        <f>N42</f>
        <v/>
      </c>
      <c r="S42" s="135">
        <f ca="1">IFERROR(INDEX(INDIRECT("Ans" &amp; E42 &amp; "TBL"), MATCH(R42, INDEX(INDIRECT("Ans" &amp; E42 &amp; "TBL"), 0, 1), 0), 2), 0)</f>
        <v>0</v>
      </c>
      <c r="T42" s="312"/>
      <c r="U42" s="471"/>
      <c r="V42" s="287" t="str">
        <f>R42</f>
        <v/>
      </c>
      <c r="W42" s="349">
        <f ca="1">IFERROR(INDEX(INDIRECT("Ans" &amp; E42 &amp; "TBL"), MATCH(V42, INDEX(INDIRECT("Ans" &amp; E42 &amp; "TBL"), 0, 1), 0), 2), 0)</f>
        <v>0</v>
      </c>
      <c r="X42" s="348"/>
      <c r="Y42" s="471"/>
      <c r="Z42" s="471"/>
    </row>
    <row r="43" spans="1:26" ht="13.05" customHeight="1" x14ac:dyDescent="0.35">
      <c r="B43" s="235"/>
      <c r="C43" s="236"/>
      <c r="D43" s="125"/>
      <c r="E43" s="125"/>
      <c r="F43" s="125"/>
      <c r="G43" s="125"/>
      <c r="H43" s="125"/>
      <c r="I43" s="125"/>
      <c r="J43" s="125"/>
      <c r="K43" s="125"/>
      <c r="L43" s="125"/>
      <c r="M43" s="125"/>
      <c r="N43" s="125"/>
      <c r="O43" s="125"/>
      <c r="P43" s="125"/>
      <c r="Q43" s="125"/>
      <c r="R43" s="125"/>
      <c r="S43" s="313"/>
      <c r="T43" s="125"/>
      <c r="U43" s="125"/>
      <c r="V43" s="125"/>
      <c r="W43" s="125"/>
      <c r="X43" s="125"/>
      <c r="Y43" s="125"/>
      <c r="Z43" s="125"/>
    </row>
    <row r="44" spans="1:26" ht="21.75" customHeight="1" x14ac:dyDescent="0.35">
      <c r="B44" s="623" t="s">
        <v>38</v>
      </c>
      <c r="C44" s="535"/>
      <c r="D44" s="535"/>
      <c r="E44" s="350"/>
      <c r="F44" s="626" t="s">
        <v>248</v>
      </c>
      <c r="G44" s="535"/>
      <c r="H44" s="535"/>
      <c r="I44" s="535"/>
      <c r="J44" s="593" t="s">
        <v>249</v>
      </c>
      <c r="K44" s="535"/>
      <c r="L44" s="535"/>
      <c r="M44" s="594"/>
      <c r="N44" s="593" t="s">
        <v>250</v>
      </c>
      <c r="O44" s="535"/>
      <c r="P44" s="535"/>
      <c r="Q44" s="594"/>
      <c r="R44" s="593" t="s">
        <v>251</v>
      </c>
      <c r="S44" s="535"/>
      <c r="T44" s="535"/>
      <c r="U44" s="594"/>
      <c r="V44" s="592" t="s">
        <v>252</v>
      </c>
      <c r="W44" s="527"/>
      <c r="X44" s="527"/>
      <c r="Y44" s="527"/>
      <c r="Z44" s="527"/>
    </row>
    <row r="45" spans="1:26" ht="16.25" customHeight="1" x14ac:dyDescent="0.35">
      <c r="B45" s="239" t="s">
        <v>12</v>
      </c>
      <c r="C45" s="240" t="s">
        <v>13</v>
      </c>
      <c r="D45" s="239" t="s">
        <v>39</v>
      </c>
      <c r="E45" s="351"/>
      <c r="F45" s="352" t="s">
        <v>15</v>
      </c>
      <c r="G45" s="352"/>
      <c r="H45" s="353"/>
      <c r="I45" s="354" t="s">
        <v>17</v>
      </c>
      <c r="J45" s="352" t="s">
        <v>15</v>
      </c>
      <c r="K45" s="352"/>
      <c r="L45" s="353"/>
      <c r="M45" s="354" t="s">
        <v>17</v>
      </c>
      <c r="N45" s="352" t="s">
        <v>15</v>
      </c>
      <c r="O45" s="355"/>
      <c r="P45" s="356"/>
      <c r="Q45" s="354" t="s">
        <v>17</v>
      </c>
      <c r="R45" s="352" t="s">
        <v>15</v>
      </c>
      <c r="S45" s="355"/>
      <c r="T45" s="356"/>
      <c r="U45" s="354" t="s">
        <v>17</v>
      </c>
      <c r="V45" s="352" t="s">
        <v>15</v>
      </c>
      <c r="W45" s="355"/>
      <c r="X45" s="356"/>
      <c r="Y45" s="354" t="s">
        <v>17</v>
      </c>
      <c r="Z45" s="354" t="s">
        <v>253</v>
      </c>
    </row>
    <row r="46" spans="1:26" ht="28.25" customHeight="1" x14ac:dyDescent="0.35">
      <c r="A46" s="87" t="str">
        <f>Interview!A61</f>
        <v>D-TA-A-1-1</v>
      </c>
      <c r="B46" s="608" t="str">
        <f>INDEX('imp-questions'!D:D, MATCH(A46, 'imp-questions'!A:A, 0))</f>
        <v>Application Risk Profile</v>
      </c>
      <c r="C46" s="241">
        <f>INDEX('imp-questions'!E:E, MATCH(A46, 'imp-questions'!A:A, 0))</f>
        <v>1</v>
      </c>
      <c r="D46" s="300" t="str">
        <f>INDEX('imp-questions'!F:F, MATCH(A46, 'imp-questions'!A:A, 0))</f>
        <v>Do you classify applications according to business risk based on a simple and predefined set of questions?</v>
      </c>
      <c r="E46" s="329" t="str">
        <f>CHAR(65+INDEX('imp-questions'!H:H, MATCH(A46, 'imp-questions'!A:A, 0)))</f>
        <v>B</v>
      </c>
      <c r="F46" s="357" t="str">
        <f>IF(ISBLANK(Interview!F61),"",Interview!F61)</f>
        <v/>
      </c>
      <c r="G46" s="324">
        <f ca="1">IFERROR(INDEX(INDIRECT("Ans" &amp; E46 &amp; "TBL"), MATCH(F46, INDEX(INDIRECT("Ans" &amp; E46 &amp; "TBL"), 0, 1), 0), 2), 0)</f>
        <v>0</v>
      </c>
      <c r="H46" s="331">
        <f ca="1">IFERROR(AVERAGE(G46,G50),0)</f>
        <v>0</v>
      </c>
      <c r="I46" s="587">
        <f ca="1">SUM(H46:H48)</f>
        <v>0</v>
      </c>
      <c r="J46" s="304" t="str">
        <f>F46</f>
        <v/>
      </c>
      <c r="K46" s="324">
        <f ca="1">IFERROR(INDEX(INDIRECT("Ans" &amp; E46 &amp; "TBL"), MATCH(J46, INDEX(INDIRECT("Ans" &amp; E46 &amp; "TBL"), 0, 1), 0), 2), 0)</f>
        <v>0</v>
      </c>
      <c r="L46" s="331">
        <f ca="1">IFERROR(AVERAGE(K46,K50),0)</f>
        <v>0</v>
      </c>
      <c r="M46" s="587">
        <f ca="1">SUM(L46:L48)</f>
        <v>0</v>
      </c>
      <c r="N46" s="304" t="str">
        <f>J46</f>
        <v/>
      </c>
      <c r="O46" s="341">
        <f ca="1">IFERROR(INDEX(INDIRECT("Ans" &amp; E46 &amp; "TBL"), MATCH(N46, INDEX(INDIRECT("Ans" &amp; E46 &amp; "TBL"), 0, 1), 0), 2), 0)</f>
        <v>0</v>
      </c>
      <c r="P46" s="358">
        <f ca="1">IFERROR(AVERAGE(O46,O50),0)</f>
        <v>0</v>
      </c>
      <c r="Q46" s="587">
        <f ca="1">SUM(P46:P48)</f>
        <v>0</v>
      </c>
      <c r="R46" s="304" t="str">
        <f>N46</f>
        <v/>
      </c>
      <c r="S46" s="135">
        <f ca="1">IFERROR(INDEX(INDIRECT("Ans" &amp; E46 &amp; "TBL"), MATCH(R46, INDEX(INDIRECT("Ans" &amp; E46 &amp; "TBL"), 0, 1), 0), 2), 0)</f>
        <v>0</v>
      </c>
      <c r="T46" s="359">
        <f ca="1">IFERROR(AVERAGE(S46,S50),0)</f>
        <v>0</v>
      </c>
      <c r="U46" s="587">
        <f ca="1">SUM(T46:T48)</f>
        <v>0</v>
      </c>
      <c r="V46" s="304" t="str">
        <f>R46</f>
        <v/>
      </c>
      <c r="W46" s="343">
        <f ca="1">IFERROR(INDEX(INDIRECT("Ans" &amp; E46 &amp; "TBL"), MATCH(V46, INDEX(INDIRECT("Ans" &amp; E46 &amp; "TBL"), 0, 1), 0), 2), 0)</f>
        <v>0</v>
      </c>
      <c r="X46" s="358">
        <f ca="1">IFERROR(AVERAGE(W46,W50),0)</f>
        <v>0</v>
      </c>
      <c r="Y46" s="587">
        <f ca="1">SUM(X46:X48)</f>
        <v>0</v>
      </c>
      <c r="Z46" s="587">
        <f ca="1">IFERROR(Y46-I46,Y46-LEFT(I46,1))</f>
        <v>0</v>
      </c>
    </row>
    <row r="47" spans="1:26" ht="28.25" customHeight="1" x14ac:dyDescent="0.35">
      <c r="A47" s="87" t="str">
        <f>Interview!A63</f>
        <v>D-TA-A-2-1</v>
      </c>
      <c r="B47" s="601"/>
      <c r="C47" s="241">
        <f>INDEX('imp-questions'!E:E, MATCH(A47, 'imp-questions'!A:A, 0))</f>
        <v>2</v>
      </c>
      <c r="D47" s="300" t="str">
        <f>INDEX('imp-questions'!F:F, MATCH(A47, 'imp-questions'!A:A, 0))</f>
        <v>Do you use centralized and quantified application risk profiles to evaluate business risk?</v>
      </c>
      <c r="E47" s="329" t="str">
        <f>CHAR(65+INDEX('imp-questions'!H:H, MATCH(A47, 'imp-questions'!A:A, 0)))</f>
        <v>A</v>
      </c>
      <c r="F47" s="330" t="str">
        <f>IF(ISBLANK(Interview!F63),"",Interview!F63)</f>
        <v/>
      </c>
      <c r="G47" s="324">
        <f ca="1">IFERROR(INDEX(INDIRECT("Ans" &amp; E47 &amp; "TBL"), MATCH(F47, INDEX(INDIRECT("Ans" &amp; E47 &amp; "TBL"), 0, 1), 0), 2), 0)</f>
        <v>0</v>
      </c>
      <c r="H47" s="331">
        <f ca="1">IFERROR(AVERAGE(G47,G51),0)</f>
        <v>0</v>
      </c>
      <c r="I47" s="575"/>
      <c r="J47" s="304" t="str">
        <f>F47</f>
        <v/>
      </c>
      <c r="K47" s="324">
        <f ca="1">IFERROR(INDEX(INDIRECT("Ans" &amp; E47 &amp; "TBL"), MATCH(J47, INDEX(INDIRECT("Ans" &amp; E47 &amp; "TBL"), 0, 1), 0), 2), 0)</f>
        <v>0</v>
      </c>
      <c r="L47" s="331">
        <f ca="1">IFERROR(AVERAGE(K47,K51),0)</f>
        <v>0</v>
      </c>
      <c r="M47" s="575"/>
      <c r="N47" s="304" t="str">
        <f>J47</f>
        <v/>
      </c>
      <c r="O47" s="344">
        <f ca="1">IFERROR(INDEX(INDIRECT("Ans" &amp; E47 &amp; "TBL"), MATCH(N47, INDEX(INDIRECT("Ans" &amp; E47 &amp; "TBL"), 0, 1), 0), 2), 0)</f>
        <v>0</v>
      </c>
      <c r="P47" s="360">
        <f ca="1">IFERROR(AVERAGE(O47,O51),0)</f>
        <v>0</v>
      </c>
      <c r="Q47" s="575"/>
      <c r="R47" s="304" t="str">
        <f>N47</f>
        <v/>
      </c>
      <c r="S47" s="135">
        <f ca="1">IFERROR(INDEX(INDIRECT("Ans" &amp; E47 &amp; "TBL"), MATCH(R47, INDEX(INDIRECT("Ans" &amp; E47 &amp; "TBL"), 0, 1), 0), 2), 0)</f>
        <v>0</v>
      </c>
      <c r="T47" s="361">
        <f ca="1">IFERROR(AVERAGE(S47,S51),0)</f>
        <v>0</v>
      </c>
      <c r="U47" s="575"/>
      <c r="V47" s="304" t="str">
        <f>R47</f>
        <v/>
      </c>
      <c r="W47" s="346">
        <f ca="1">IFERROR(INDEX(INDIRECT("Ans" &amp; E47 &amp; "TBL"), MATCH(V47, INDEX(INDIRECT("Ans" &amp; E47 &amp; "TBL"), 0, 1), 0), 2), 0)</f>
        <v>0</v>
      </c>
      <c r="X47" s="360">
        <f ca="1">IFERROR(AVERAGE(W47,W51),0)</f>
        <v>0</v>
      </c>
      <c r="Y47" s="575"/>
      <c r="Z47" s="575"/>
    </row>
    <row r="48" spans="1:26" ht="28.25" customHeight="1" x14ac:dyDescent="0.35">
      <c r="A48" s="87" t="str">
        <f>Interview!A65</f>
        <v>D-TA-A-3-1</v>
      </c>
      <c r="B48" s="605"/>
      <c r="C48" s="241">
        <f>INDEX('imp-questions'!E:E, MATCH(A48, 'imp-questions'!A:A, 0))</f>
        <v>3</v>
      </c>
      <c r="D48" s="296" t="str">
        <f>INDEX('imp-questions'!F:F, MATCH(A48, 'imp-questions'!A:A, 0))</f>
        <v>Do you regularly review and update the risk profiles for your applications?</v>
      </c>
      <c r="E48" s="329" t="str">
        <f>CHAR(65+INDEX('imp-questions'!H:H, MATCH(A48, 'imp-questions'!A:A, 0)))</f>
        <v>R</v>
      </c>
      <c r="F48" s="287" t="str">
        <f>IF(ISBLANK(Interview!F65),"",Interview!F65)</f>
        <v/>
      </c>
      <c r="G48" s="362">
        <f ca="1">IFERROR(INDEX(INDIRECT("Ans" &amp; E48 &amp; "TBL"), MATCH(F48, INDEX(INDIRECT("Ans" &amp; E48 &amp; "TBL"), 0, 1), 0), 2), 0)</f>
        <v>0</v>
      </c>
      <c r="H48" s="363">
        <f ca="1">IFERROR(AVERAGE(G48,G52),0)</f>
        <v>0</v>
      </c>
      <c r="I48" s="575"/>
      <c r="J48" s="304" t="str">
        <f>F48</f>
        <v/>
      </c>
      <c r="K48" s="285">
        <f ca="1">IFERROR(INDEX(INDIRECT("Ans" &amp; E48 &amp; "TBL"), MATCH(J48, INDEX(INDIRECT("Ans" &amp; E48 &amp; "TBL"), 0, 1), 0), 2), 0)</f>
        <v>0</v>
      </c>
      <c r="L48" s="333">
        <f ca="1">IFERROR(AVERAGE(K48,K52),0)</f>
        <v>0</v>
      </c>
      <c r="M48" s="575"/>
      <c r="N48" s="304" t="str">
        <f>J48</f>
        <v/>
      </c>
      <c r="O48" s="347">
        <f ca="1">IFERROR(INDEX(INDIRECT("Ans" &amp; E48 &amp; "TBL"), MATCH(N48, INDEX(INDIRECT("Ans" &amp; E48 &amp; "TBL"), 0, 1), 0), 2), 0)</f>
        <v>0</v>
      </c>
      <c r="P48" s="364">
        <f ca="1">IFERROR(AVERAGE(O48,O52),0)</f>
        <v>0</v>
      </c>
      <c r="Q48" s="575"/>
      <c r="R48" s="304" t="str">
        <f>N48</f>
        <v/>
      </c>
      <c r="S48" s="135">
        <f ca="1">IFERROR(INDEX(INDIRECT("Ans" &amp; E48 &amp; "TBL"), MATCH(R48, INDEX(INDIRECT("Ans" &amp; E48 &amp; "TBL"), 0, 1), 0), 2), 0)</f>
        <v>0</v>
      </c>
      <c r="T48" s="365">
        <f ca="1">IFERROR(AVERAGE(S48,S52),0)</f>
        <v>0</v>
      </c>
      <c r="U48" s="575"/>
      <c r="V48" s="304" t="str">
        <f>R48</f>
        <v/>
      </c>
      <c r="W48" s="349">
        <f ca="1">IFERROR(INDEX(INDIRECT("Ans" &amp; E48 &amp; "TBL"), MATCH(V48, INDEX(INDIRECT("Ans" &amp; E48 &amp; "TBL"), 0, 1), 0), 2), 0)</f>
        <v>0</v>
      </c>
      <c r="X48" s="364">
        <f ca="1">IFERROR(AVERAGE(W48,W52),0)</f>
        <v>0</v>
      </c>
      <c r="Y48" s="575"/>
      <c r="Z48" s="575"/>
    </row>
    <row r="49" spans="1:26" ht="13.05" customHeight="1" x14ac:dyDescent="0.35">
      <c r="B49" s="235"/>
      <c r="C49" s="236"/>
      <c r="D49" s="125"/>
      <c r="E49" s="153"/>
      <c r="F49" s="125"/>
      <c r="G49" s="153"/>
      <c r="H49" s="153"/>
      <c r="I49" s="575"/>
      <c r="J49" s="125"/>
      <c r="K49" s="153"/>
      <c r="L49" s="153"/>
      <c r="M49" s="575"/>
      <c r="N49" s="125"/>
      <c r="O49" s="153"/>
      <c r="P49" s="153"/>
      <c r="Q49" s="575"/>
      <c r="R49" s="125"/>
      <c r="S49" s="153"/>
      <c r="T49" s="153"/>
      <c r="U49" s="575"/>
      <c r="V49" s="125"/>
      <c r="W49" s="153"/>
      <c r="X49" s="153"/>
      <c r="Y49" s="575"/>
      <c r="Z49" s="575"/>
    </row>
    <row r="50" spans="1:26" ht="28.25" customHeight="1" x14ac:dyDescent="0.35">
      <c r="A50" s="87" t="str">
        <f>Interview!A68</f>
        <v>D-TA-B-1-1</v>
      </c>
      <c r="B50" s="608" t="str">
        <f>INDEX('imp-questions'!D:D, MATCH(A50, 'imp-questions'!A:A, 0))</f>
        <v>Threat Modeling</v>
      </c>
      <c r="C50" s="241">
        <f>INDEX('imp-questions'!E:E, MATCH(A50, 'imp-questions'!A:A, 0))</f>
        <v>1</v>
      </c>
      <c r="D50" s="300" t="str">
        <f>INDEX('imp-questions'!F:F, MATCH(A50, 'imp-questions'!A:A, 0))</f>
        <v>Do you identify and manage architectural design flaws with threat modeling?</v>
      </c>
      <c r="E50" s="329" t="str">
        <f>CHAR(65+INDEX('imp-questions'!H:H, MATCH(A50, 'imp-questions'!A:A, 0)))</f>
        <v>B</v>
      </c>
      <c r="F50" s="287" t="str">
        <f>IF(ISBLANK(Interview!F68),"",Interview!F68)</f>
        <v/>
      </c>
      <c r="G50" s="366">
        <f ca="1">IFERROR(INDEX(INDIRECT("Ans" &amp; E50 &amp; "TBL"), MATCH(F50, INDEX(INDIRECT("Ans" &amp; E50 &amp; "TBL"), 0, 1), 0), 2), 0)</f>
        <v>0</v>
      </c>
      <c r="H50" s="367"/>
      <c r="I50" s="575"/>
      <c r="J50" s="304" t="str">
        <f>F50</f>
        <v/>
      </c>
      <c r="K50" s="332">
        <f ca="1">IFERROR(INDEX(INDIRECT("Ans" &amp; E50 &amp; "TBL"), MATCH(J50, INDEX(INDIRECT("Ans" &amp; E50 &amp; "TBL"), 0, 1), 0), 2), 0)</f>
        <v>0</v>
      </c>
      <c r="L50" s="323"/>
      <c r="M50" s="575"/>
      <c r="N50" s="304" t="str">
        <f>J50</f>
        <v/>
      </c>
      <c r="O50" s="341">
        <f ca="1">IFERROR(INDEX(INDIRECT("Ans" &amp; E50 &amp; "TBL"), MATCH(N50, INDEX(INDIRECT("Ans" &amp; E50 &amp; "TBL"), 0, 1), 0), 2), 0)</f>
        <v>0</v>
      </c>
      <c r="P50" s="342"/>
      <c r="Q50" s="575"/>
      <c r="R50" s="304" t="str">
        <f>N50</f>
        <v/>
      </c>
      <c r="S50" s="135">
        <f ca="1">IFERROR(INDEX(INDIRECT("Ans" &amp; E50 &amp; "TBL"), MATCH(R50, INDEX(INDIRECT("Ans" &amp; E50 &amp; "TBL"), 0, 1), 0), 2), 0)</f>
        <v>0</v>
      </c>
      <c r="T50" s="326"/>
      <c r="U50" s="575"/>
      <c r="V50" s="304" t="str">
        <f>R50</f>
        <v/>
      </c>
      <c r="W50" s="343">
        <f ca="1">IFERROR(INDEX(INDIRECT("Ans" &amp; E50 &amp; "TBL"), MATCH(V50, INDEX(INDIRECT("Ans" &amp; E50 &amp; "TBL"), 0, 1), 0), 2), 0)</f>
        <v>0</v>
      </c>
      <c r="X50" s="342"/>
      <c r="Y50" s="575"/>
      <c r="Z50" s="575"/>
    </row>
    <row r="51" spans="1:26" ht="28.25" customHeight="1" x14ac:dyDescent="0.35">
      <c r="A51" s="87" t="str">
        <f>Interview!A70</f>
        <v>D-TA-B-2-1</v>
      </c>
      <c r="B51" s="601"/>
      <c r="C51" s="241">
        <f>INDEX('imp-questions'!E:E, MATCH(A51, 'imp-questions'!A:A, 0))</f>
        <v>2</v>
      </c>
      <c r="D51" s="300" t="str">
        <f>INDEX('imp-questions'!F:F, MATCH(A51, 'imp-questions'!A:A, 0))</f>
        <v>Do you use a standard methodology, aligned with your application risk levels?</v>
      </c>
      <c r="E51" s="329" t="str">
        <f>CHAR(65+INDEX('imp-questions'!H:H, MATCH(A51, 'imp-questions'!A:A, 0)))</f>
        <v>A</v>
      </c>
      <c r="F51" s="368" t="str">
        <f>IF(ISBLANK(Interview!F70),"",Interview!F70)</f>
        <v/>
      </c>
      <c r="G51" s="346">
        <f ca="1">IFERROR(INDEX(INDIRECT("Ans" &amp; E51 &amp; "TBL"), MATCH(F51, INDEX(INDIRECT("Ans" &amp; E51 &amp; "TBL"), 0, 1), 0), 2), 0)</f>
        <v>0</v>
      </c>
      <c r="H51" s="345"/>
      <c r="I51" s="575"/>
      <c r="J51" s="304" t="str">
        <f>F51</f>
        <v/>
      </c>
      <c r="K51" s="305">
        <f ca="1">IFERROR(INDEX(INDIRECT("Ans" &amp; E51 &amp; "TBL"), MATCH(J51, INDEX(INDIRECT("Ans" &amp; E51 &amp; "TBL"), 0, 1), 0), 2), 0)</f>
        <v>0</v>
      </c>
      <c r="L51" s="308"/>
      <c r="M51" s="575"/>
      <c r="N51" s="304" t="str">
        <f>J51</f>
        <v/>
      </c>
      <c r="O51" s="344">
        <f ca="1">IFERROR(INDEX(INDIRECT("Ans" &amp; E51 &amp; "TBL"), MATCH(N51, INDEX(INDIRECT("Ans" &amp; E51 &amp; "TBL"), 0, 1), 0), 2), 0)</f>
        <v>0</v>
      </c>
      <c r="P51" s="345"/>
      <c r="Q51" s="575"/>
      <c r="R51" s="304" t="str">
        <f>N51</f>
        <v/>
      </c>
      <c r="S51" s="135">
        <f ca="1">IFERROR(INDEX(INDIRECT("Ans" &amp; E51 &amp; "TBL"), MATCH(R51, INDEX(INDIRECT("Ans" &amp; E51 &amp; "TBL"), 0, 1), 0), 2), 0)</f>
        <v>0</v>
      </c>
      <c r="T51" s="309"/>
      <c r="U51" s="575"/>
      <c r="V51" s="304" t="str">
        <f>R51</f>
        <v/>
      </c>
      <c r="W51" s="346">
        <f ca="1">IFERROR(INDEX(INDIRECT("Ans" &amp; E51 &amp; "TBL"), MATCH(V51, INDEX(INDIRECT("Ans" &amp; E51 &amp; "TBL"), 0, 1), 0), 2), 0)</f>
        <v>0</v>
      </c>
      <c r="X51" s="345"/>
      <c r="Y51" s="575"/>
      <c r="Z51" s="575"/>
    </row>
    <row r="52" spans="1:26" ht="28.25" customHeight="1" x14ac:dyDescent="0.35">
      <c r="A52" s="87" t="str">
        <f>Interview!A72</f>
        <v>D-TA-B-3-1</v>
      </c>
      <c r="B52" s="605"/>
      <c r="C52" s="241">
        <f>INDEX('imp-questions'!E:E, MATCH(A52, 'imp-questions'!A:A, 0))</f>
        <v>3</v>
      </c>
      <c r="D52" s="296" t="str">
        <f>INDEX('imp-questions'!F:F, MATCH(A52, 'imp-questions'!A:A, 0))</f>
        <v>Do you regularly review and update the threat modeling methodology for your applications?</v>
      </c>
      <c r="E52" s="329" t="str">
        <f>CHAR(65+INDEX('imp-questions'!H:H, MATCH(A52, 'imp-questions'!A:A, 0)))</f>
        <v>P</v>
      </c>
      <c r="F52" s="368" t="str">
        <f>IF(ISBLANK(Interview!F72),"",Interview!F72)</f>
        <v/>
      </c>
      <c r="G52" s="369">
        <f ca="1">IFERROR(INDEX(INDIRECT("Ans" &amp; E52 &amp; "TBL"), MATCH(F52, INDEX(INDIRECT("Ans" &amp; E52 &amp; "TBL"), 0, 1), 0), 2), 0)</f>
        <v>0</v>
      </c>
      <c r="H52" s="348"/>
      <c r="I52" s="576"/>
      <c r="J52" s="304" t="str">
        <f>F52</f>
        <v/>
      </c>
      <c r="K52" s="339">
        <f ca="1">IFERROR(INDEX(INDIRECT("Ans" &amp; E52 &amp; "TBL"), MATCH(J52, INDEX(INDIRECT("Ans" &amp; E52 &amp; "TBL"), 0, 1), 0), 2), 0)</f>
        <v>0</v>
      </c>
      <c r="L52" s="311"/>
      <c r="M52" s="576"/>
      <c r="N52" s="304" t="str">
        <f>J52</f>
        <v/>
      </c>
      <c r="O52" s="347">
        <f ca="1">IFERROR(INDEX(INDIRECT("Ans" &amp; E52 &amp; "TBL"), MATCH(N52, INDEX(INDIRECT("Ans" &amp; E52 &amp; "TBL"), 0, 1), 0), 2), 0)</f>
        <v>0</v>
      </c>
      <c r="P52" s="348"/>
      <c r="Q52" s="576"/>
      <c r="R52" s="304" t="str">
        <f>N52</f>
        <v/>
      </c>
      <c r="S52" s="135">
        <f ca="1">IFERROR(INDEX(INDIRECT("Ans" &amp; E52 &amp; "TBL"), MATCH(R52, INDEX(INDIRECT("Ans" &amp; E52 &amp; "TBL"), 0, 1), 0), 2), 0)</f>
        <v>0</v>
      </c>
      <c r="T52" s="312"/>
      <c r="U52" s="576"/>
      <c r="V52" s="304" t="str">
        <f>R52</f>
        <v/>
      </c>
      <c r="W52" s="349">
        <f ca="1">IFERROR(INDEX(INDIRECT("Ans" &amp; E52 &amp; "TBL"), MATCH(V52, INDEX(INDIRECT("Ans" &amp; E52 &amp; "TBL"), 0, 1), 0), 2), 0)</f>
        <v>0</v>
      </c>
      <c r="X52" s="348"/>
      <c r="Y52" s="576"/>
      <c r="Z52" s="576"/>
    </row>
    <row r="53" spans="1:26" ht="13.05" customHeight="1" x14ac:dyDescent="0.35">
      <c r="B53" s="235"/>
      <c r="C53" s="236"/>
      <c r="D53" s="125"/>
      <c r="E53" s="125"/>
      <c r="F53" s="125"/>
      <c r="G53" s="125"/>
      <c r="H53" s="125"/>
      <c r="I53" s="125"/>
      <c r="J53" s="125"/>
      <c r="K53" s="125"/>
      <c r="L53" s="125"/>
      <c r="M53" s="125"/>
      <c r="N53" s="125"/>
      <c r="O53" s="125"/>
      <c r="P53" s="125"/>
      <c r="Q53" s="125"/>
      <c r="R53" s="125"/>
      <c r="S53" s="313"/>
      <c r="T53" s="125"/>
      <c r="U53" s="125"/>
      <c r="V53" s="125"/>
      <c r="W53" s="125"/>
      <c r="X53" s="125"/>
      <c r="Y53" s="125"/>
    </row>
    <row r="54" spans="1:26" ht="16.25" customHeight="1" x14ac:dyDescent="0.35">
      <c r="B54" s="239" t="s">
        <v>12</v>
      </c>
      <c r="C54" s="240" t="s">
        <v>13</v>
      </c>
      <c r="D54" s="370" t="s">
        <v>46</v>
      </c>
      <c r="E54" s="371"/>
      <c r="F54" s="372" t="s">
        <v>15</v>
      </c>
      <c r="G54" s="373"/>
      <c r="H54" s="374"/>
      <c r="I54" s="354" t="s">
        <v>17</v>
      </c>
      <c r="J54" s="372" t="s">
        <v>15</v>
      </c>
      <c r="K54" s="373"/>
      <c r="L54" s="374"/>
      <c r="M54" s="354" t="s">
        <v>17</v>
      </c>
      <c r="N54" s="372" t="s">
        <v>15</v>
      </c>
      <c r="O54" s="373"/>
      <c r="P54" s="374"/>
      <c r="Q54" s="354" t="s">
        <v>17</v>
      </c>
      <c r="R54" s="372" t="s">
        <v>15</v>
      </c>
      <c r="S54" s="373"/>
      <c r="T54" s="374"/>
      <c r="U54" s="354" t="s">
        <v>17</v>
      </c>
      <c r="V54" s="372" t="s">
        <v>15</v>
      </c>
      <c r="W54" s="373"/>
      <c r="X54" s="374"/>
      <c r="Y54" s="354" t="s">
        <v>17</v>
      </c>
      <c r="Z54" s="354" t="s">
        <v>253</v>
      </c>
    </row>
    <row r="55" spans="1:26" ht="28.25" customHeight="1" x14ac:dyDescent="0.35">
      <c r="A55" s="87" t="str">
        <f>Interview!A75</f>
        <v>D-SR-A-1-1</v>
      </c>
      <c r="B55" s="609" t="str">
        <f>INDEX('imp-questions'!D:D, MATCH(A55, 'imp-questions'!A:A, 0))</f>
        <v>Software Requirements</v>
      </c>
      <c r="C55" s="241">
        <f>INDEX('imp-questions'!E:E, MATCH(A55, 'imp-questions'!A:A, 0))</f>
        <v>1</v>
      </c>
      <c r="D55" s="300" t="str">
        <f>INDEX('imp-questions'!F:F, MATCH(A55, 'imp-questions'!A:A, 0))</f>
        <v>Do project teams specify security requirements during development?</v>
      </c>
      <c r="E55" s="329" t="str">
        <f>CHAR(65+INDEX('imp-questions'!H:H, MATCH(A55, 'imp-questions'!A:A, 0)))</f>
        <v>A</v>
      </c>
      <c r="F55" s="287" t="str">
        <f>IF(ISBLANK(Interview!F75),"",Interview!F75)</f>
        <v/>
      </c>
      <c r="G55" s="366">
        <f ca="1">IFERROR(INDEX(INDIRECT("Ans" &amp; E55 &amp; "TBL"), MATCH(F55, INDEX(INDIRECT("Ans" &amp; E55 &amp; "TBL"), 0, 1), 0), 2), 0)</f>
        <v>0</v>
      </c>
      <c r="H55" s="358">
        <f ca="1">IFERROR(AVERAGE(G55,G59),0)</f>
        <v>0</v>
      </c>
      <c r="I55" s="587">
        <f ca="1">SUM(H55:H57)</f>
        <v>0</v>
      </c>
      <c r="J55" s="304" t="str">
        <f>F55</f>
        <v/>
      </c>
      <c r="K55" s="343">
        <f ca="1">IFERROR(INDEX(INDIRECT("Ans" &amp; E55 &amp; "TBL"), MATCH(J55, INDEX(INDIRECT("Ans" &amp; E55 &amp; "TBL"), 0, 1), 0), 2), 0)</f>
        <v>0</v>
      </c>
      <c r="L55" s="358">
        <f ca="1">IFERROR(AVERAGE(K55,K59),0)</f>
        <v>0</v>
      </c>
      <c r="M55" s="587">
        <f ca="1">SUM(L55:L57)</f>
        <v>0</v>
      </c>
      <c r="N55" s="304" t="str">
        <f>J55</f>
        <v/>
      </c>
      <c r="O55" s="341">
        <f ca="1">IFERROR(INDEX(INDIRECT("Ans" &amp; E55 &amp; "TBL"), MATCH(N55, INDEX(INDIRECT("Ans" &amp; E55 &amp; "TBL"), 0, 1), 0), 2), 0)</f>
        <v>0</v>
      </c>
      <c r="P55" s="358">
        <f ca="1">IFERROR(AVERAGE(O55,O59),0)</f>
        <v>0</v>
      </c>
      <c r="Q55" s="587">
        <f ca="1">SUM(P55:P57)</f>
        <v>0</v>
      </c>
      <c r="R55" s="304" t="str">
        <f>N55</f>
        <v/>
      </c>
      <c r="S55" s="135">
        <f ca="1">IFERROR(INDEX(INDIRECT("Ans" &amp; E55 &amp; "TBL"), MATCH(R55, INDEX(INDIRECT("Ans" &amp; E55 &amp; "TBL"), 0, 1), 0), 2), 0)</f>
        <v>0</v>
      </c>
      <c r="T55" s="359">
        <f ca="1">IFERROR(AVERAGE(S55,S59),0)</f>
        <v>0</v>
      </c>
      <c r="U55" s="587">
        <f ca="1">SUM(T55:T57)</f>
        <v>0</v>
      </c>
      <c r="V55" s="304" t="str">
        <f>R55</f>
        <v/>
      </c>
      <c r="W55" s="343">
        <f ca="1">IFERROR(INDEX(INDIRECT("Ans" &amp; E55 &amp; "TBL"), MATCH(V55, INDEX(INDIRECT("Ans" &amp; E55 &amp; "TBL"), 0, 1), 0), 2), 0)</f>
        <v>0</v>
      </c>
      <c r="X55" s="358">
        <f ca="1">IFERROR(AVERAGE(W55,W59),0)</f>
        <v>0</v>
      </c>
      <c r="Y55" s="587">
        <f ca="1">SUM(X55:X57)</f>
        <v>0</v>
      </c>
      <c r="Z55" s="587">
        <f ca="1">IFERROR(Y55-I55,Y55-LEFT(I55,1))</f>
        <v>0</v>
      </c>
    </row>
    <row r="56" spans="1:26" ht="28.25" customHeight="1" x14ac:dyDescent="0.35">
      <c r="A56" s="87" t="str">
        <f>Interview!A77</f>
        <v>D-SR-A-2-1</v>
      </c>
      <c r="B56" s="601"/>
      <c r="C56" s="241">
        <f>INDEX('imp-questions'!E:E, MATCH(A56, 'imp-questions'!A:A, 0))</f>
        <v>2</v>
      </c>
      <c r="D56" s="300" t="str">
        <f>INDEX('imp-questions'!F:F, MATCH(A56, 'imp-questions'!A:A, 0))</f>
        <v>Do you define, structure, and include prioritization in the artifacts of the security requirements gathering process?</v>
      </c>
      <c r="E56" s="329" t="str">
        <f>CHAR(65+INDEX('imp-questions'!H:H, MATCH(A56, 'imp-questions'!A:A, 0)))</f>
        <v>E</v>
      </c>
      <c r="F56" s="297" t="str">
        <f>IF(ISBLANK(Interview!F77),"",Interview!F77)</f>
        <v/>
      </c>
      <c r="G56" s="346">
        <f ca="1">IFERROR(INDEX(INDIRECT("Ans" &amp; E56 &amp; "TBL"), MATCH(F56, INDEX(INDIRECT("Ans" &amp; E56 &amp; "TBL"), 0, 1), 0), 2), 0)</f>
        <v>0</v>
      </c>
      <c r="H56" s="360">
        <f ca="1">IFERROR(AVERAGE(G56,G60),0)</f>
        <v>0</v>
      </c>
      <c r="I56" s="575"/>
      <c r="J56" s="304" t="str">
        <f>F56</f>
        <v/>
      </c>
      <c r="K56" s="346">
        <f ca="1">IFERROR(INDEX(INDIRECT("Ans" &amp; E56 &amp; "TBL"), MATCH(J56, INDEX(INDIRECT("Ans" &amp; E56 &amp; "TBL"), 0, 1), 0), 2), 0)</f>
        <v>0</v>
      </c>
      <c r="L56" s="360">
        <f ca="1">IFERROR(AVERAGE(K56,K60),0)</f>
        <v>0</v>
      </c>
      <c r="M56" s="575"/>
      <c r="N56" s="304" t="str">
        <f>J56</f>
        <v/>
      </c>
      <c r="O56" s="344">
        <f ca="1">IFERROR(INDEX(INDIRECT("Ans" &amp; E56 &amp; "TBL"), MATCH(N56, INDEX(INDIRECT("Ans" &amp; E56 &amp; "TBL"), 0, 1), 0), 2), 0)</f>
        <v>0</v>
      </c>
      <c r="P56" s="360">
        <f ca="1">IFERROR(AVERAGE(O56,O60),0)</f>
        <v>0</v>
      </c>
      <c r="Q56" s="575"/>
      <c r="R56" s="304" t="str">
        <f>N56</f>
        <v/>
      </c>
      <c r="S56" s="135">
        <f ca="1">IFERROR(INDEX(INDIRECT("Ans" &amp; E56 &amp; "TBL"), MATCH(R56, INDEX(INDIRECT("Ans" &amp; E56 &amp; "TBL"), 0, 1), 0), 2), 0)</f>
        <v>0</v>
      </c>
      <c r="T56" s="361">
        <f ca="1">IFERROR(AVERAGE(S56,S60),0)</f>
        <v>0</v>
      </c>
      <c r="U56" s="575"/>
      <c r="V56" s="304" t="str">
        <f>R56</f>
        <v/>
      </c>
      <c r="W56" s="346">
        <f ca="1">IFERROR(INDEX(INDIRECT("Ans" &amp; E56 &amp; "TBL"), MATCH(V56, INDEX(INDIRECT("Ans" &amp; E56 &amp; "TBL"), 0, 1), 0), 2), 0)</f>
        <v>0</v>
      </c>
      <c r="X56" s="360">
        <f ca="1">IFERROR(AVERAGE(W56,W60),0)</f>
        <v>0</v>
      </c>
      <c r="Y56" s="575"/>
      <c r="Z56" s="575"/>
    </row>
    <row r="57" spans="1:26" ht="28.25" customHeight="1" x14ac:dyDescent="0.35">
      <c r="A57" s="87" t="str">
        <f>Interview!A79</f>
        <v>D-SR-A-3-1</v>
      </c>
      <c r="B57" s="602"/>
      <c r="C57" s="241">
        <f>INDEX('imp-questions'!E:E, MATCH(A57, 'imp-questions'!A:A, 0))</f>
        <v>3</v>
      </c>
      <c r="D57" s="296" t="str">
        <f>INDEX('imp-questions'!F:F, MATCH(A57, 'imp-questions'!A:A, 0))</f>
        <v>Do you use a standard requirements framework to streamline the elicitation of security requirements?</v>
      </c>
      <c r="E57" s="329" t="str">
        <f>CHAR(65+INDEX('imp-questions'!H:H, MATCH(A57, 'imp-questions'!A:A, 0)))</f>
        <v>A</v>
      </c>
      <c r="F57" s="287" t="str">
        <f>IF(ISBLANK(Interview!F79),"",Interview!F79)</f>
        <v/>
      </c>
      <c r="G57" s="349">
        <f ca="1">IFERROR(INDEX(INDIRECT("Ans" &amp; E57 &amp; "TBL"), MATCH(F57, INDEX(INDIRECT("Ans" &amp; E57 &amp; "TBL"), 0, 1), 0), 2), 0)</f>
        <v>0</v>
      </c>
      <c r="H57" s="364">
        <f ca="1">IFERROR(AVERAGE(G57,G61),0)</f>
        <v>0</v>
      </c>
      <c r="I57" s="575"/>
      <c r="J57" s="304" t="str">
        <f>F57</f>
        <v/>
      </c>
      <c r="K57" s="349">
        <f ca="1">IFERROR(INDEX(INDIRECT("Ans" &amp; E57 &amp; "TBL"), MATCH(J57, INDEX(INDIRECT("Ans" &amp; E57 &amp; "TBL"), 0, 1), 0), 2), 0)</f>
        <v>0</v>
      </c>
      <c r="L57" s="364">
        <f ca="1">IFERROR(AVERAGE(K57,K61),0)</f>
        <v>0</v>
      </c>
      <c r="M57" s="575"/>
      <c r="N57" s="304" t="str">
        <f>J57</f>
        <v/>
      </c>
      <c r="O57" s="347">
        <f ca="1">IFERROR(INDEX(INDIRECT("Ans" &amp; E57 &amp; "TBL"), MATCH(N57, INDEX(INDIRECT("Ans" &amp; E57 &amp; "TBL"), 0, 1), 0), 2), 0)</f>
        <v>0</v>
      </c>
      <c r="P57" s="364">
        <f ca="1">IFERROR(AVERAGE(O57,O61),0)</f>
        <v>0</v>
      </c>
      <c r="Q57" s="575"/>
      <c r="R57" s="304" t="str">
        <f>N57</f>
        <v/>
      </c>
      <c r="S57" s="135">
        <f ca="1">IFERROR(INDEX(INDIRECT("Ans" &amp; E57 &amp; "TBL"), MATCH(R57, INDEX(INDIRECT("Ans" &amp; E57 &amp; "TBL"), 0, 1), 0), 2), 0)</f>
        <v>0</v>
      </c>
      <c r="T57" s="365">
        <f ca="1">IFERROR(AVERAGE(S57,S61),0)</f>
        <v>0</v>
      </c>
      <c r="U57" s="575"/>
      <c r="V57" s="304" t="str">
        <f>R57</f>
        <v/>
      </c>
      <c r="W57" s="349">
        <f ca="1">IFERROR(INDEX(INDIRECT("Ans" &amp; E57 &amp; "TBL"), MATCH(V57, INDEX(INDIRECT("Ans" &amp; E57 &amp; "TBL"), 0, 1), 0), 2), 0)</f>
        <v>0</v>
      </c>
      <c r="X57" s="364">
        <f ca="1">IFERROR(AVERAGE(W57,W61),0)</f>
        <v>0</v>
      </c>
      <c r="Y57" s="575"/>
      <c r="Z57" s="575"/>
    </row>
    <row r="58" spans="1:26" ht="13.05" customHeight="1" x14ac:dyDescent="0.35">
      <c r="B58" s="242"/>
      <c r="C58" s="236"/>
      <c r="D58" s="125"/>
      <c r="E58" s="153"/>
      <c r="F58" s="125"/>
      <c r="G58" s="153"/>
      <c r="H58" s="153"/>
      <c r="I58" s="575"/>
      <c r="J58" s="125"/>
      <c r="K58" s="153"/>
      <c r="L58" s="153"/>
      <c r="M58" s="575"/>
      <c r="N58" s="125"/>
      <c r="O58" s="153"/>
      <c r="P58" s="153"/>
      <c r="Q58" s="575"/>
      <c r="R58" s="125"/>
      <c r="S58" s="153"/>
      <c r="T58" s="153"/>
      <c r="U58" s="575"/>
      <c r="V58" s="125"/>
      <c r="W58" s="153"/>
      <c r="X58" s="153"/>
      <c r="Y58" s="575"/>
      <c r="Z58" s="575"/>
    </row>
    <row r="59" spans="1:26" ht="28.25" customHeight="1" x14ac:dyDescent="0.35">
      <c r="A59" s="87" t="str">
        <f>Interview!A82</f>
        <v>D-SR-B-1-1</v>
      </c>
      <c r="B59" s="608" t="str">
        <f>INDEX('imp-questions'!D:D, MATCH(A59, 'imp-questions'!A:A, 0))</f>
        <v>Supplier Security</v>
      </c>
      <c r="C59" s="241">
        <f>INDEX('imp-questions'!E:E, MATCH(A59, 'imp-questions'!A:A, 0))</f>
        <v>1</v>
      </c>
      <c r="D59" s="300" t="str">
        <f>INDEX('imp-questions'!F:F, MATCH(A59, 'imp-questions'!A:A, 0))</f>
        <v>Do stakeholders review vendor collaborations for security requirements and methodology?</v>
      </c>
      <c r="E59" s="329" t="str">
        <f>CHAR(65+INDEX('imp-questions'!H:H, MATCH(A59, 'imp-questions'!A:A, 0)))</f>
        <v>E</v>
      </c>
      <c r="F59" s="287" t="str">
        <f>IF(ISBLANK(Interview!F82),"",Interview!F82)</f>
        <v/>
      </c>
      <c r="G59" s="366">
        <f ca="1">IFERROR(INDEX(INDIRECT("Ans" &amp; E59 &amp; "TBL"), MATCH(F59, INDEX(INDIRECT("Ans" &amp; E59 &amp; "TBL"), 0, 1), 0), 2), 0)</f>
        <v>0</v>
      </c>
      <c r="H59" s="375"/>
      <c r="I59" s="575"/>
      <c r="J59" s="304" t="str">
        <f>F59</f>
        <v/>
      </c>
      <c r="K59" s="343">
        <f ca="1">IFERROR(INDEX(INDIRECT("Ans" &amp; E59 &amp; "TBL"), MATCH(J59, INDEX(INDIRECT("Ans" &amp; E59 &amp; "TBL"), 0, 1), 0), 2), 0)</f>
        <v>0</v>
      </c>
      <c r="L59" s="342"/>
      <c r="M59" s="575"/>
      <c r="N59" s="304" t="str">
        <f>J59</f>
        <v/>
      </c>
      <c r="O59" s="341">
        <f ca="1">IFERROR(INDEX(INDIRECT("Ans" &amp; E59 &amp; "TBL"), MATCH(N59, INDEX(INDIRECT("Ans" &amp; E59 &amp; "TBL"), 0, 1), 0), 2), 0)</f>
        <v>0</v>
      </c>
      <c r="P59" s="342"/>
      <c r="Q59" s="575"/>
      <c r="R59" s="304" t="str">
        <f>N59</f>
        <v/>
      </c>
      <c r="S59" s="135">
        <f ca="1">IFERROR(INDEX(INDIRECT("Ans" &amp; E59 &amp; "TBL"), MATCH(R59, INDEX(INDIRECT("Ans" &amp; E59 &amp; "TBL"), 0, 1), 0), 2), 0)</f>
        <v>0</v>
      </c>
      <c r="T59" s="326"/>
      <c r="U59" s="575"/>
      <c r="V59" s="304" t="str">
        <f>R59</f>
        <v/>
      </c>
      <c r="W59" s="343">
        <f ca="1">IFERROR(INDEX(INDIRECT("Ans" &amp; E59 &amp; "TBL"), MATCH(V59, INDEX(INDIRECT("Ans" &amp; E59 &amp; "TBL"), 0, 1), 0), 2), 0)</f>
        <v>0</v>
      </c>
      <c r="X59" s="342"/>
      <c r="Y59" s="575"/>
      <c r="Z59" s="575"/>
    </row>
    <row r="60" spans="1:26" ht="28.25" customHeight="1" x14ac:dyDescent="0.35">
      <c r="A60" s="87" t="str">
        <f>Interview!A84</f>
        <v>D-SR-B-2-1</v>
      </c>
      <c r="B60" s="601"/>
      <c r="C60" s="241">
        <f>INDEX('imp-questions'!E:E, MATCH(A60, 'imp-questions'!A:A, 0))</f>
        <v>2</v>
      </c>
      <c r="D60" s="300" t="str">
        <f>INDEX('imp-questions'!F:F, MATCH(A60, 'imp-questions'!A:A, 0))</f>
        <v>Do vendors meet the security responsibilities and quality measures of service level agreements defined by the organization?</v>
      </c>
      <c r="E60" s="329" t="str">
        <f>CHAR(65+INDEX('imp-questions'!H:H, MATCH(A60, 'imp-questions'!A:A, 0)))</f>
        <v>E</v>
      </c>
      <c r="F60" s="297" t="str">
        <f>IF(ISBLANK(Interview!F84),"",Interview!F84)</f>
        <v/>
      </c>
      <c r="G60" s="346">
        <f ca="1">IFERROR(INDEX(INDIRECT("Ans" &amp; E60 &amp; "TBL"), MATCH(F60, INDEX(INDIRECT("Ans" &amp; E60 &amp; "TBL"), 0, 1), 0), 2), 0)</f>
        <v>0</v>
      </c>
      <c r="H60" s="345"/>
      <c r="I60" s="575"/>
      <c r="J60" s="304" t="str">
        <f>F60</f>
        <v/>
      </c>
      <c r="K60" s="346">
        <f ca="1">IFERROR(INDEX(INDIRECT("Ans" &amp; E60 &amp; "TBL"), MATCH(J60, INDEX(INDIRECT("Ans" &amp; E60 &amp; "TBL"), 0, 1), 0), 2), 0)</f>
        <v>0</v>
      </c>
      <c r="L60" s="345"/>
      <c r="M60" s="575"/>
      <c r="N60" s="304" t="str">
        <f>J60</f>
        <v/>
      </c>
      <c r="O60" s="344">
        <f ca="1">IFERROR(INDEX(INDIRECT("Ans" &amp; E60 &amp; "TBL"), MATCH(N60, INDEX(INDIRECT("Ans" &amp; E60 &amp; "TBL"), 0, 1), 0), 2), 0)</f>
        <v>0</v>
      </c>
      <c r="P60" s="345"/>
      <c r="Q60" s="575"/>
      <c r="R60" s="304" t="str">
        <f>N60</f>
        <v/>
      </c>
      <c r="S60" s="135">
        <f ca="1">IFERROR(INDEX(INDIRECT("Ans" &amp; E60 &amp; "TBL"), MATCH(R60, INDEX(INDIRECT("Ans" &amp; E60 &amp; "TBL"), 0, 1), 0), 2), 0)</f>
        <v>0</v>
      </c>
      <c r="T60" s="309"/>
      <c r="U60" s="575"/>
      <c r="V60" s="304" t="str">
        <f>R60</f>
        <v/>
      </c>
      <c r="W60" s="346">
        <f ca="1">IFERROR(INDEX(INDIRECT("Ans" &amp; E60 &amp; "TBL"), MATCH(V60, INDEX(INDIRECT("Ans" &amp; E60 &amp; "TBL"), 0, 1), 0), 2), 0)</f>
        <v>0</v>
      </c>
      <c r="X60" s="345"/>
      <c r="Y60" s="575"/>
      <c r="Z60" s="575"/>
    </row>
    <row r="61" spans="1:26" ht="28.25" customHeight="1" x14ac:dyDescent="0.35">
      <c r="A61" s="87" t="str">
        <f>Interview!A86</f>
        <v>D-SR-B-3-1</v>
      </c>
      <c r="B61" s="605"/>
      <c r="C61" s="241">
        <f>INDEX('imp-questions'!E:E, MATCH(A61, 'imp-questions'!A:A, 0))</f>
        <v>3</v>
      </c>
      <c r="D61" s="296" t="str">
        <f>INDEX('imp-questions'!F:F, MATCH(A61, 'imp-questions'!A:A, 0))</f>
        <v>Are vendors aligned with standard security controls and software development tools and processes that the organization utilizes?</v>
      </c>
      <c r="E61" s="329" t="str">
        <f>CHAR(65+INDEX('imp-questions'!H:H, MATCH(A61, 'imp-questions'!A:A, 0)))</f>
        <v>E</v>
      </c>
      <c r="F61" s="297" t="str">
        <f>IF(ISBLANK(Interview!F86),"",Interview!F86)</f>
        <v/>
      </c>
      <c r="G61" s="369">
        <f ca="1">IFERROR(INDEX(INDIRECT("Ans" &amp; E61 &amp; "TBL"), MATCH(F61, INDEX(INDIRECT("Ans" &amp; E61 &amp; "TBL"), 0, 1), 0), 2), 0)</f>
        <v>0</v>
      </c>
      <c r="H61" s="348"/>
      <c r="I61" s="576"/>
      <c r="J61" s="304" t="str">
        <f>F61</f>
        <v/>
      </c>
      <c r="K61" s="349">
        <f ca="1">IFERROR(INDEX(INDIRECT("Ans" &amp; E61 &amp; "TBL"), MATCH(J61, INDEX(INDIRECT("Ans" &amp; E61 &amp; "TBL"), 0, 1), 0), 2), 0)</f>
        <v>0</v>
      </c>
      <c r="L61" s="348"/>
      <c r="M61" s="576"/>
      <c r="N61" s="304" t="str">
        <f>J61</f>
        <v/>
      </c>
      <c r="O61" s="347">
        <f ca="1">IFERROR(INDEX(INDIRECT("Ans" &amp; E61 &amp; "TBL"), MATCH(N61, INDEX(INDIRECT("Ans" &amp; E61 &amp; "TBL"), 0, 1), 0), 2), 0)</f>
        <v>0</v>
      </c>
      <c r="P61" s="348"/>
      <c r="Q61" s="576"/>
      <c r="R61" s="304" t="str">
        <f>N61</f>
        <v/>
      </c>
      <c r="S61" s="135">
        <f ca="1">IFERROR(INDEX(INDIRECT("Ans" &amp; E61 &amp; "TBL"), MATCH(R61, INDEX(INDIRECT("Ans" &amp; E61 &amp; "TBL"), 0, 1), 0), 2), 0)</f>
        <v>0</v>
      </c>
      <c r="T61" s="312"/>
      <c r="U61" s="576"/>
      <c r="V61" s="304" t="str">
        <f>R61</f>
        <v/>
      </c>
      <c r="W61" s="349">
        <f ca="1">IFERROR(INDEX(INDIRECT("Ans" &amp; E61 &amp; "TBL"), MATCH(V61, INDEX(INDIRECT("Ans" &amp; E61 &amp; "TBL"), 0, 1), 0), 2), 0)</f>
        <v>0</v>
      </c>
      <c r="X61" s="348"/>
      <c r="Y61" s="576"/>
      <c r="Z61" s="576"/>
    </row>
    <row r="62" spans="1:26" ht="13.05" customHeight="1" x14ac:dyDescent="0.35">
      <c r="B62" s="235"/>
      <c r="C62" s="236"/>
      <c r="D62" s="125"/>
      <c r="E62" s="313"/>
      <c r="F62" s="125"/>
      <c r="G62" s="125"/>
      <c r="H62" s="125"/>
      <c r="I62" s="125"/>
      <c r="J62" s="125"/>
      <c r="K62" s="125"/>
      <c r="L62" s="125"/>
      <c r="M62" s="125"/>
      <c r="N62" s="125"/>
      <c r="O62" s="125"/>
      <c r="P62" s="125"/>
      <c r="Q62" s="125"/>
      <c r="R62" s="125"/>
      <c r="S62" s="313"/>
      <c r="T62" s="125"/>
      <c r="U62" s="125"/>
      <c r="V62" s="125"/>
      <c r="W62" s="125"/>
      <c r="X62" s="125"/>
      <c r="Y62" s="125"/>
      <c r="Z62" s="125"/>
    </row>
    <row r="63" spans="1:26" ht="16.25" customHeight="1" x14ac:dyDescent="0.35">
      <c r="B63" s="239" t="s">
        <v>12</v>
      </c>
      <c r="C63" s="240" t="s">
        <v>13</v>
      </c>
      <c r="D63" s="370" t="s">
        <v>53</v>
      </c>
      <c r="E63" s="371"/>
      <c r="F63" s="372" t="s">
        <v>15</v>
      </c>
      <c r="G63" s="373"/>
      <c r="H63" s="374"/>
      <c r="I63" s="354" t="s">
        <v>17</v>
      </c>
      <c r="J63" s="372" t="s">
        <v>15</v>
      </c>
      <c r="K63" s="373"/>
      <c r="L63" s="374"/>
      <c r="M63" s="354" t="s">
        <v>17</v>
      </c>
      <c r="N63" s="372" t="s">
        <v>15</v>
      </c>
      <c r="O63" s="373"/>
      <c r="P63" s="374"/>
      <c r="Q63" s="354" t="s">
        <v>17</v>
      </c>
      <c r="R63" s="372" t="s">
        <v>15</v>
      </c>
      <c r="S63" s="373"/>
      <c r="T63" s="374"/>
      <c r="U63" s="354" t="s">
        <v>17</v>
      </c>
      <c r="V63" s="372" t="s">
        <v>15</v>
      </c>
      <c r="W63" s="373"/>
      <c r="X63" s="374"/>
      <c r="Y63" s="354" t="s">
        <v>17</v>
      </c>
      <c r="Z63" s="354" t="s">
        <v>253</v>
      </c>
    </row>
    <row r="64" spans="1:26" ht="28.25" customHeight="1" x14ac:dyDescent="0.35">
      <c r="A64" s="87" t="str">
        <f>Interview!A89</f>
        <v>D-SA-A-1-1</v>
      </c>
      <c r="B64" s="609" t="str">
        <f>INDEX('imp-questions'!D:D, MATCH(A64, 'imp-questions'!A:A, 0))</f>
        <v>Architecture Design</v>
      </c>
      <c r="C64" s="241">
        <f>INDEX('imp-questions'!E:E, MATCH(A64, 'imp-questions'!A:A, 0))</f>
        <v>1</v>
      </c>
      <c r="D64" s="300" t="str">
        <f>INDEX('imp-questions'!F:F, MATCH(A64, 'imp-questions'!A:A, 0))</f>
        <v>Do teams use security principles during design?</v>
      </c>
      <c r="E64" s="329" t="str">
        <f>CHAR(65+INDEX('imp-questions'!H:H, MATCH(A64, 'imp-questions'!A:A, 0)))</f>
        <v>A</v>
      </c>
      <c r="F64" s="287" t="str">
        <f>IF(ISBLANK(Interview!F89),"",Interview!F89)</f>
        <v/>
      </c>
      <c r="G64" s="343">
        <f ca="1">IFERROR(INDEX(INDIRECT("Ans" &amp; E64 &amp; "TBL"), MATCH(F64, INDEX(INDIRECT("Ans" &amp; E64 &amp; "TBL"), 0, 1), 0), 2), 0)</f>
        <v>0</v>
      </c>
      <c r="H64" s="358">
        <f ca="1">IFERROR(AVERAGE(G64,G68),0)</f>
        <v>0</v>
      </c>
      <c r="I64" s="588">
        <f ca="1">SUM(H64:H66)</f>
        <v>0</v>
      </c>
      <c r="J64" s="304" t="str">
        <f>F64</f>
        <v/>
      </c>
      <c r="K64" s="343">
        <f ca="1">IFERROR(INDEX(INDIRECT("Ans" &amp; E64 &amp; "TBL"), MATCH(J64, INDEX(INDIRECT("Ans" &amp; E64 &amp; "TBL"), 0, 1), 0), 2), 0)</f>
        <v>0</v>
      </c>
      <c r="L64" s="358">
        <f ca="1">IFERROR(AVERAGE(K64,K68),0)</f>
        <v>0</v>
      </c>
      <c r="M64" s="588">
        <f ca="1">SUM(L64:L66)</f>
        <v>0</v>
      </c>
      <c r="N64" s="304" t="str">
        <f>J64</f>
        <v/>
      </c>
      <c r="O64" s="341">
        <f ca="1">IFERROR(INDEX(INDIRECT("Ans" &amp; E64 &amp; "TBL"), MATCH(N64, INDEX(INDIRECT("Ans" &amp; E64 &amp; "TBL"), 0, 1), 0), 2), 0)</f>
        <v>0</v>
      </c>
      <c r="P64" s="358">
        <f ca="1">IFERROR(AVERAGE(O64,O68),0)</f>
        <v>0</v>
      </c>
      <c r="Q64" s="588">
        <f ca="1">SUM(P64:P66)</f>
        <v>0</v>
      </c>
      <c r="R64" s="304" t="str">
        <f>N64</f>
        <v/>
      </c>
      <c r="S64" s="135">
        <f ca="1">IFERROR(INDEX(INDIRECT("Ans" &amp; E64 &amp; "TBL"), MATCH(R64, INDEX(INDIRECT("Ans" &amp; E64 &amp; "TBL"), 0, 1), 0), 2), 0)</f>
        <v>0</v>
      </c>
      <c r="T64" s="359">
        <f ca="1">IFERROR(AVERAGE(S64,S68),0)</f>
        <v>0</v>
      </c>
      <c r="U64" s="588">
        <f ca="1">SUM(T64:T66)</f>
        <v>0</v>
      </c>
      <c r="V64" s="304" t="str">
        <f>R64</f>
        <v/>
      </c>
      <c r="W64" s="343">
        <f ca="1">IFERROR(INDEX(INDIRECT("Ans" &amp; E64 &amp; "TBL"), MATCH(V64, INDEX(INDIRECT("Ans" &amp; E64 &amp; "TBL"), 0, 1), 0), 2), 0)</f>
        <v>0</v>
      </c>
      <c r="X64" s="358">
        <f ca="1">IFERROR(AVERAGE(W64,W68),0)</f>
        <v>0</v>
      </c>
      <c r="Y64" s="588">
        <f ca="1">SUM(X64:X66)</f>
        <v>0</v>
      </c>
      <c r="Z64" s="588">
        <f ca="1">IFERROR(Y64-I64,Y64-LEFT(I64,1))</f>
        <v>0</v>
      </c>
    </row>
    <row r="65" spans="1:26" ht="28.25" customHeight="1" x14ac:dyDescent="0.35">
      <c r="A65" s="87" t="str">
        <f>Interview!A91</f>
        <v>D-SA-A-2-1</v>
      </c>
      <c r="B65" s="601"/>
      <c r="C65" s="241">
        <f>INDEX('imp-questions'!E:E, MATCH(A65, 'imp-questions'!A:A, 0))</f>
        <v>2</v>
      </c>
      <c r="D65" s="300" t="str">
        <f>INDEX('imp-questions'!F:F, MATCH(A65, 'imp-questions'!A:A, 0))</f>
        <v>Do you use shared security services during design?</v>
      </c>
      <c r="E65" s="329" t="str">
        <f>CHAR(65+INDEX('imp-questions'!H:H, MATCH(A65, 'imp-questions'!A:A, 0)))</f>
        <v>A</v>
      </c>
      <c r="F65" s="287" t="str">
        <f>IF(ISBLANK(Interview!F91),"",Interview!F91)</f>
        <v/>
      </c>
      <c r="G65" s="346">
        <f ca="1">IFERROR(INDEX(INDIRECT("Ans" &amp; E65 &amp; "TBL"), MATCH(F65, INDEX(INDIRECT("Ans" &amp; E65 &amp; "TBL"), 0, 1), 0), 2), 0)</f>
        <v>0</v>
      </c>
      <c r="H65" s="360">
        <f ca="1">IFERROR(AVERAGE(G65,G69),0)</f>
        <v>0</v>
      </c>
      <c r="I65" s="575"/>
      <c r="J65" s="304" t="str">
        <f>F65</f>
        <v/>
      </c>
      <c r="K65" s="346">
        <f ca="1">IFERROR(INDEX(INDIRECT("Ans" &amp; E65 &amp; "TBL"), MATCH(J65, INDEX(INDIRECT("Ans" &amp; E65 &amp; "TBL"), 0, 1), 0), 2), 0)</f>
        <v>0</v>
      </c>
      <c r="L65" s="360">
        <f ca="1">IFERROR(AVERAGE(K65,K69),0)</f>
        <v>0</v>
      </c>
      <c r="M65" s="575"/>
      <c r="N65" s="304" t="str">
        <f>J65</f>
        <v/>
      </c>
      <c r="O65" s="344">
        <f ca="1">IFERROR(INDEX(INDIRECT("Ans" &amp; E65 &amp; "TBL"), MATCH(N65, INDEX(INDIRECT("Ans" &amp; E65 &amp; "TBL"), 0, 1), 0), 2), 0)</f>
        <v>0</v>
      </c>
      <c r="P65" s="360">
        <f ca="1">IFERROR(AVERAGE(O65,O69),0)</f>
        <v>0</v>
      </c>
      <c r="Q65" s="575"/>
      <c r="R65" s="304" t="str">
        <f>N65</f>
        <v/>
      </c>
      <c r="S65" s="135">
        <f ca="1">IFERROR(INDEX(INDIRECT("Ans" &amp; E65 &amp; "TBL"), MATCH(R65, INDEX(INDIRECT("Ans" &amp; E65 &amp; "TBL"), 0, 1), 0), 2), 0)</f>
        <v>0</v>
      </c>
      <c r="T65" s="361">
        <f ca="1">IFERROR(AVERAGE(S65,S69),0)</f>
        <v>0</v>
      </c>
      <c r="U65" s="575"/>
      <c r="V65" s="304" t="str">
        <f>R65</f>
        <v/>
      </c>
      <c r="W65" s="346">
        <f ca="1">IFERROR(INDEX(INDIRECT("Ans" &amp; E65 &amp; "TBL"), MATCH(V65, INDEX(INDIRECT("Ans" &amp; E65 &amp; "TBL"), 0, 1), 0), 2), 0)</f>
        <v>0</v>
      </c>
      <c r="X65" s="360">
        <f ca="1">IFERROR(AVERAGE(W65,W69),0)</f>
        <v>0</v>
      </c>
      <c r="Y65" s="575"/>
      <c r="Z65" s="575"/>
    </row>
    <row r="66" spans="1:26" ht="28.25" customHeight="1" x14ac:dyDescent="0.35">
      <c r="A66" s="87" t="str">
        <f>Interview!A93</f>
        <v>D-SA-A-3-1</v>
      </c>
      <c r="B66" s="602"/>
      <c r="C66" s="241">
        <f>INDEX('imp-questions'!E:E, MATCH(A66, 'imp-questions'!A:A, 0))</f>
        <v>3</v>
      </c>
      <c r="D66" s="296" t="str">
        <f>INDEX('imp-questions'!F:F, MATCH(A66, 'imp-questions'!A:A, 0))</f>
        <v>Do you base your design on available reference architectures?</v>
      </c>
      <c r="E66" s="329" t="str">
        <f>CHAR(65+INDEX('imp-questions'!H:H, MATCH(A66, 'imp-questions'!A:A, 0)))</f>
        <v>A</v>
      </c>
      <c r="F66" s="287" t="str">
        <f>IF(ISBLANK(Interview!F93),"",Interview!F93)</f>
        <v/>
      </c>
      <c r="G66" s="349">
        <f ca="1">IFERROR(INDEX(INDIRECT("Ans" &amp; E66 &amp; "TBL"), MATCH(F66, INDEX(INDIRECT("Ans" &amp; E66 &amp; "TBL"), 0, 1), 0), 2), 0)</f>
        <v>0</v>
      </c>
      <c r="H66" s="364">
        <f ca="1">IFERROR(AVERAGE(G66,G70),0)</f>
        <v>0</v>
      </c>
      <c r="I66" s="575"/>
      <c r="J66" s="304" t="str">
        <f>F66</f>
        <v/>
      </c>
      <c r="K66" s="349">
        <f ca="1">IFERROR(INDEX(INDIRECT("Ans" &amp; E66 &amp; "TBL"), MATCH(J66, INDEX(INDIRECT("Ans" &amp; E66 &amp; "TBL"), 0, 1), 0), 2), 0)</f>
        <v>0</v>
      </c>
      <c r="L66" s="364">
        <f ca="1">IFERROR(AVERAGE(K66,K70),0)</f>
        <v>0</v>
      </c>
      <c r="M66" s="575"/>
      <c r="N66" s="304" t="str">
        <f>J66</f>
        <v/>
      </c>
      <c r="O66" s="344">
        <f ca="1">IFERROR(INDEX(INDIRECT("Ans" &amp; E66 &amp; "TBL"), MATCH(N66, INDEX(INDIRECT("Ans" &amp; E66 &amp; "TBL"), 0, 1), 0), 2), 0)</f>
        <v>0</v>
      </c>
      <c r="P66" s="360">
        <f ca="1">IFERROR(AVERAGE(O66,O70),0)</f>
        <v>0</v>
      </c>
      <c r="Q66" s="575"/>
      <c r="R66" s="304" t="str">
        <f>N66</f>
        <v/>
      </c>
      <c r="S66" s="135">
        <f ca="1">IFERROR(INDEX(INDIRECT("Ans" &amp; E66 &amp; "TBL"), MATCH(R66, INDEX(INDIRECT("Ans" &amp; E66 &amp; "TBL"), 0, 1), 0), 2), 0)</f>
        <v>0</v>
      </c>
      <c r="T66" s="365">
        <f ca="1">IFERROR(AVERAGE(S66,S70),0)</f>
        <v>0</v>
      </c>
      <c r="U66" s="575"/>
      <c r="V66" s="304" t="str">
        <f>R66</f>
        <v/>
      </c>
      <c r="W66" s="349">
        <f ca="1">IFERROR(INDEX(INDIRECT("Ans" &amp; E66 &amp; "TBL"), MATCH(V66, INDEX(INDIRECT("Ans" &amp; E66 &amp; "TBL"), 0, 1), 0), 2), 0)</f>
        <v>0</v>
      </c>
      <c r="X66" s="364">
        <f ca="1">IFERROR(AVERAGE(W66,W70),0)</f>
        <v>0</v>
      </c>
      <c r="Y66" s="575"/>
      <c r="Z66" s="575"/>
    </row>
    <row r="67" spans="1:26" ht="13.05" customHeight="1" x14ac:dyDescent="0.35">
      <c r="B67" s="242"/>
      <c r="C67" s="236"/>
      <c r="D67" s="125"/>
      <c r="E67" s="153"/>
      <c r="F67" s="153"/>
      <c r="G67" s="153"/>
      <c r="H67" s="153"/>
      <c r="I67" s="575"/>
      <c r="J67" s="125"/>
      <c r="K67" s="153"/>
      <c r="L67" s="153"/>
      <c r="M67" s="575"/>
      <c r="N67" s="125"/>
      <c r="O67" s="376"/>
      <c r="P67" s="377"/>
      <c r="Q67" s="575"/>
      <c r="R67" s="125"/>
      <c r="S67" s="153"/>
      <c r="T67" s="153"/>
      <c r="U67" s="575"/>
      <c r="V67" s="125"/>
      <c r="W67" s="153"/>
      <c r="X67" s="153"/>
      <c r="Y67" s="575"/>
      <c r="Z67" s="575"/>
    </row>
    <row r="68" spans="1:26" ht="28.25" customHeight="1" x14ac:dyDescent="0.35">
      <c r="A68" s="87" t="str">
        <f>Interview!A96</f>
        <v>D-SA-B-1-1</v>
      </c>
      <c r="B68" s="610" t="str">
        <f>INDEX('imp-questions'!D:D, MATCH(A68, 'imp-questions'!A:A, 0))</f>
        <v>Technology Management</v>
      </c>
      <c r="C68" s="241">
        <f>INDEX('imp-questions'!E:E, MATCH(A68, 'imp-questions'!A:A, 0))</f>
        <v>1</v>
      </c>
      <c r="D68" s="300" t="str">
        <f>INDEX('imp-questions'!F:F, MATCH(A68, 'imp-questions'!A:A, 0))</f>
        <v>Do you evaluate the security quality of important technologies used for development?</v>
      </c>
      <c r="E68" s="329" t="str">
        <f>CHAR(65+INDEX('imp-questions'!H:H, MATCH(A68, 'imp-questions'!A:A, 0)))</f>
        <v>A</v>
      </c>
      <c r="F68" s="287" t="str">
        <f>IF(ISBLANK(Interview!F96),"",Interview!F96)</f>
        <v/>
      </c>
      <c r="G68" s="378">
        <f ca="1">IFERROR(INDEX(INDIRECT("Ans" &amp; E68 &amp; "TBL"), MATCH(F68, INDEX(INDIRECT("Ans" &amp; E68 &amp; "TBL"), 0, 1), 0), 2), 0)</f>
        <v>0</v>
      </c>
      <c r="H68" s="342"/>
      <c r="I68" s="575"/>
      <c r="J68" s="304" t="str">
        <f>F68</f>
        <v/>
      </c>
      <c r="K68" s="343">
        <f ca="1">IFERROR(INDEX(INDIRECT("Ans" &amp; E68 &amp; "TBL"), MATCH(J68, INDEX(INDIRECT("Ans" &amp; E68 &amp; "TBL"), 0, 1), 0), 2), 0)</f>
        <v>0</v>
      </c>
      <c r="L68" s="342"/>
      <c r="M68" s="575"/>
      <c r="N68" s="304" t="str">
        <f>J68</f>
        <v/>
      </c>
      <c r="O68" s="341">
        <f ca="1">IFERROR(INDEX(INDIRECT("Ans" &amp; E68 &amp; "TBL"), MATCH(N68, INDEX(INDIRECT("Ans" &amp; E68 &amp; "TBL"), 0, 1), 0), 2), 0)</f>
        <v>0</v>
      </c>
      <c r="P68" s="342"/>
      <c r="Q68" s="575"/>
      <c r="R68" s="304" t="str">
        <f>N68</f>
        <v/>
      </c>
      <c r="S68" s="135">
        <f ca="1">IFERROR(INDEX(INDIRECT("Ans" &amp; E68 &amp; "TBL"), MATCH(R68, INDEX(INDIRECT("Ans" &amp; E68 &amp; "TBL"), 0, 1), 0), 2), 0)</f>
        <v>0</v>
      </c>
      <c r="T68" s="326"/>
      <c r="U68" s="575"/>
      <c r="V68" s="304" t="str">
        <f>R68</f>
        <v/>
      </c>
      <c r="W68" s="343">
        <f ca="1">IFERROR(INDEX(INDIRECT("Ans" &amp; E68 &amp; "TBL"), MATCH(V68, INDEX(INDIRECT("Ans" &amp; E68 &amp; "TBL"), 0, 1), 0), 2), 0)</f>
        <v>0</v>
      </c>
      <c r="X68" s="342"/>
      <c r="Y68" s="575"/>
      <c r="Z68" s="575"/>
    </row>
    <row r="69" spans="1:26" ht="28.25" customHeight="1" x14ac:dyDescent="0.35">
      <c r="A69" s="87" t="str">
        <f>Interview!A98</f>
        <v>D-SA-B-2-1</v>
      </c>
      <c r="B69" s="601"/>
      <c r="C69" s="241">
        <f>INDEX('imp-questions'!E:E, MATCH(A69, 'imp-questions'!A:A, 0))</f>
        <v>2</v>
      </c>
      <c r="D69" s="300" t="str">
        <f>INDEX('imp-questions'!F:F, MATCH(A69, 'imp-questions'!A:A, 0))</f>
        <v>Do you have a list of recommended technologies for the organization?</v>
      </c>
      <c r="E69" s="329" t="str">
        <f>CHAR(65+INDEX('imp-questions'!H:H, MATCH(A69, 'imp-questions'!A:A, 0)))</f>
        <v>M</v>
      </c>
      <c r="F69" s="287" t="str">
        <f>IF(ISBLANK(Interview!F98),"",Interview!F98)</f>
        <v/>
      </c>
      <c r="G69" s="379">
        <f ca="1">IFERROR(INDEX(INDIRECT("Ans" &amp; E69 &amp; "TBL"), MATCH(F69, INDEX(INDIRECT("Ans" &amp; E69 &amp; "TBL"), 0, 1), 0), 2), 0)</f>
        <v>0</v>
      </c>
      <c r="H69" s="345"/>
      <c r="I69" s="575"/>
      <c r="J69" s="304" t="str">
        <f>F69</f>
        <v/>
      </c>
      <c r="K69" s="346">
        <f ca="1">IFERROR(INDEX(INDIRECT("Ans" &amp; E69 &amp; "TBL"), MATCH(J69, INDEX(INDIRECT("Ans" &amp; E69 &amp; "TBL"), 0, 1), 0), 2), 0)</f>
        <v>0</v>
      </c>
      <c r="L69" s="345"/>
      <c r="M69" s="575"/>
      <c r="N69" s="304" t="str">
        <f>J69</f>
        <v/>
      </c>
      <c r="O69" s="344">
        <f ca="1">IFERROR(INDEX(INDIRECT("Ans" &amp; E69 &amp; "TBL"), MATCH(N69, INDEX(INDIRECT("Ans" &amp; E69 &amp; "TBL"), 0, 1), 0), 2), 0)</f>
        <v>0</v>
      </c>
      <c r="P69" s="345"/>
      <c r="Q69" s="575"/>
      <c r="R69" s="304" t="str">
        <f>N69</f>
        <v/>
      </c>
      <c r="S69" s="135">
        <f ca="1">IFERROR(INDEX(INDIRECT("Ans" &amp; E69 &amp; "TBL"), MATCH(R69, INDEX(INDIRECT("Ans" &amp; E69 &amp; "TBL"), 0, 1), 0), 2), 0)</f>
        <v>0</v>
      </c>
      <c r="T69" s="309"/>
      <c r="U69" s="575"/>
      <c r="V69" s="304" t="str">
        <f>R69</f>
        <v/>
      </c>
      <c r="W69" s="346">
        <f ca="1">IFERROR(INDEX(INDIRECT("Ans" &amp; E69 &amp; "TBL"), MATCH(V69, INDEX(INDIRECT("Ans" &amp; E69 &amp; "TBL"), 0, 1), 0), 2), 0)</f>
        <v>0</v>
      </c>
      <c r="X69" s="345"/>
      <c r="Y69" s="575"/>
      <c r="Z69" s="575"/>
    </row>
    <row r="70" spans="1:26" ht="28.25" customHeight="1" x14ac:dyDescent="0.35">
      <c r="A70" s="87" t="str">
        <f>Interview!A100</f>
        <v>D-SA-B-3-1</v>
      </c>
      <c r="B70" s="601"/>
      <c r="C70" s="241">
        <f>INDEX('imp-questions'!E:E, MATCH(A70, 'imp-questions'!A:A, 0))</f>
        <v>3</v>
      </c>
      <c r="D70" s="296" t="str">
        <f>INDEX('imp-questions'!F:F, MATCH(A70, 'imp-questions'!A:A, 0))</f>
        <v>Do you enforce the use of recommended technologies within the organization?</v>
      </c>
      <c r="E70" s="329" t="str">
        <f>CHAR(65+INDEX('imp-questions'!H:H, MATCH(A70, 'imp-questions'!A:A, 0)))</f>
        <v>A</v>
      </c>
      <c r="F70" s="297" t="str">
        <f>IF(ISBLANK(Interview!F100),"",Interview!F100)</f>
        <v/>
      </c>
      <c r="G70" s="380">
        <f ca="1">IFERROR(INDEX(INDIRECT("Ans" &amp; E70 &amp; "TBL"), MATCH(F70, INDEX(INDIRECT("Ans" &amp; E70 &amp; "TBL"), 0, 1), 0), 2), 0)</f>
        <v>0</v>
      </c>
      <c r="H70" s="348"/>
      <c r="I70" s="471"/>
      <c r="J70" s="304" t="str">
        <f>F70</f>
        <v/>
      </c>
      <c r="K70" s="349">
        <f ca="1">IFERROR(INDEX(INDIRECT("Ans" &amp; E70 &amp; "TBL"), MATCH(J70, INDEX(INDIRECT("Ans" &amp; E70 &amp; "TBL"), 0, 1), 0), 2), 0)</f>
        <v>0</v>
      </c>
      <c r="L70" s="348"/>
      <c r="M70" s="471"/>
      <c r="N70" s="304" t="str">
        <f>J70</f>
        <v/>
      </c>
      <c r="O70" s="347">
        <f ca="1">IFERROR(INDEX(INDIRECT("Ans" &amp; E70 &amp; "TBL"), MATCH(N70, INDEX(INDIRECT("Ans" &amp; E70 &amp; "TBL"), 0, 1), 0), 2), 0)</f>
        <v>0</v>
      </c>
      <c r="P70" s="348"/>
      <c r="Q70" s="471"/>
      <c r="R70" s="304" t="str">
        <f>N70</f>
        <v/>
      </c>
      <c r="S70" s="135">
        <f ca="1">IFERROR(INDEX(INDIRECT("Ans" &amp; E70 &amp; "TBL"), MATCH(R70, INDEX(INDIRECT("Ans" &amp; E70 &amp; "TBL"), 0, 1), 0), 2), 0)</f>
        <v>0</v>
      </c>
      <c r="T70" s="312"/>
      <c r="U70" s="471"/>
      <c r="V70" s="304" t="str">
        <f>R70</f>
        <v/>
      </c>
      <c r="W70" s="349">
        <f ca="1">IFERROR(INDEX(INDIRECT("Ans" &amp; E70 &amp; "TBL"), MATCH(V70, INDEX(INDIRECT("Ans" &amp; E70 &amp; "TBL"), 0, 1), 0), 2), 0)</f>
        <v>0</v>
      </c>
      <c r="X70" s="348"/>
      <c r="Y70" s="471"/>
      <c r="Z70" s="471"/>
    </row>
    <row r="71" spans="1:26" ht="13.05" customHeight="1" x14ac:dyDescent="0.35">
      <c r="B71" s="242"/>
      <c r="C71" s="236"/>
      <c r="D71" s="125"/>
      <c r="E71" s="313"/>
      <c r="F71" s="313"/>
      <c r="G71" s="125"/>
      <c r="H71" s="125"/>
      <c r="I71" s="125"/>
      <c r="J71" s="125"/>
      <c r="K71" s="125"/>
      <c r="L71" s="125"/>
      <c r="M71" s="125"/>
      <c r="N71" s="125"/>
      <c r="O71" s="125"/>
      <c r="P71" s="125"/>
      <c r="Q71" s="125"/>
      <c r="R71" s="125"/>
      <c r="S71" s="313"/>
      <c r="T71" s="125"/>
      <c r="U71" s="125"/>
      <c r="V71" s="125"/>
      <c r="W71" s="125"/>
      <c r="X71" s="125"/>
      <c r="Y71" s="125"/>
      <c r="Z71" s="125"/>
    </row>
    <row r="72" spans="1:26" ht="28.05" customHeight="1" x14ac:dyDescent="0.35">
      <c r="B72" s="621" t="s">
        <v>60</v>
      </c>
      <c r="C72" s="535"/>
      <c r="D72" s="535"/>
      <c r="E72" s="381"/>
      <c r="F72" s="627" t="s">
        <v>248</v>
      </c>
      <c r="G72" s="535"/>
      <c r="H72" s="535"/>
      <c r="I72" s="535"/>
      <c r="J72" s="597" t="s">
        <v>249</v>
      </c>
      <c r="K72" s="535"/>
      <c r="L72" s="535"/>
      <c r="M72" s="594"/>
      <c r="N72" s="597" t="s">
        <v>250</v>
      </c>
      <c r="O72" s="535"/>
      <c r="P72" s="535"/>
      <c r="Q72" s="594"/>
      <c r="R72" s="597" t="s">
        <v>251</v>
      </c>
      <c r="S72" s="535"/>
      <c r="T72" s="535"/>
      <c r="U72" s="594"/>
      <c r="V72" s="591" t="s">
        <v>252</v>
      </c>
      <c r="W72" s="535"/>
      <c r="X72" s="535"/>
      <c r="Y72" s="535"/>
      <c r="Z72" s="535"/>
    </row>
    <row r="73" spans="1:26" ht="16.25" customHeight="1" x14ac:dyDescent="0.35">
      <c r="B73" s="243" t="s">
        <v>12</v>
      </c>
      <c r="C73" s="416" t="s">
        <v>13</v>
      </c>
      <c r="D73" s="243" t="s">
        <v>61</v>
      </c>
      <c r="E73" s="382"/>
      <c r="F73" s="383" t="s">
        <v>15</v>
      </c>
      <c r="G73" s="384"/>
      <c r="H73" s="385"/>
      <c r="I73" s="386" t="s">
        <v>17</v>
      </c>
      <c r="J73" s="383" t="s">
        <v>15</v>
      </c>
      <c r="K73" s="384"/>
      <c r="L73" s="385"/>
      <c r="M73" s="386" t="s">
        <v>17</v>
      </c>
      <c r="N73" s="383" t="s">
        <v>15</v>
      </c>
      <c r="O73" s="384"/>
      <c r="P73" s="385"/>
      <c r="Q73" s="386" t="s">
        <v>17</v>
      </c>
      <c r="R73" s="383" t="s">
        <v>15</v>
      </c>
      <c r="S73" s="384"/>
      <c r="T73" s="385"/>
      <c r="U73" s="386" t="s">
        <v>17</v>
      </c>
      <c r="V73" s="383" t="s">
        <v>15</v>
      </c>
      <c r="W73" s="384"/>
      <c r="X73" s="385"/>
      <c r="Y73" s="386" t="s">
        <v>17</v>
      </c>
      <c r="Z73" s="386" t="s">
        <v>253</v>
      </c>
    </row>
    <row r="74" spans="1:26" ht="28.25" customHeight="1" x14ac:dyDescent="0.35">
      <c r="A74" s="87" t="str">
        <f>Interview!A104</f>
        <v>I-SB-A-1-1</v>
      </c>
      <c r="B74" s="604" t="str">
        <f>INDEX('imp-questions'!D:D, MATCH(A74, 'imp-questions'!A:A, 0))</f>
        <v>Build Process</v>
      </c>
      <c r="C74" s="244">
        <f>INDEX('imp-questions'!E:E, MATCH(A74, 'imp-questions'!A:A, 0))</f>
        <v>1</v>
      </c>
      <c r="D74" s="300" t="str">
        <f>INDEX('imp-questions'!F:F, MATCH(A74, 'imp-questions'!A:A, 0))</f>
        <v>Is your full build process formally described?</v>
      </c>
      <c r="E74" s="329" t="str">
        <f>CHAR(65+INDEX('imp-questions'!H:H, MATCH(A74, 'imp-questions'!A:A, 0)))</f>
        <v>A</v>
      </c>
      <c r="F74" s="287" t="str">
        <f>IF(ISBLANK(Interview!F104),"",Interview!F104)</f>
        <v/>
      </c>
      <c r="G74" s="343">
        <f ca="1">IFERROR(INDEX(INDIRECT("Ans" &amp; E74 &amp; "TBL"), MATCH(F74, INDEX(INDIRECT("Ans" &amp; E74 &amp; "TBL"), 0, 1), 0), 2), 0)</f>
        <v>0</v>
      </c>
      <c r="H74" s="358">
        <f ca="1">IFERROR(AVERAGE(G74,G78),0)</f>
        <v>0</v>
      </c>
      <c r="I74" s="589">
        <f ca="1">SUM(H74:H76)</f>
        <v>0</v>
      </c>
      <c r="J74" s="304" t="str">
        <f>F74</f>
        <v/>
      </c>
      <c r="K74" s="343">
        <f ca="1">IFERROR(INDEX(INDIRECT("Ans" &amp; E74 &amp; "TBL"), MATCH(J74, INDEX(INDIRECT("Ans" &amp; E74 &amp; "TBL"), 0, 1), 0), 2), 0)</f>
        <v>0</v>
      </c>
      <c r="L74" s="358">
        <f ca="1">IFERROR(AVERAGE(K74,K78),0)</f>
        <v>0</v>
      </c>
      <c r="M74" s="589">
        <f ca="1">SUM(L74:L76)</f>
        <v>0</v>
      </c>
      <c r="N74" s="304" t="str">
        <f>J74</f>
        <v/>
      </c>
      <c r="O74" s="341">
        <f ca="1">IFERROR(INDEX(INDIRECT("Ans" &amp; E74 &amp; "TBL"), MATCH(N74, INDEX(INDIRECT("Ans" &amp; E74 &amp; "TBL"), 0, 1), 0), 2), 0)</f>
        <v>0</v>
      </c>
      <c r="P74" s="358">
        <f ca="1">IFERROR(AVERAGE(O74,O78),0)</f>
        <v>0</v>
      </c>
      <c r="Q74" s="589">
        <f ca="1">SUM(P74:P76)</f>
        <v>0</v>
      </c>
      <c r="R74" s="304" t="str">
        <f>N74</f>
        <v/>
      </c>
      <c r="S74" s="135">
        <f ca="1">IFERROR(INDEX(INDIRECT("Ans" &amp; E74 &amp; "TBL"), MATCH(R74, INDEX(INDIRECT("Ans" &amp; E74 &amp; "TBL"), 0, 1), 0), 2), 0)</f>
        <v>0</v>
      </c>
      <c r="T74" s="359">
        <f ca="1">IFERROR(AVERAGE(S74,S78),0)</f>
        <v>0</v>
      </c>
      <c r="U74" s="589">
        <f ca="1">SUM(T74:T76)</f>
        <v>0</v>
      </c>
      <c r="V74" s="304" t="str">
        <f>R74</f>
        <v/>
      </c>
      <c r="W74" s="343">
        <f ca="1">IFERROR(INDEX(INDIRECT("Ans" &amp; E74 &amp; "TBL"), MATCH(V74, INDEX(INDIRECT("Ans" &amp; E74 &amp; "TBL"), 0, 1), 0), 2), 0)</f>
        <v>0</v>
      </c>
      <c r="X74" s="358">
        <f ca="1">IFERROR(AVERAGE(W74,W78),0)</f>
        <v>0</v>
      </c>
      <c r="Y74" s="589">
        <f ca="1">SUM(X74:X76)</f>
        <v>0</v>
      </c>
      <c r="Z74" s="589">
        <f ca="1">IFERROR(Y74-I74,Y74-LEFT(I74,1))</f>
        <v>0</v>
      </c>
    </row>
    <row r="75" spans="1:26" ht="28.25" customHeight="1" x14ac:dyDescent="0.35">
      <c r="A75" s="87" t="str">
        <f>Interview!A106</f>
        <v>I-SB-A-2-1</v>
      </c>
      <c r="B75" s="601"/>
      <c r="C75" s="244">
        <f>INDEX('imp-questions'!E:E, MATCH(A75, 'imp-questions'!A:A, 0))</f>
        <v>2</v>
      </c>
      <c r="D75" s="300" t="str">
        <f>INDEX('imp-questions'!F:F, MATCH(A75, 'imp-questions'!A:A, 0))</f>
        <v>Is the build process fully automated?</v>
      </c>
      <c r="E75" s="329" t="str">
        <f>CHAR(65+INDEX('imp-questions'!H:H, MATCH(A75, 'imp-questions'!A:A, 0)))</f>
        <v>A</v>
      </c>
      <c r="F75" s="287" t="str">
        <f>IF(ISBLANK(Interview!F106),"",Interview!F106)</f>
        <v/>
      </c>
      <c r="G75" s="346">
        <f ca="1">IFERROR(INDEX(INDIRECT("Ans" &amp; E75 &amp; "TBL"), MATCH(F75, INDEX(INDIRECT("Ans" &amp; E75 &amp; "TBL"), 0, 1), 0), 2), 0)</f>
        <v>0</v>
      </c>
      <c r="H75" s="360">
        <f ca="1">IFERROR(AVERAGE(G75,G79),0)</f>
        <v>0</v>
      </c>
      <c r="I75" s="575"/>
      <c r="J75" s="304" t="str">
        <f>F75</f>
        <v/>
      </c>
      <c r="K75" s="346">
        <f ca="1">IFERROR(INDEX(INDIRECT("Ans" &amp; E75 &amp; "TBL"), MATCH(J75, INDEX(INDIRECT("Ans" &amp; E75 &amp; "TBL"), 0, 1), 0), 2), 0)</f>
        <v>0</v>
      </c>
      <c r="L75" s="360">
        <f ca="1">IFERROR(AVERAGE(K75,K79),0)</f>
        <v>0</v>
      </c>
      <c r="M75" s="575"/>
      <c r="N75" s="304" t="str">
        <f>J75</f>
        <v/>
      </c>
      <c r="O75" s="344">
        <f ca="1">IFERROR(INDEX(INDIRECT("Ans" &amp; E75 &amp; "TBL"), MATCH(N75, INDEX(INDIRECT("Ans" &amp; E75 &amp; "TBL"), 0, 1), 0), 2), 0)</f>
        <v>0</v>
      </c>
      <c r="P75" s="360">
        <f ca="1">IFERROR(AVERAGE(O75,O79),0)</f>
        <v>0</v>
      </c>
      <c r="Q75" s="575"/>
      <c r="R75" s="304" t="str">
        <f>N75</f>
        <v/>
      </c>
      <c r="S75" s="135">
        <f ca="1">IFERROR(INDEX(INDIRECT("Ans" &amp; E75 &amp; "TBL"), MATCH(R75, INDEX(INDIRECT("Ans" &amp; E75 &amp; "TBL"), 0, 1), 0), 2), 0)</f>
        <v>0</v>
      </c>
      <c r="T75" s="361">
        <f ca="1">IFERROR(AVERAGE(S75,S79),0)</f>
        <v>0</v>
      </c>
      <c r="U75" s="575"/>
      <c r="V75" s="304" t="str">
        <f>R75</f>
        <v/>
      </c>
      <c r="W75" s="346">
        <f ca="1">IFERROR(INDEX(INDIRECT("Ans" &amp; E75 &amp; "TBL"), MATCH(V75, INDEX(INDIRECT("Ans" &amp; E75 &amp; "TBL"), 0, 1), 0), 2), 0)</f>
        <v>0</v>
      </c>
      <c r="X75" s="360">
        <f ca="1">IFERROR(AVERAGE(W75,W79),0)</f>
        <v>0</v>
      </c>
      <c r="Y75" s="575"/>
      <c r="Z75" s="575"/>
    </row>
    <row r="76" spans="1:26" ht="28.25" customHeight="1" x14ac:dyDescent="0.35">
      <c r="A76" s="87" t="str">
        <f>Interview!A108</f>
        <v>I-SB-A-3-1</v>
      </c>
      <c r="B76" s="605"/>
      <c r="C76" s="244">
        <f>INDEX('imp-questions'!E:E, MATCH(A76, 'imp-questions'!A:A, 0))</f>
        <v>3</v>
      </c>
      <c r="D76" s="296" t="str">
        <f>INDEX('imp-questions'!F:F, MATCH(A76, 'imp-questions'!A:A, 0))</f>
        <v>Do you enforce automated security checks in your build processes?</v>
      </c>
      <c r="E76" s="329" t="str">
        <f>CHAR(65+INDEX('imp-questions'!H:H, MATCH(A76, 'imp-questions'!A:A, 0)))</f>
        <v>A</v>
      </c>
      <c r="F76" s="287" t="str">
        <f>IF(ISBLANK(Interview!F108),"",Interview!F108)</f>
        <v/>
      </c>
      <c r="G76" s="349">
        <f ca="1">IFERROR(INDEX(INDIRECT("Ans" &amp; E76 &amp; "TBL"), MATCH(F76, INDEX(INDIRECT("Ans" &amp; E76 &amp; "TBL"), 0, 1), 0), 2), 0)</f>
        <v>0</v>
      </c>
      <c r="H76" s="364">
        <f ca="1">IFERROR(AVERAGE(G76,G80),0)</f>
        <v>0</v>
      </c>
      <c r="I76" s="575"/>
      <c r="J76" s="304" t="str">
        <f>F76</f>
        <v/>
      </c>
      <c r="K76" s="349">
        <f ca="1">IFERROR(INDEX(INDIRECT("Ans" &amp; E76 &amp; "TBL"), MATCH(J76, INDEX(INDIRECT("Ans" &amp; E76 &amp; "TBL"), 0, 1), 0), 2), 0)</f>
        <v>0</v>
      </c>
      <c r="L76" s="364">
        <f ca="1">IFERROR(AVERAGE(K76,K80),0)</f>
        <v>0</v>
      </c>
      <c r="M76" s="575"/>
      <c r="N76" s="304" t="str">
        <f>J76</f>
        <v/>
      </c>
      <c r="O76" s="347">
        <f ca="1">IFERROR(INDEX(INDIRECT("Ans" &amp; E76 &amp; "TBL"), MATCH(N76, INDEX(INDIRECT("Ans" &amp; E76 &amp; "TBL"), 0, 1), 0), 2), 0)</f>
        <v>0</v>
      </c>
      <c r="P76" s="364">
        <f ca="1">IFERROR(AVERAGE(O76,O80),0)</f>
        <v>0</v>
      </c>
      <c r="Q76" s="575"/>
      <c r="R76" s="304" t="str">
        <f>N76</f>
        <v/>
      </c>
      <c r="S76" s="135">
        <f ca="1">IFERROR(INDEX(INDIRECT("Ans" &amp; E76 &amp; "TBL"), MATCH(R76, INDEX(INDIRECT("Ans" &amp; E76 &amp; "TBL"), 0, 1), 0), 2), 0)</f>
        <v>0</v>
      </c>
      <c r="T76" s="365">
        <f ca="1">IFERROR(AVERAGE(S76,S80),0)</f>
        <v>0</v>
      </c>
      <c r="U76" s="575"/>
      <c r="V76" s="304" t="str">
        <f>R76</f>
        <v/>
      </c>
      <c r="W76" s="349">
        <f ca="1">IFERROR(INDEX(INDIRECT("Ans" &amp; E76 &amp; "TBL"), MATCH(V76, INDEX(INDIRECT("Ans" &amp; E76 &amp; "TBL"), 0, 1), 0), 2), 0)</f>
        <v>0</v>
      </c>
      <c r="X76" s="364">
        <f ca="1">IFERROR(AVERAGE(W76,W80),0)</f>
        <v>0</v>
      </c>
      <c r="Y76" s="575"/>
      <c r="Z76" s="575"/>
    </row>
    <row r="77" spans="1:26" ht="13.05" customHeight="1" x14ac:dyDescent="0.35">
      <c r="B77" s="235"/>
      <c r="C77" s="236"/>
      <c r="D77" s="125"/>
      <c r="E77" s="153"/>
      <c r="F77" s="125"/>
      <c r="G77" s="153"/>
      <c r="H77" s="153"/>
      <c r="I77" s="575"/>
      <c r="J77" s="125"/>
      <c r="K77" s="153"/>
      <c r="L77" s="153"/>
      <c r="M77" s="575"/>
      <c r="N77" s="125"/>
      <c r="O77" s="153"/>
      <c r="P77" s="153"/>
      <c r="Q77" s="575"/>
      <c r="R77" s="125"/>
      <c r="S77" s="153"/>
      <c r="T77" s="153"/>
      <c r="U77" s="575"/>
      <c r="V77" s="125"/>
      <c r="W77" s="153"/>
      <c r="X77" s="153"/>
      <c r="Y77" s="575"/>
      <c r="Z77" s="575"/>
    </row>
    <row r="78" spans="1:26" ht="28.25" customHeight="1" x14ac:dyDescent="0.35">
      <c r="A78" s="87" t="str">
        <f>Interview!A111</f>
        <v>I-SB-B-1-1</v>
      </c>
      <c r="B78" s="604" t="str">
        <f>INDEX('imp-questions'!D:D, MATCH(A78, 'imp-questions'!A:A, 0))</f>
        <v>Software Dependencies</v>
      </c>
      <c r="C78" s="244">
        <f>INDEX('imp-questions'!E:E, MATCH(A78, 'imp-questions'!A:A, 0))</f>
        <v>1</v>
      </c>
      <c r="D78" s="300" t="str">
        <f>INDEX('imp-questions'!F:F, MATCH(A78, 'imp-questions'!A:A, 0))</f>
        <v>Do you have solid knowledge about dependencies you're relying on?</v>
      </c>
      <c r="E78" s="329" t="str">
        <f>CHAR(65+INDEX('imp-questions'!H:H, MATCH(A78, 'imp-questions'!A:A, 0)))</f>
        <v>A</v>
      </c>
      <c r="F78" s="287" t="str">
        <f>IF(ISBLANK(Interview!F111),"",Interview!F111)</f>
        <v/>
      </c>
      <c r="G78" s="343">
        <f ca="1">IFERROR(INDEX(INDIRECT("Ans" &amp; E78 &amp; "TBL"), MATCH(F78, INDEX(INDIRECT("Ans" &amp; E78 &amp; "TBL"), 0, 1), 0), 2), 0)</f>
        <v>0</v>
      </c>
      <c r="H78" s="342"/>
      <c r="I78" s="575"/>
      <c r="J78" s="304" t="str">
        <f>F78</f>
        <v/>
      </c>
      <c r="K78" s="343">
        <f ca="1">IFERROR(INDEX(INDIRECT("Ans" &amp; E78 &amp; "TBL"), MATCH(J78, INDEX(INDIRECT("Ans" &amp; E78 &amp; "TBL"), 0, 1), 0), 2), 0)</f>
        <v>0</v>
      </c>
      <c r="L78" s="342"/>
      <c r="M78" s="575"/>
      <c r="N78" s="304" t="str">
        <f>J78</f>
        <v/>
      </c>
      <c r="O78" s="341">
        <f ca="1">IFERROR(INDEX(INDIRECT("Ans" &amp; E78 &amp; "TBL"), MATCH(N78, INDEX(INDIRECT("Ans" &amp; E78 &amp; "TBL"), 0, 1), 0), 2), 0)</f>
        <v>0</v>
      </c>
      <c r="P78" s="342"/>
      <c r="Q78" s="575"/>
      <c r="R78" s="304" t="str">
        <f>N78</f>
        <v/>
      </c>
      <c r="S78" s="135">
        <f ca="1">IFERROR(INDEX(INDIRECT("Ans" &amp; E78 &amp; "TBL"), MATCH(R78, INDEX(INDIRECT("Ans" &amp; E78 &amp; "TBL"), 0, 1), 0), 2), 0)</f>
        <v>0</v>
      </c>
      <c r="T78" s="326"/>
      <c r="U78" s="575"/>
      <c r="V78" s="304" t="str">
        <f>R78</f>
        <v/>
      </c>
      <c r="W78" s="343">
        <f ca="1">IFERROR(INDEX(INDIRECT("Ans" &amp; E78 &amp; "TBL"), MATCH(V78, INDEX(INDIRECT("Ans" &amp; E78 &amp; "TBL"), 0, 1), 0), 2), 0)</f>
        <v>0</v>
      </c>
      <c r="X78" s="342"/>
      <c r="Y78" s="575"/>
      <c r="Z78" s="575"/>
    </row>
    <row r="79" spans="1:26" ht="28.25" customHeight="1" x14ac:dyDescent="0.35">
      <c r="A79" s="87" t="str">
        <f>Interview!A113</f>
        <v>I-SB-B-2-1</v>
      </c>
      <c r="B79" s="601"/>
      <c r="C79" s="244">
        <f>INDEX('imp-questions'!E:E, MATCH(A79, 'imp-questions'!A:A, 0))</f>
        <v>2</v>
      </c>
      <c r="D79" s="300" t="str">
        <f>INDEX('imp-questions'!F:F, MATCH(A79, 'imp-questions'!A:A, 0))</f>
        <v>Do you handle 3rd party dependency risk by a formal process?</v>
      </c>
      <c r="E79" s="329" t="str">
        <f>CHAR(65+INDEX('imp-questions'!H:H, MATCH(A79, 'imp-questions'!A:A, 0)))</f>
        <v>A</v>
      </c>
      <c r="F79" s="287" t="str">
        <f>IF(ISBLANK(Interview!F113),"",Interview!F113)</f>
        <v/>
      </c>
      <c r="G79" s="346">
        <f ca="1">IFERROR(INDEX(INDIRECT("Ans" &amp; E79 &amp; "TBL"), MATCH(F79, INDEX(INDIRECT("Ans" &amp; E79 &amp; "TBL"), 0, 1), 0), 2), 0)</f>
        <v>0</v>
      </c>
      <c r="H79" s="345"/>
      <c r="I79" s="575"/>
      <c r="J79" s="304" t="str">
        <f>F79</f>
        <v/>
      </c>
      <c r="K79" s="346">
        <f ca="1">IFERROR(INDEX(INDIRECT("Ans" &amp; E79 &amp; "TBL"), MATCH(J79, INDEX(INDIRECT("Ans" &amp; E79 &amp; "TBL"), 0, 1), 0), 2), 0)</f>
        <v>0</v>
      </c>
      <c r="L79" s="345"/>
      <c r="M79" s="575"/>
      <c r="N79" s="304" t="str">
        <f>J79</f>
        <v/>
      </c>
      <c r="O79" s="344">
        <f ca="1">IFERROR(INDEX(INDIRECT("Ans" &amp; E79 &amp; "TBL"), MATCH(N79, INDEX(INDIRECT("Ans" &amp; E79 &amp; "TBL"), 0, 1), 0), 2), 0)</f>
        <v>0</v>
      </c>
      <c r="P79" s="345"/>
      <c r="Q79" s="575"/>
      <c r="R79" s="304" t="str">
        <f>N79</f>
        <v/>
      </c>
      <c r="S79" s="135">
        <f ca="1">IFERROR(INDEX(INDIRECT("Ans" &amp; E79 &amp; "TBL"), MATCH(R79, INDEX(INDIRECT("Ans" &amp; E79 &amp; "TBL"), 0, 1), 0), 2), 0)</f>
        <v>0</v>
      </c>
      <c r="T79" s="309"/>
      <c r="U79" s="575"/>
      <c r="V79" s="304" t="str">
        <f>R79</f>
        <v/>
      </c>
      <c r="W79" s="346">
        <f ca="1">IFERROR(INDEX(INDIRECT("Ans" &amp; E79 &amp; "TBL"), MATCH(V79, INDEX(INDIRECT("Ans" &amp; E79 &amp; "TBL"), 0, 1), 0), 2), 0)</f>
        <v>0</v>
      </c>
      <c r="X79" s="345"/>
      <c r="Y79" s="575"/>
      <c r="Z79" s="575"/>
    </row>
    <row r="80" spans="1:26" ht="28.25" customHeight="1" x14ac:dyDescent="0.35">
      <c r="A80" s="87" t="str">
        <f>Interview!A115</f>
        <v>I-SB-B-3-1</v>
      </c>
      <c r="B80" s="605"/>
      <c r="C80" s="244">
        <f>INDEX('imp-questions'!E:E, MATCH(A80, 'imp-questions'!A:A, 0))</f>
        <v>3</v>
      </c>
      <c r="D80" s="296" t="str">
        <f>INDEX('imp-questions'!F:F, MATCH(A80, 'imp-questions'!A:A, 0))</f>
        <v>Do you prevent build of software if it's affected by vulnerabilities in dependencies?</v>
      </c>
      <c r="E80" s="329" t="str">
        <f>CHAR(65+INDEX('imp-questions'!H:H, MATCH(A80, 'imp-questions'!A:A, 0)))</f>
        <v>A</v>
      </c>
      <c r="F80" s="287" t="str">
        <f>IF(ISBLANK(Interview!F115),"",Interview!F115)</f>
        <v/>
      </c>
      <c r="G80" s="349">
        <f ca="1">IFERROR(INDEX(INDIRECT("Ans" &amp; E80 &amp; "TBL"), MATCH(F80, INDEX(INDIRECT("Ans" &amp; E80 &amp; "TBL"), 0, 1), 0), 2), 0)</f>
        <v>0</v>
      </c>
      <c r="H80" s="348"/>
      <c r="I80" s="576"/>
      <c r="J80" s="304" t="str">
        <f>F80</f>
        <v/>
      </c>
      <c r="K80" s="349">
        <f ca="1">IFERROR(INDEX(INDIRECT("Ans" &amp; E80 &amp; "TBL"), MATCH(J80, INDEX(INDIRECT("Ans" &amp; E80 &amp; "TBL"), 0, 1), 0), 2), 0)</f>
        <v>0</v>
      </c>
      <c r="L80" s="348"/>
      <c r="M80" s="576"/>
      <c r="N80" s="304" t="str">
        <f>J80</f>
        <v/>
      </c>
      <c r="O80" s="347">
        <f ca="1">IFERROR(INDEX(INDIRECT("Ans" &amp; E80 &amp; "TBL"), MATCH(N80, INDEX(INDIRECT("Ans" &amp; E80 &amp; "TBL"), 0, 1), 0), 2), 0)</f>
        <v>0</v>
      </c>
      <c r="P80" s="348"/>
      <c r="Q80" s="576"/>
      <c r="R80" s="304" t="str">
        <f>N80</f>
        <v/>
      </c>
      <c r="S80" s="135">
        <f ca="1">IFERROR(INDEX(INDIRECT("Ans" &amp; E80 &amp; "TBL"), MATCH(R80, INDEX(INDIRECT("Ans" &amp; E80 &amp; "TBL"), 0, 1), 0), 2), 0)</f>
        <v>0</v>
      </c>
      <c r="T80" s="312"/>
      <c r="U80" s="576"/>
      <c r="V80" s="304" t="str">
        <f>R80</f>
        <v/>
      </c>
      <c r="W80" s="349">
        <f ca="1">IFERROR(INDEX(INDIRECT("Ans" &amp; E80 &amp; "TBL"), MATCH(V80, INDEX(INDIRECT("Ans" &amp; E80 &amp; "TBL"), 0, 1), 0), 2), 0)</f>
        <v>0</v>
      </c>
      <c r="X80" s="348"/>
      <c r="Y80" s="576"/>
      <c r="Z80" s="576"/>
    </row>
    <row r="81" spans="1:26" ht="13.05" customHeight="1" x14ac:dyDescent="0.35">
      <c r="B81" s="235"/>
      <c r="C81" s="236"/>
      <c r="D81" s="125"/>
      <c r="E81" s="125"/>
      <c r="F81" s="125"/>
      <c r="G81" s="125"/>
      <c r="H81" s="125"/>
      <c r="I81" s="125"/>
      <c r="J81" s="125"/>
      <c r="K81" s="125"/>
      <c r="L81" s="125"/>
      <c r="M81" s="125"/>
      <c r="N81" s="125"/>
      <c r="O81" s="125"/>
      <c r="P81" s="125"/>
      <c r="Q81" s="125"/>
      <c r="R81" s="125"/>
      <c r="S81" s="313"/>
      <c r="T81" s="125"/>
      <c r="U81" s="125"/>
      <c r="V81" s="125"/>
      <c r="W81" s="125"/>
      <c r="X81" s="125"/>
      <c r="Y81" s="125"/>
      <c r="Z81" s="125"/>
    </row>
    <row r="82" spans="1:26" ht="16.25" customHeight="1" x14ac:dyDescent="0.35">
      <c r="B82" s="243" t="s">
        <v>12</v>
      </c>
      <c r="C82" s="416" t="s">
        <v>13</v>
      </c>
      <c r="D82" s="245" t="s">
        <v>68</v>
      </c>
      <c r="E82" s="388"/>
      <c r="F82" s="389" t="s">
        <v>15</v>
      </c>
      <c r="G82" s="390"/>
      <c r="H82" s="391"/>
      <c r="I82" s="386" t="s">
        <v>17</v>
      </c>
      <c r="J82" s="389" t="s">
        <v>15</v>
      </c>
      <c r="K82" s="390"/>
      <c r="L82" s="391"/>
      <c r="M82" s="386" t="s">
        <v>17</v>
      </c>
      <c r="N82" s="389" t="s">
        <v>15</v>
      </c>
      <c r="O82" s="389"/>
      <c r="P82" s="392"/>
      <c r="Q82" s="386" t="s">
        <v>17</v>
      </c>
      <c r="R82" s="389" t="s">
        <v>15</v>
      </c>
      <c r="S82" s="390"/>
      <c r="T82" s="391"/>
      <c r="U82" s="386" t="s">
        <v>17</v>
      </c>
      <c r="V82" s="389" t="s">
        <v>15</v>
      </c>
      <c r="W82" s="390"/>
      <c r="X82" s="391"/>
      <c r="Y82" s="386" t="s">
        <v>17</v>
      </c>
      <c r="Z82" s="386" t="s">
        <v>253</v>
      </c>
    </row>
    <row r="83" spans="1:26" ht="28.25" customHeight="1" x14ac:dyDescent="0.35">
      <c r="A83" s="87" t="str">
        <f>Interview!A118</f>
        <v>I-SD-A-1-1</v>
      </c>
      <c r="B83" s="604" t="str">
        <f>INDEX('imp-questions'!D:D, MATCH(A83, 'imp-questions'!A:A, 0))</f>
        <v>Deployment Process</v>
      </c>
      <c r="C83" s="244">
        <f>INDEX('imp-questions'!E:E, MATCH(A83, 'imp-questions'!A:A, 0))</f>
        <v>1</v>
      </c>
      <c r="D83" s="300" t="str">
        <f>INDEX('imp-questions'!F:F, MATCH(A83, 'imp-questions'!A:A, 0))</f>
        <v>Do you use repeatable deployment processes?</v>
      </c>
      <c r="E83" s="329" t="str">
        <f>CHAR(65+INDEX('imp-questions'!H:H, MATCH(A83, 'imp-questions'!A:A, 0)))</f>
        <v>A</v>
      </c>
      <c r="F83" s="287" t="str">
        <f>IF(ISBLANK(Interview!F118),"",Interview!F118)</f>
        <v/>
      </c>
      <c r="G83" s="343">
        <f ca="1">IFERROR(INDEX(INDIRECT("Ans" &amp; E83 &amp; "TBL"), MATCH(F83, INDEX(INDIRECT("Ans" &amp; E83 &amp; "TBL"), 0, 1), 0), 2), 0)</f>
        <v>0</v>
      </c>
      <c r="H83" s="358">
        <f ca="1">IFERROR(AVERAGE(G83,G87),0)</f>
        <v>0</v>
      </c>
      <c r="I83" s="589">
        <f ca="1">SUM(H83:H85)</f>
        <v>0</v>
      </c>
      <c r="J83" s="304" t="str">
        <f>F83</f>
        <v/>
      </c>
      <c r="K83" s="343">
        <f ca="1">IFERROR(INDEX(INDIRECT("Ans" &amp; E83 &amp; "TBL"), MATCH(J83, INDEX(INDIRECT("Ans" &amp; E83 &amp; "TBL"), 0, 1), 0), 2), 0)</f>
        <v>0</v>
      </c>
      <c r="L83" s="358">
        <f ca="1">IFERROR(AVERAGE(K83,K87),0)</f>
        <v>0</v>
      </c>
      <c r="M83" s="589">
        <f ca="1">SUM(L83:L85)</f>
        <v>0</v>
      </c>
      <c r="N83" s="304" t="str">
        <f>J83</f>
        <v/>
      </c>
      <c r="O83" s="324">
        <f ca="1">IFERROR(INDEX(INDIRECT("Ans" &amp; E83 &amp; "TBL"), MATCH(N83, INDEX(INDIRECT("Ans" &amp; E83 &amp; "TBL"), 0, 1), 0), 2), 0)</f>
        <v>0</v>
      </c>
      <c r="P83" s="331">
        <f ca="1">IFERROR(AVERAGE(O83,O87),0)</f>
        <v>0</v>
      </c>
      <c r="Q83" s="589">
        <f ca="1">SUM(P83:P85)</f>
        <v>0</v>
      </c>
      <c r="R83" s="304" t="str">
        <f>N83</f>
        <v/>
      </c>
      <c r="S83" s="135">
        <f ca="1">IFERROR(INDEX(INDIRECT("Ans" &amp; E83 &amp; "TBL"), MATCH(R83, INDEX(INDIRECT("Ans" &amp; E83 &amp; "TBL"), 0, 1), 0), 2), 0)</f>
        <v>0</v>
      </c>
      <c r="T83" s="359">
        <f ca="1">IFERROR(AVERAGE(S83,S87),0)</f>
        <v>0</v>
      </c>
      <c r="U83" s="589">
        <f ca="1">SUM(T83:T85)</f>
        <v>0</v>
      </c>
      <c r="V83" s="304" t="str">
        <f>R83</f>
        <v/>
      </c>
      <c r="W83" s="343">
        <f ca="1">IFERROR(INDEX(INDIRECT("Ans" &amp; E83 &amp; "TBL"), MATCH(V83, INDEX(INDIRECT("Ans" &amp; E83 &amp; "TBL"), 0, 1), 0), 2), 0)</f>
        <v>0</v>
      </c>
      <c r="X83" s="358">
        <f ca="1">IFERROR(AVERAGE(W83,W87),0)</f>
        <v>0</v>
      </c>
      <c r="Y83" s="589">
        <f ca="1">SUM(X83:X85)</f>
        <v>0</v>
      </c>
      <c r="Z83" s="589">
        <f ca="1">IFERROR(Y83-I83,Y83-LEFT(I83,1))</f>
        <v>0</v>
      </c>
    </row>
    <row r="84" spans="1:26" ht="28.25" customHeight="1" x14ac:dyDescent="0.35">
      <c r="A84" s="87" t="str">
        <f>Interview!A120</f>
        <v>I-SD-A-2-1</v>
      </c>
      <c r="B84" s="601"/>
      <c r="C84" s="244">
        <f>INDEX('imp-questions'!E:E, MATCH(A84, 'imp-questions'!A:A, 0))</f>
        <v>2</v>
      </c>
      <c r="D84" s="300" t="str">
        <f>INDEX('imp-questions'!F:F, MATCH(A84, 'imp-questions'!A:A, 0))</f>
        <v>Are deployment processes automated and employing security checks?</v>
      </c>
      <c r="E84" s="329" t="str">
        <f>CHAR(65+INDEX('imp-questions'!H:H, MATCH(A84, 'imp-questions'!A:A, 0)))</f>
        <v>A</v>
      </c>
      <c r="F84" s="287" t="str">
        <f>IF(ISBLANK(Interview!F120),"",Interview!F120)</f>
        <v/>
      </c>
      <c r="G84" s="346">
        <f ca="1">IFERROR(INDEX(INDIRECT("Ans" &amp; E84 &amp; "TBL"), MATCH(F84, INDEX(INDIRECT("Ans" &amp; E84 &amp; "TBL"), 0, 1), 0), 2), 0)</f>
        <v>0</v>
      </c>
      <c r="H84" s="360">
        <f ca="1">IFERROR(AVERAGE(G84,G88),0)</f>
        <v>0</v>
      </c>
      <c r="I84" s="575"/>
      <c r="J84" s="304" t="str">
        <f>F84</f>
        <v/>
      </c>
      <c r="K84" s="346">
        <f ca="1">IFERROR(INDEX(INDIRECT("Ans" &amp; E84 &amp; "TBL"), MATCH(J84, INDEX(INDIRECT("Ans" &amp; E84 &amp; "TBL"), 0, 1), 0), 2), 0)</f>
        <v>0</v>
      </c>
      <c r="L84" s="360">
        <f ca="1">IFERROR(AVERAGE(K84,K88),0)</f>
        <v>0</v>
      </c>
      <c r="M84" s="575"/>
      <c r="N84" s="304" t="str">
        <f>J84</f>
        <v/>
      </c>
      <c r="O84" s="324">
        <f ca="1">IFERROR(INDEX(INDIRECT("Ans" &amp; E84 &amp; "TBL"), MATCH(N84, INDEX(INDIRECT("Ans" &amp; E84 &amp; "TBL"), 0, 1), 0), 2), 0)</f>
        <v>0</v>
      </c>
      <c r="P84" s="331">
        <f ca="1">IFERROR(AVERAGE(O84,O88),0)</f>
        <v>0</v>
      </c>
      <c r="Q84" s="575"/>
      <c r="R84" s="304" t="str">
        <f>N84</f>
        <v/>
      </c>
      <c r="S84" s="135">
        <f ca="1">IFERROR(INDEX(INDIRECT("Ans" &amp; E84 &amp; "TBL"), MATCH(R84, INDEX(INDIRECT("Ans" &amp; E84 &amp; "TBL"), 0, 1), 0), 2), 0)</f>
        <v>0</v>
      </c>
      <c r="T84" s="361">
        <f ca="1">IFERROR(AVERAGE(S84,S88),0)</f>
        <v>0</v>
      </c>
      <c r="U84" s="575"/>
      <c r="V84" s="304" t="str">
        <f>R84</f>
        <v/>
      </c>
      <c r="W84" s="346">
        <f ca="1">IFERROR(INDEX(INDIRECT("Ans" &amp; E84 &amp; "TBL"), MATCH(V84, INDEX(INDIRECT("Ans" &amp; E84 &amp; "TBL"), 0, 1), 0), 2), 0)</f>
        <v>0</v>
      </c>
      <c r="X84" s="360">
        <f ca="1">IFERROR(AVERAGE(W84,W88),0)</f>
        <v>0</v>
      </c>
      <c r="Y84" s="575"/>
      <c r="Z84" s="575"/>
    </row>
    <row r="85" spans="1:26" ht="28.25" customHeight="1" x14ac:dyDescent="0.35">
      <c r="A85" s="87" t="str">
        <f>Interview!A122</f>
        <v>I-SD-A-3-1</v>
      </c>
      <c r="B85" s="605"/>
      <c r="C85" s="244">
        <f>INDEX('imp-questions'!E:E, MATCH(A85, 'imp-questions'!A:A, 0))</f>
        <v>3</v>
      </c>
      <c r="D85" s="296" t="str">
        <f>INDEX('imp-questions'!F:F, MATCH(A85, 'imp-questions'!A:A, 0))</f>
        <v>Do you consistently validate the integrity of deployed artifacts?</v>
      </c>
      <c r="E85" s="329" t="str">
        <f>CHAR(65+INDEX('imp-questions'!H:H, MATCH(A85, 'imp-questions'!A:A, 0)))</f>
        <v>A</v>
      </c>
      <c r="F85" s="287" t="str">
        <f>IF(ISBLANK(Interview!F122),"",Interview!F122)</f>
        <v/>
      </c>
      <c r="G85" s="349">
        <f ca="1">IFERROR(INDEX(INDIRECT("Ans" &amp; E85 &amp; "TBL"), MATCH(F85, INDEX(INDIRECT("Ans" &amp; E85 &amp; "TBL"), 0, 1), 0), 2), 0)</f>
        <v>0</v>
      </c>
      <c r="H85" s="364">
        <f ca="1">IFERROR(AVERAGE(G85,G89),0)</f>
        <v>0</v>
      </c>
      <c r="I85" s="575"/>
      <c r="J85" s="304" t="str">
        <f>F85</f>
        <v/>
      </c>
      <c r="K85" s="349">
        <f ca="1">IFERROR(INDEX(INDIRECT("Ans" &amp; E85 &amp; "TBL"), MATCH(J85, INDEX(INDIRECT("Ans" &amp; E85 &amp; "TBL"), 0, 1), 0), 2), 0)</f>
        <v>0</v>
      </c>
      <c r="L85" s="364">
        <f ca="1">IFERROR(AVERAGE(K85,K89),0)</f>
        <v>0</v>
      </c>
      <c r="M85" s="575"/>
      <c r="N85" s="304" t="str">
        <f>J85</f>
        <v/>
      </c>
      <c r="O85" s="324">
        <f ca="1">IFERROR(INDEX(INDIRECT("Ans" &amp; E85 &amp; "TBL"), MATCH(N85, INDEX(INDIRECT("Ans" &amp; E85 &amp; "TBL"), 0, 1), 0), 2), 0)</f>
        <v>0</v>
      </c>
      <c r="P85" s="331">
        <f ca="1">IFERROR(AVERAGE(O85,O89),0)</f>
        <v>0</v>
      </c>
      <c r="Q85" s="575"/>
      <c r="R85" s="304" t="str">
        <f>N85</f>
        <v/>
      </c>
      <c r="S85" s="135">
        <f ca="1">IFERROR(INDEX(INDIRECT("Ans" &amp; E85 &amp; "TBL"), MATCH(R85, INDEX(INDIRECT("Ans" &amp; E85 &amp; "TBL"), 0, 1), 0), 2), 0)</f>
        <v>0</v>
      </c>
      <c r="T85" s="365">
        <f ca="1">IFERROR(AVERAGE(S85,S89),0)</f>
        <v>0</v>
      </c>
      <c r="U85" s="575"/>
      <c r="V85" s="304" t="str">
        <f>R85</f>
        <v/>
      </c>
      <c r="W85" s="349">
        <f ca="1">IFERROR(INDEX(INDIRECT("Ans" &amp; E85 &amp; "TBL"), MATCH(V85, INDEX(INDIRECT("Ans" &amp; E85 &amp; "TBL"), 0, 1), 0), 2), 0)</f>
        <v>0</v>
      </c>
      <c r="X85" s="364">
        <f ca="1">IFERROR(AVERAGE(W85,W89),0)</f>
        <v>0</v>
      </c>
      <c r="Y85" s="575"/>
      <c r="Z85" s="575"/>
    </row>
    <row r="86" spans="1:26" ht="13.05" customHeight="1" x14ac:dyDescent="0.35">
      <c r="B86" s="235"/>
      <c r="C86" s="236"/>
      <c r="D86" s="125"/>
      <c r="E86" s="153"/>
      <c r="F86" s="125"/>
      <c r="G86" s="153"/>
      <c r="H86" s="153"/>
      <c r="I86" s="575"/>
      <c r="J86" s="125"/>
      <c r="K86" s="153"/>
      <c r="L86" s="153"/>
      <c r="M86" s="575"/>
      <c r="N86" s="125"/>
      <c r="O86" s="153"/>
      <c r="P86" s="153"/>
      <c r="Q86" s="575"/>
      <c r="R86" s="125"/>
      <c r="S86" s="153"/>
      <c r="T86" s="153"/>
      <c r="U86" s="575"/>
      <c r="V86" s="125"/>
      <c r="W86" s="153"/>
      <c r="X86" s="153"/>
      <c r="Y86" s="575"/>
      <c r="Z86" s="575"/>
    </row>
    <row r="87" spans="1:26" ht="28.25" customHeight="1" x14ac:dyDescent="0.35">
      <c r="A87" s="87" t="str">
        <f>Interview!A125</f>
        <v>I-SD-B-1-1</v>
      </c>
      <c r="B87" s="604" t="str">
        <f>INDEX('imp-questions'!D:D, MATCH(A87, 'imp-questions'!A:A, 0))</f>
        <v>Secret Management</v>
      </c>
      <c r="C87" s="244">
        <f>INDEX('imp-questions'!E:E, MATCH(A87, 'imp-questions'!A:A, 0))</f>
        <v>1</v>
      </c>
      <c r="D87" s="300" t="str">
        <f>INDEX('imp-questions'!F:F, MATCH(A87, 'imp-questions'!A:A, 0))</f>
        <v>Do you limit access to application secrets according to the least privilege principle?</v>
      </c>
      <c r="E87" s="329" t="str">
        <f>CHAR(65+INDEX('imp-questions'!H:H, MATCH(A87, 'imp-questions'!A:A, 0)))</f>
        <v>A</v>
      </c>
      <c r="F87" s="287" t="str">
        <f>IF(ISBLANK(Interview!F125),"",Interview!F125)</f>
        <v/>
      </c>
      <c r="G87" s="343">
        <f ca="1">IFERROR(INDEX(INDIRECT("Ans" &amp; E87 &amp; "TBL"), MATCH(F87, INDEX(INDIRECT("Ans" &amp; E87 &amp; "TBL"), 0, 1), 0), 2), 0)</f>
        <v>0</v>
      </c>
      <c r="H87" s="342"/>
      <c r="I87" s="575"/>
      <c r="J87" s="304" t="str">
        <f>F87</f>
        <v/>
      </c>
      <c r="K87" s="343">
        <f ca="1">IFERROR(INDEX(INDIRECT("Ans" &amp; E87 &amp; "TBL"), MATCH(J87, INDEX(INDIRECT("Ans" &amp; E87 &amp; "TBL"), 0, 1), 0), 2), 0)</f>
        <v>0</v>
      </c>
      <c r="L87" s="342"/>
      <c r="M87" s="575"/>
      <c r="N87" s="304" t="str">
        <f>J87</f>
        <v/>
      </c>
      <c r="O87" s="341">
        <f ca="1">IFERROR(INDEX(INDIRECT("Ans" &amp; E87 &amp; "TBL"), MATCH(N87, INDEX(INDIRECT("Ans" &amp; E87 &amp; "TBL"), 0, 1), 0), 2), 0)</f>
        <v>0</v>
      </c>
      <c r="P87" s="342"/>
      <c r="Q87" s="575"/>
      <c r="R87" s="304" t="str">
        <f>N87</f>
        <v/>
      </c>
      <c r="S87" s="135">
        <f ca="1">IFERROR(INDEX(INDIRECT("Ans" &amp; E87 &amp; "TBL"), MATCH(R87, INDEX(INDIRECT("Ans" &amp; E87 &amp; "TBL"), 0, 1), 0), 2), 0)</f>
        <v>0</v>
      </c>
      <c r="T87" s="326"/>
      <c r="U87" s="575"/>
      <c r="V87" s="304" t="str">
        <f>R87</f>
        <v/>
      </c>
      <c r="W87" s="343">
        <f ca="1">IFERROR(INDEX(INDIRECT("Ans" &amp; E87 &amp; "TBL"), MATCH(V87, INDEX(INDIRECT("Ans" &amp; E87 &amp; "TBL"), 0, 1), 0), 2), 0)</f>
        <v>0</v>
      </c>
      <c r="X87" s="342"/>
      <c r="Y87" s="575"/>
      <c r="Z87" s="575"/>
    </row>
    <row r="88" spans="1:26" ht="28.25" customHeight="1" x14ac:dyDescent="0.35">
      <c r="A88" s="87" t="str">
        <f>Interview!A127</f>
        <v>I-SD-B-2-1</v>
      </c>
      <c r="B88" s="601"/>
      <c r="C88" s="244">
        <f>INDEX('imp-questions'!E:E, MATCH(A88, 'imp-questions'!A:A, 0))</f>
        <v>2</v>
      </c>
      <c r="D88" s="300" t="str">
        <f>INDEX('imp-questions'!F:F, MATCH(A88, 'imp-questions'!A:A, 0))</f>
        <v>Do you inject production secrets into configuration files during deployment?</v>
      </c>
      <c r="E88" s="329" t="str">
        <f>CHAR(65+INDEX('imp-questions'!H:H, MATCH(A88, 'imp-questions'!A:A, 0)))</f>
        <v>A</v>
      </c>
      <c r="F88" s="287" t="str">
        <f>IF(ISBLANK(Interview!F127),"",Interview!F127)</f>
        <v/>
      </c>
      <c r="G88" s="346">
        <f ca="1">IFERROR(INDEX(INDIRECT("Ans" &amp; E88 &amp; "TBL"), MATCH(F88, INDEX(INDIRECT("Ans" &amp; E88 &amp; "TBL"), 0, 1), 0), 2), 0)</f>
        <v>0</v>
      </c>
      <c r="H88" s="345"/>
      <c r="I88" s="575"/>
      <c r="J88" s="304" t="str">
        <f>F88</f>
        <v/>
      </c>
      <c r="K88" s="346">
        <f ca="1">IFERROR(INDEX(INDIRECT("Ans" &amp; E88 &amp; "TBL"), MATCH(J88, INDEX(INDIRECT("Ans" &amp; E88 &amp; "TBL"), 0, 1), 0), 2), 0)</f>
        <v>0</v>
      </c>
      <c r="L88" s="345"/>
      <c r="M88" s="575"/>
      <c r="N88" s="304" t="str">
        <f>J88</f>
        <v/>
      </c>
      <c r="O88" s="344">
        <f ca="1">IFERROR(INDEX(INDIRECT("Ans" &amp; E88 &amp; "TBL"), MATCH(N88, INDEX(INDIRECT("Ans" &amp; E88 &amp; "TBL"), 0, 1), 0), 2), 0)</f>
        <v>0</v>
      </c>
      <c r="P88" s="345"/>
      <c r="Q88" s="575"/>
      <c r="R88" s="304" t="str">
        <f>N88</f>
        <v/>
      </c>
      <c r="S88" s="135">
        <f ca="1">IFERROR(INDEX(INDIRECT("Ans" &amp; E88 &amp; "TBL"), MATCH(R88, INDEX(INDIRECT("Ans" &amp; E88 &amp; "TBL"), 0, 1), 0), 2), 0)</f>
        <v>0</v>
      </c>
      <c r="T88" s="309"/>
      <c r="U88" s="575"/>
      <c r="V88" s="304" t="str">
        <f>R88</f>
        <v/>
      </c>
      <c r="W88" s="346">
        <f ca="1">IFERROR(INDEX(INDIRECT("Ans" &amp; E88 &amp; "TBL"), MATCH(V88, INDEX(INDIRECT("Ans" &amp; E88 &amp; "TBL"), 0, 1), 0), 2), 0)</f>
        <v>0</v>
      </c>
      <c r="X88" s="345"/>
      <c r="Y88" s="575"/>
      <c r="Z88" s="575"/>
    </row>
    <row r="89" spans="1:26" ht="28.25" customHeight="1" x14ac:dyDescent="0.35">
      <c r="A89" s="87" t="str">
        <f>Interview!A129</f>
        <v>I-SD-B-3-1</v>
      </c>
      <c r="B89" s="605"/>
      <c r="C89" s="244">
        <f>INDEX('imp-questions'!E:E, MATCH(A89, 'imp-questions'!A:A, 0))</f>
        <v>3</v>
      </c>
      <c r="D89" s="296" t="str">
        <f>INDEX('imp-questions'!F:F, MATCH(A89, 'imp-questions'!A:A, 0))</f>
        <v>Do you practice proper lifecycle management for application secrets?</v>
      </c>
      <c r="E89" s="329" t="str">
        <f>CHAR(65+INDEX('imp-questions'!H:H, MATCH(A89, 'imp-questions'!A:A, 0)))</f>
        <v>A</v>
      </c>
      <c r="F89" s="287" t="str">
        <f>IF(ISBLANK(Interview!F129),"",Interview!F129)</f>
        <v/>
      </c>
      <c r="G89" s="349">
        <f ca="1">IFERROR(INDEX(INDIRECT("Ans" &amp; E89 &amp; "TBL"), MATCH(F89, INDEX(INDIRECT("Ans" &amp; E89 &amp; "TBL"), 0, 1), 0), 2), 0)</f>
        <v>0</v>
      </c>
      <c r="H89" s="348"/>
      <c r="I89" s="576"/>
      <c r="J89" s="304" t="str">
        <f>F89</f>
        <v/>
      </c>
      <c r="K89" s="349">
        <f ca="1">IFERROR(INDEX(INDIRECT("Ans" &amp; E89 &amp; "TBL"), MATCH(J89, INDEX(INDIRECT("Ans" &amp; E89 &amp; "TBL"), 0, 1), 0), 2), 0)</f>
        <v>0</v>
      </c>
      <c r="L89" s="348"/>
      <c r="M89" s="576"/>
      <c r="N89" s="304" t="str">
        <f>J89</f>
        <v/>
      </c>
      <c r="O89" s="347">
        <f ca="1">IFERROR(INDEX(INDIRECT("Ans" &amp; E89 &amp; "TBL"), MATCH(N89, INDEX(INDIRECT("Ans" &amp; E89 &amp; "TBL"), 0, 1), 0), 2), 0)</f>
        <v>0</v>
      </c>
      <c r="P89" s="348"/>
      <c r="Q89" s="576"/>
      <c r="R89" s="304" t="str">
        <f>N89</f>
        <v/>
      </c>
      <c r="S89" s="135">
        <f ca="1">IFERROR(INDEX(INDIRECT("Ans" &amp; E89 &amp; "TBL"), MATCH(R89, INDEX(INDIRECT("Ans" &amp; E89 &amp; "TBL"), 0, 1), 0), 2), 0)</f>
        <v>0</v>
      </c>
      <c r="T89" s="312"/>
      <c r="U89" s="576"/>
      <c r="V89" s="304" t="str">
        <f>R89</f>
        <v/>
      </c>
      <c r="W89" s="349">
        <f ca="1">IFERROR(INDEX(INDIRECT("Ans" &amp; E89 &amp; "TBL"), MATCH(V89, INDEX(INDIRECT("Ans" &amp; E89 &amp; "TBL"), 0, 1), 0), 2), 0)</f>
        <v>0</v>
      </c>
      <c r="X89" s="348"/>
      <c r="Y89" s="576"/>
      <c r="Z89" s="576"/>
    </row>
    <row r="90" spans="1:26" ht="13.05" customHeight="1" x14ac:dyDescent="0.35">
      <c r="B90" s="235"/>
      <c r="C90" s="236"/>
      <c r="D90" s="125"/>
      <c r="E90" s="125"/>
      <c r="F90" s="125"/>
      <c r="G90" s="125"/>
      <c r="H90" s="125"/>
      <c r="I90" s="125"/>
      <c r="J90" s="125"/>
      <c r="K90" s="125"/>
      <c r="L90" s="125"/>
      <c r="M90" s="125"/>
      <c r="N90" s="125"/>
      <c r="O90" s="125"/>
      <c r="P90" s="125"/>
      <c r="Q90" s="125"/>
      <c r="R90" s="125"/>
      <c r="S90" s="313"/>
      <c r="T90" s="125"/>
      <c r="U90" s="125"/>
      <c r="V90" s="125"/>
      <c r="W90" s="125"/>
      <c r="X90" s="125"/>
      <c r="Y90" s="125"/>
      <c r="Z90" s="125"/>
    </row>
    <row r="91" spans="1:26" ht="16.25" customHeight="1" x14ac:dyDescent="0.35">
      <c r="B91" s="243" t="s">
        <v>12</v>
      </c>
      <c r="C91" s="416" t="s">
        <v>13</v>
      </c>
      <c r="D91" s="245" t="s">
        <v>75</v>
      </c>
      <c r="E91" s="388"/>
      <c r="F91" s="389" t="s">
        <v>15</v>
      </c>
      <c r="G91" s="390"/>
      <c r="H91" s="391"/>
      <c r="I91" s="386" t="s">
        <v>17</v>
      </c>
      <c r="J91" s="389" t="s">
        <v>15</v>
      </c>
      <c r="K91" s="390"/>
      <c r="L91" s="391"/>
      <c r="M91" s="386" t="s">
        <v>17</v>
      </c>
      <c r="N91" s="389" t="s">
        <v>15</v>
      </c>
      <c r="O91" s="390"/>
      <c r="P91" s="391"/>
      <c r="Q91" s="386" t="s">
        <v>17</v>
      </c>
      <c r="R91" s="389" t="s">
        <v>15</v>
      </c>
      <c r="S91" s="390"/>
      <c r="T91" s="391"/>
      <c r="U91" s="386" t="s">
        <v>17</v>
      </c>
      <c r="V91" s="389" t="s">
        <v>15</v>
      </c>
      <c r="W91" s="390"/>
      <c r="X91" s="391"/>
      <c r="Y91" s="386" t="s">
        <v>17</v>
      </c>
      <c r="Z91" s="386" t="s">
        <v>253</v>
      </c>
    </row>
    <row r="92" spans="1:26" ht="28.25" customHeight="1" x14ac:dyDescent="0.35">
      <c r="A92" s="87" t="str">
        <f>Interview!A132</f>
        <v>I-DM-A-1-1</v>
      </c>
      <c r="B92" s="604" t="str">
        <f>INDEX('imp-questions'!D:D, MATCH(A92, 'imp-questions'!A:A, 0))</f>
        <v>Defect Tracking</v>
      </c>
      <c r="C92" s="244">
        <f>INDEX('imp-questions'!E:E, MATCH(A92, 'imp-questions'!A:A, 0))</f>
        <v>1</v>
      </c>
      <c r="D92" s="300" t="str">
        <f>INDEX('imp-questions'!F:F, MATCH(A92, 'imp-questions'!A:A, 0))</f>
        <v>Do you track all known security defects in accessible locations?</v>
      </c>
      <c r="E92" s="329" t="str">
        <f>CHAR(65+INDEX('imp-questions'!H:H, MATCH(A92, 'imp-questions'!A:A, 0)))</f>
        <v>A</v>
      </c>
      <c r="F92" s="287" t="str">
        <f>IF(ISBLANK(Interview!F132),"",Interview!F132)</f>
        <v/>
      </c>
      <c r="G92" s="343">
        <f ca="1">IFERROR(INDEX(INDIRECT("Ans" &amp; E92 &amp; "TBL"), MATCH(F92, INDEX(INDIRECT("Ans" &amp; E92 &amp; "TBL"), 0, 1), 0), 2), 0)</f>
        <v>0</v>
      </c>
      <c r="H92" s="358">
        <f ca="1">IFERROR(AVERAGE(G92,G96),0)</f>
        <v>0</v>
      </c>
      <c r="I92" s="590">
        <f ca="1">SUM(H92:H94)</f>
        <v>0</v>
      </c>
      <c r="J92" s="304" t="str">
        <f>F92</f>
        <v/>
      </c>
      <c r="K92" s="343">
        <f ca="1">IFERROR(INDEX(INDIRECT("Ans" &amp; E92 &amp; "TBL"), MATCH(J92, INDEX(INDIRECT("Ans" &amp; E92 &amp; "TBL"), 0, 1), 0), 2), 0)</f>
        <v>0</v>
      </c>
      <c r="L92" s="358">
        <f ca="1">IFERROR(AVERAGE(K92,K96),0)</f>
        <v>0</v>
      </c>
      <c r="M92" s="590">
        <f ca="1">SUM(L92:L94)</f>
        <v>0</v>
      </c>
      <c r="N92" s="304" t="str">
        <f>J92</f>
        <v/>
      </c>
      <c r="O92" s="341">
        <f ca="1">IFERROR(INDEX(INDIRECT("Ans" &amp; E92 &amp; "TBL"), MATCH(N92, INDEX(INDIRECT("Ans" &amp; E92 &amp; "TBL"), 0, 1), 0), 2), 0)</f>
        <v>0</v>
      </c>
      <c r="P92" s="358">
        <f ca="1">IFERROR(AVERAGE(O92,O96),0)</f>
        <v>0</v>
      </c>
      <c r="Q92" s="590">
        <f ca="1">SUM(P92:P94)</f>
        <v>0</v>
      </c>
      <c r="R92" s="304" t="str">
        <f>N92</f>
        <v/>
      </c>
      <c r="S92" s="135">
        <f ca="1">IFERROR(INDEX(INDIRECT("Ans" &amp; E92 &amp; "TBL"), MATCH(R92, INDEX(INDIRECT("Ans" &amp; E92 &amp; "TBL"), 0, 1), 0), 2), 0)</f>
        <v>0</v>
      </c>
      <c r="T92" s="359">
        <f ca="1">IFERROR(AVERAGE(S92,S96),0)</f>
        <v>0</v>
      </c>
      <c r="U92" s="590">
        <f ca="1">SUM(T92:T94)</f>
        <v>0</v>
      </c>
      <c r="V92" s="304" t="str">
        <f>R92</f>
        <v/>
      </c>
      <c r="W92" s="343">
        <f ca="1">IFERROR(INDEX(INDIRECT("Ans" &amp; E92 &amp; "TBL"), MATCH(V92, INDEX(INDIRECT("Ans" &amp; E92 &amp; "TBL"), 0, 1), 0), 2), 0)</f>
        <v>0</v>
      </c>
      <c r="X92" s="358">
        <f ca="1">IFERROR(AVERAGE(W92,W96),0)</f>
        <v>0</v>
      </c>
      <c r="Y92" s="590">
        <f ca="1">SUM(X92:X94)</f>
        <v>0</v>
      </c>
      <c r="Z92" s="590">
        <f ca="1">IFERROR(Y92-I92,Y92-LEFT(I92,1))</f>
        <v>0</v>
      </c>
    </row>
    <row r="93" spans="1:26" ht="28.25" customHeight="1" x14ac:dyDescent="0.35">
      <c r="A93" s="87" t="str">
        <f>Interview!A134</f>
        <v>I-DM-A-2-1</v>
      </c>
      <c r="B93" s="601"/>
      <c r="C93" s="244">
        <f>INDEX('imp-questions'!E:E, MATCH(A93, 'imp-questions'!A:A, 0))</f>
        <v>2</v>
      </c>
      <c r="D93" s="300" t="str">
        <f>INDEX('imp-questions'!F:F, MATCH(A93, 'imp-questions'!A:A, 0))</f>
        <v>Do you keep an overview of the state of security defects across the organization?</v>
      </c>
      <c r="E93" s="329" t="str">
        <f>CHAR(65+INDEX('imp-questions'!H:H, MATCH(A93, 'imp-questions'!A:A, 0)))</f>
        <v>A</v>
      </c>
      <c r="F93" s="287" t="str">
        <f>IF(ISBLANK(Interview!F134),"",Interview!F134)</f>
        <v/>
      </c>
      <c r="G93" s="346">
        <f ca="1">IFERROR(INDEX(INDIRECT("Ans" &amp; E93 &amp; "TBL"), MATCH(F93, INDEX(INDIRECT("Ans" &amp; E93 &amp; "TBL"), 0, 1), 0), 2), 0)</f>
        <v>0</v>
      </c>
      <c r="H93" s="360">
        <f ca="1">IFERROR(AVERAGE(G93,G97),0)</f>
        <v>0</v>
      </c>
      <c r="I93" s="575"/>
      <c r="J93" s="304" t="str">
        <f>F93</f>
        <v/>
      </c>
      <c r="K93" s="346">
        <f ca="1">IFERROR(INDEX(INDIRECT("Ans" &amp; E93 &amp; "TBL"), MATCH(J93, INDEX(INDIRECT("Ans" &amp; E93 &amp; "TBL"), 0, 1), 0), 2), 0)</f>
        <v>0</v>
      </c>
      <c r="L93" s="360">
        <f ca="1">IFERROR(AVERAGE(K93,K97),0)</f>
        <v>0</v>
      </c>
      <c r="M93" s="575"/>
      <c r="N93" s="304" t="str">
        <f>J93</f>
        <v/>
      </c>
      <c r="O93" s="344">
        <f ca="1">IFERROR(INDEX(INDIRECT("Ans" &amp; E93 &amp; "TBL"), MATCH(N93, INDEX(INDIRECT("Ans" &amp; E93 &amp; "TBL"), 0, 1), 0), 2), 0)</f>
        <v>0</v>
      </c>
      <c r="P93" s="360">
        <f ca="1">IFERROR(AVERAGE(O93,O97),0)</f>
        <v>0</v>
      </c>
      <c r="Q93" s="575"/>
      <c r="R93" s="304" t="str">
        <f>N93</f>
        <v/>
      </c>
      <c r="S93" s="135">
        <f ca="1">IFERROR(INDEX(INDIRECT("Ans" &amp; E93 &amp; "TBL"), MATCH(R93, INDEX(INDIRECT("Ans" &amp; E93 &amp; "TBL"), 0, 1), 0), 2), 0)</f>
        <v>0</v>
      </c>
      <c r="T93" s="361">
        <f ca="1">IFERROR(AVERAGE(S93,S97),0)</f>
        <v>0</v>
      </c>
      <c r="U93" s="575"/>
      <c r="V93" s="304" t="str">
        <f>R93</f>
        <v/>
      </c>
      <c r="W93" s="346">
        <f ca="1">IFERROR(INDEX(INDIRECT("Ans" &amp; E93 &amp; "TBL"), MATCH(V93, INDEX(INDIRECT("Ans" &amp; E93 &amp; "TBL"), 0, 1), 0), 2), 0)</f>
        <v>0</v>
      </c>
      <c r="X93" s="360">
        <f ca="1">IFERROR(AVERAGE(W93,W97),0)</f>
        <v>0</v>
      </c>
      <c r="Y93" s="575"/>
      <c r="Z93" s="575"/>
    </row>
    <row r="94" spans="1:26" ht="28.25" customHeight="1" x14ac:dyDescent="0.35">
      <c r="A94" s="87" t="str">
        <f>Interview!A136</f>
        <v>I-DM-A-3-1</v>
      </c>
      <c r="B94" s="605"/>
      <c r="C94" s="244">
        <f>INDEX('imp-questions'!E:E, MATCH(A94, 'imp-questions'!A:A, 0))</f>
        <v>3</v>
      </c>
      <c r="D94" s="296" t="str">
        <f>INDEX('imp-questions'!F:F, MATCH(A94, 'imp-questions'!A:A, 0))</f>
        <v>Do you enforce SLAs for fixing security defects?</v>
      </c>
      <c r="E94" s="329" t="str">
        <f>CHAR(65+INDEX('imp-questions'!H:H, MATCH(A94, 'imp-questions'!A:A, 0)))</f>
        <v>A</v>
      </c>
      <c r="F94" s="287" t="str">
        <f>IF(ISBLANK(Interview!F136),"",Interview!F136)</f>
        <v/>
      </c>
      <c r="G94" s="349">
        <f ca="1">IFERROR(INDEX(INDIRECT("Ans" &amp; E94 &amp; "TBL"), MATCH(F94, INDEX(INDIRECT("Ans" &amp; E94 &amp; "TBL"), 0, 1), 0), 2), 0)</f>
        <v>0</v>
      </c>
      <c r="H94" s="364">
        <f ca="1">IFERROR(AVERAGE(G94,G98),0)</f>
        <v>0</v>
      </c>
      <c r="I94" s="575"/>
      <c r="J94" s="304" t="str">
        <f>F94</f>
        <v/>
      </c>
      <c r="K94" s="349">
        <f ca="1">IFERROR(INDEX(INDIRECT("Ans" &amp; E94 &amp; "TBL"), MATCH(J94, INDEX(INDIRECT("Ans" &amp; E94 &amp; "TBL"), 0, 1), 0), 2), 0)</f>
        <v>0</v>
      </c>
      <c r="L94" s="364">
        <f ca="1">IFERROR(AVERAGE(K94,K98),0)</f>
        <v>0</v>
      </c>
      <c r="M94" s="575"/>
      <c r="N94" s="304" t="str">
        <f>J94</f>
        <v/>
      </c>
      <c r="O94" s="347">
        <f ca="1">IFERROR(INDEX(INDIRECT("Ans" &amp; E94 &amp; "TBL"), MATCH(N94, INDEX(INDIRECT("Ans" &amp; E94 &amp; "TBL"), 0, 1), 0), 2), 0)</f>
        <v>0</v>
      </c>
      <c r="P94" s="364">
        <f ca="1">IFERROR(AVERAGE(O94,O98),0)</f>
        <v>0</v>
      </c>
      <c r="Q94" s="575"/>
      <c r="R94" s="304" t="str">
        <f>N94</f>
        <v/>
      </c>
      <c r="S94" s="135">
        <f ca="1">IFERROR(INDEX(INDIRECT("Ans" &amp; E94 &amp; "TBL"), MATCH(R94, INDEX(INDIRECT("Ans" &amp; E94 &amp; "TBL"), 0, 1), 0), 2), 0)</f>
        <v>0</v>
      </c>
      <c r="T94" s="365">
        <f ca="1">IFERROR(AVERAGE(S94,S98),0)</f>
        <v>0</v>
      </c>
      <c r="U94" s="575"/>
      <c r="V94" s="304" t="str">
        <f>R94</f>
        <v/>
      </c>
      <c r="W94" s="349">
        <f ca="1">IFERROR(INDEX(INDIRECT("Ans" &amp; E94 &amp; "TBL"), MATCH(V94, INDEX(INDIRECT("Ans" &amp; E94 &amp; "TBL"), 0, 1), 0), 2), 0)</f>
        <v>0</v>
      </c>
      <c r="X94" s="364">
        <f ca="1">IFERROR(AVERAGE(W94,W98),0)</f>
        <v>0</v>
      </c>
      <c r="Y94" s="575"/>
      <c r="Z94" s="575"/>
    </row>
    <row r="95" spans="1:26" ht="13.05" customHeight="1" x14ac:dyDescent="0.35">
      <c r="B95" s="235"/>
      <c r="C95" s="236"/>
      <c r="D95" s="125"/>
      <c r="E95" s="153"/>
      <c r="F95" s="125"/>
      <c r="G95" s="153"/>
      <c r="H95" s="153"/>
      <c r="I95" s="575"/>
      <c r="J95" s="125"/>
      <c r="K95" s="153"/>
      <c r="L95" s="153"/>
      <c r="M95" s="575"/>
      <c r="N95" s="125"/>
      <c r="O95" s="153"/>
      <c r="P95" s="153"/>
      <c r="Q95" s="575"/>
      <c r="R95" s="125"/>
      <c r="S95" s="153"/>
      <c r="T95" s="153"/>
      <c r="U95" s="575"/>
      <c r="V95" s="125"/>
      <c r="W95" s="153"/>
      <c r="X95" s="153"/>
      <c r="Y95" s="575"/>
      <c r="Z95" s="575"/>
    </row>
    <row r="96" spans="1:26" ht="28.25" customHeight="1" x14ac:dyDescent="0.35">
      <c r="A96" s="87" t="str">
        <f>Interview!A139</f>
        <v>I-DM-B-1-1</v>
      </c>
      <c r="B96" s="604" t="str">
        <f>INDEX('imp-questions'!D:D, MATCH(A96, 'imp-questions'!A:A, 0))</f>
        <v>Metrics and Feedback</v>
      </c>
      <c r="C96" s="244">
        <f>INDEX('imp-questions'!E:E, MATCH(A96, 'imp-questions'!A:A, 0))</f>
        <v>1</v>
      </c>
      <c r="D96" s="300" t="str">
        <f>INDEX('imp-questions'!F:F, MATCH(A96, 'imp-questions'!A:A, 0))</f>
        <v>Do you use basic metrics about recorded security defects to carry out quick win improvement activities?</v>
      </c>
      <c r="E96" s="329" t="str">
        <f>CHAR(65+INDEX('imp-questions'!H:H, MATCH(A96, 'imp-questions'!A:A, 0)))</f>
        <v>A</v>
      </c>
      <c r="F96" s="287" t="str">
        <f>IF(ISBLANK(Interview!F139),"",Interview!F139)</f>
        <v/>
      </c>
      <c r="G96" s="343">
        <f ca="1">IFERROR(INDEX(INDIRECT("Ans" &amp; E96 &amp; "TBL"), MATCH(F96, INDEX(INDIRECT("Ans" &amp; E96 &amp; "TBL"), 0, 1), 0), 2), 0)</f>
        <v>0</v>
      </c>
      <c r="H96" s="342"/>
      <c r="I96" s="575"/>
      <c r="J96" s="304" t="str">
        <f>F96</f>
        <v/>
      </c>
      <c r="K96" s="343">
        <f ca="1">IFERROR(INDEX(INDIRECT("Ans" &amp; E96 &amp; "TBL"), MATCH(J96, INDEX(INDIRECT("Ans" &amp; E96 &amp; "TBL"), 0, 1), 0), 2), 0)</f>
        <v>0</v>
      </c>
      <c r="L96" s="342"/>
      <c r="M96" s="575"/>
      <c r="N96" s="304" t="str">
        <f>J96</f>
        <v/>
      </c>
      <c r="O96" s="341">
        <f ca="1">IFERROR(INDEX(INDIRECT("Ans" &amp; E96 &amp; "TBL"), MATCH(N96, INDEX(INDIRECT("Ans" &amp; E96 &amp; "TBL"), 0, 1), 0), 2), 0)</f>
        <v>0</v>
      </c>
      <c r="P96" s="342"/>
      <c r="Q96" s="575"/>
      <c r="R96" s="304" t="str">
        <f>N96</f>
        <v/>
      </c>
      <c r="S96" s="135">
        <f ca="1">IFERROR(INDEX(INDIRECT("Ans" &amp; E96 &amp; "TBL"), MATCH(R96, INDEX(INDIRECT("Ans" &amp; E96 &amp; "TBL"), 0, 1), 0), 2), 0)</f>
        <v>0</v>
      </c>
      <c r="T96" s="326"/>
      <c r="U96" s="575"/>
      <c r="V96" s="304" t="str">
        <f>R96</f>
        <v/>
      </c>
      <c r="W96" s="343">
        <f ca="1">IFERROR(INDEX(INDIRECT("Ans" &amp; E96 &amp; "TBL"), MATCH(V96, INDEX(INDIRECT("Ans" &amp; E96 &amp; "TBL"), 0, 1), 0), 2), 0)</f>
        <v>0</v>
      </c>
      <c r="X96" s="342"/>
      <c r="Y96" s="575"/>
      <c r="Z96" s="575"/>
    </row>
    <row r="97" spans="1:26" ht="28.25" customHeight="1" x14ac:dyDescent="0.35">
      <c r="A97" s="87" t="str">
        <f>Interview!A141</f>
        <v>I-DM-B-2-1</v>
      </c>
      <c r="B97" s="601"/>
      <c r="C97" s="244">
        <f>INDEX('imp-questions'!E:E, MATCH(A97, 'imp-questions'!A:A, 0))</f>
        <v>2</v>
      </c>
      <c r="D97" s="300" t="str">
        <f>INDEX('imp-questions'!F:F, MATCH(A97, 'imp-questions'!A:A, 0))</f>
        <v>Do you improve your security assurance program upon standardized metrics?</v>
      </c>
      <c r="E97" s="329" t="str">
        <f>CHAR(65+INDEX('imp-questions'!H:H, MATCH(A97, 'imp-questions'!A:A, 0)))</f>
        <v>A</v>
      </c>
      <c r="F97" s="287" t="str">
        <f>IF(ISBLANK(Interview!F141),"",Interview!F141)</f>
        <v/>
      </c>
      <c r="G97" s="346">
        <f ca="1">IFERROR(INDEX(INDIRECT("Ans" &amp; E97 &amp; "TBL"), MATCH(F97, INDEX(INDIRECT("Ans" &amp; E97 &amp; "TBL"), 0, 1), 0), 2), 0)</f>
        <v>0</v>
      </c>
      <c r="H97" s="345"/>
      <c r="I97" s="575"/>
      <c r="J97" s="304" t="str">
        <f>F97</f>
        <v/>
      </c>
      <c r="K97" s="346">
        <f ca="1">IFERROR(INDEX(INDIRECT("Ans" &amp; E97 &amp; "TBL"), MATCH(J97, INDEX(INDIRECT("Ans" &amp; E97 &amp; "TBL"), 0, 1), 0), 2), 0)</f>
        <v>0</v>
      </c>
      <c r="L97" s="345"/>
      <c r="M97" s="575"/>
      <c r="N97" s="304" t="str">
        <f>J97</f>
        <v/>
      </c>
      <c r="O97" s="344">
        <f ca="1">IFERROR(INDEX(INDIRECT("Ans" &amp; E97 &amp; "TBL"), MATCH(N97, INDEX(INDIRECT("Ans" &amp; E97 &amp; "TBL"), 0, 1), 0), 2), 0)</f>
        <v>0</v>
      </c>
      <c r="P97" s="345"/>
      <c r="Q97" s="575"/>
      <c r="R97" s="304" t="str">
        <f>N97</f>
        <v/>
      </c>
      <c r="S97" s="135">
        <f ca="1">IFERROR(INDEX(INDIRECT("Ans" &amp; E97 &amp; "TBL"), MATCH(R97, INDEX(INDIRECT("Ans" &amp; E97 &amp; "TBL"), 0, 1), 0), 2), 0)</f>
        <v>0</v>
      </c>
      <c r="T97" s="309"/>
      <c r="U97" s="575"/>
      <c r="V97" s="304" t="str">
        <f>R97</f>
        <v/>
      </c>
      <c r="W97" s="346">
        <f ca="1">IFERROR(INDEX(INDIRECT("Ans" &amp; E97 &amp; "TBL"), MATCH(V97, INDEX(INDIRECT("Ans" &amp; E97 &amp; "TBL"), 0, 1), 0), 2), 0)</f>
        <v>0</v>
      </c>
      <c r="X97" s="345"/>
      <c r="Y97" s="575"/>
      <c r="Z97" s="575"/>
    </row>
    <row r="98" spans="1:26" ht="28.25" customHeight="1" x14ac:dyDescent="0.35">
      <c r="A98" s="87" t="str">
        <f>Interview!A143</f>
        <v>I-DM-B-3-1</v>
      </c>
      <c r="B98" s="605"/>
      <c r="C98" s="244">
        <f>INDEX('imp-questions'!E:E, MATCH(A98, 'imp-questions'!A:A, 0))</f>
        <v>3</v>
      </c>
      <c r="D98" s="296" t="str">
        <f>INDEX('imp-questions'!F:F, MATCH(A98, 'imp-questions'!A:A, 0))</f>
        <v>Do you regularly evaluate the effectiveness of your security metrics so that its input helps drive your security strategy?</v>
      </c>
      <c r="E98" s="329" t="str">
        <f>CHAR(65+INDEX('imp-questions'!H:H, MATCH(A98, 'imp-questions'!A:A, 0)))</f>
        <v>A</v>
      </c>
      <c r="F98" s="287" t="str">
        <f>IF(ISBLANK(Interview!F143),"",Interview!F143)</f>
        <v/>
      </c>
      <c r="G98" s="349">
        <f ca="1">IFERROR(INDEX(INDIRECT("Ans" &amp; E98 &amp; "TBL"), MATCH(F98, INDEX(INDIRECT("Ans" &amp; E98 &amp; "TBL"), 0, 1), 0), 2), 0)</f>
        <v>0</v>
      </c>
      <c r="H98" s="348"/>
      <c r="I98" s="471"/>
      <c r="J98" s="304" t="str">
        <f>F98</f>
        <v/>
      </c>
      <c r="K98" s="349">
        <f ca="1">IFERROR(INDEX(INDIRECT("Ans" &amp; E98 &amp; "TBL"), MATCH(J98, INDEX(INDIRECT("Ans" &amp; E98 &amp; "TBL"), 0, 1), 0), 2), 0)</f>
        <v>0</v>
      </c>
      <c r="L98" s="348"/>
      <c r="M98" s="471"/>
      <c r="N98" s="304" t="str">
        <f>J98</f>
        <v/>
      </c>
      <c r="O98" s="347">
        <f ca="1">IFERROR(INDEX(INDIRECT("Ans" &amp; E98 &amp; "TBL"), MATCH(N98, INDEX(INDIRECT("Ans" &amp; E98 &amp; "TBL"), 0, 1), 0), 2), 0)</f>
        <v>0</v>
      </c>
      <c r="P98" s="348"/>
      <c r="Q98" s="471"/>
      <c r="R98" s="304" t="str">
        <f>N98</f>
        <v/>
      </c>
      <c r="S98" s="135">
        <f ca="1">IFERROR(INDEX(INDIRECT("Ans" &amp; E98 &amp; "TBL"), MATCH(R98, INDEX(INDIRECT("Ans" &amp; E98 &amp; "TBL"), 0, 1), 0), 2), 0)</f>
        <v>0</v>
      </c>
      <c r="T98" s="312"/>
      <c r="U98" s="471"/>
      <c r="V98" s="304" t="str">
        <f>R98</f>
        <v/>
      </c>
      <c r="W98" s="349">
        <f ca="1">IFERROR(INDEX(INDIRECT("Ans" &amp; E98 &amp; "TBL"), MATCH(V98, INDEX(INDIRECT("Ans" &amp; E98 &amp; "TBL"), 0, 1), 0), 2), 0)</f>
        <v>0</v>
      </c>
      <c r="X98" s="348"/>
      <c r="Y98" s="471"/>
      <c r="Z98" s="471"/>
    </row>
    <row r="99" spans="1:26" ht="13.05" customHeight="1" x14ac:dyDescent="0.35">
      <c r="B99" s="235"/>
      <c r="C99" s="236"/>
      <c r="D99" s="125"/>
      <c r="E99" s="125"/>
      <c r="F99" s="125"/>
      <c r="G99" s="125"/>
      <c r="H99" s="125"/>
      <c r="I99" s="125"/>
      <c r="J99" s="125"/>
      <c r="K99" s="125"/>
      <c r="L99" s="125"/>
      <c r="M99" s="125"/>
      <c r="N99" s="125"/>
      <c r="O99" s="125"/>
      <c r="P99" s="125"/>
      <c r="Q99" s="125"/>
      <c r="R99" s="125"/>
      <c r="S99" s="313"/>
      <c r="T99" s="125"/>
      <c r="U99" s="125"/>
      <c r="V99" s="125"/>
      <c r="W99" s="125"/>
      <c r="X99" s="125"/>
      <c r="Y99" s="125"/>
      <c r="Z99" s="125"/>
    </row>
    <row r="100" spans="1:26" ht="21.75" customHeight="1" x14ac:dyDescent="0.35">
      <c r="B100" s="624" t="s">
        <v>82</v>
      </c>
      <c r="C100" s="535"/>
      <c r="D100" s="535"/>
      <c r="E100" s="393"/>
      <c r="F100" s="598" t="s">
        <v>248</v>
      </c>
      <c r="G100" s="535"/>
      <c r="H100" s="535"/>
      <c r="I100" s="535"/>
      <c r="J100" s="596" t="s">
        <v>249</v>
      </c>
      <c r="K100" s="535"/>
      <c r="L100" s="535"/>
      <c r="M100" s="594"/>
      <c r="N100" s="596" t="s">
        <v>250</v>
      </c>
      <c r="O100" s="535"/>
      <c r="P100" s="535"/>
      <c r="Q100" s="594"/>
      <c r="R100" s="596" t="s">
        <v>251</v>
      </c>
      <c r="S100" s="535"/>
      <c r="T100" s="535"/>
      <c r="U100" s="594"/>
      <c r="V100" s="581" t="s">
        <v>252</v>
      </c>
      <c r="W100" s="527"/>
      <c r="X100" s="527"/>
      <c r="Y100" s="527"/>
      <c r="Z100" s="527"/>
    </row>
    <row r="101" spans="1:26" ht="16.25" customHeight="1" x14ac:dyDescent="0.35">
      <c r="B101" s="246" t="s">
        <v>12</v>
      </c>
      <c r="C101" s="417" t="s">
        <v>13</v>
      </c>
      <c r="D101" s="247" t="s">
        <v>83</v>
      </c>
      <c r="E101" s="394"/>
      <c r="F101" s="395" t="s">
        <v>15</v>
      </c>
      <c r="G101" s="396"/>
      <c r="H101" s="397"/>
      <c r="I101" s="398" t="s">
        <v>17</v>
      </c>
      <c r="J101" s="395" t="s">
        <v>15</v>
      </c>
      <c r="K101" s="396"/>
      <c r="L101" s="397"/>
      <c r="M101" s="398" t="s">
        <v>17</v>
      </c>
      <c r="N101" s="395" t="s">
        <v>15</v>
      </c>
      <c r="O101" s="396"/>
      <c r="P101" s="397"/>
      <c r="Q101" s="398" t="s">
        <v>17</v>
      </c>
      <c r="R101" s="395" t="s">
        <v>15</v>
      </c>
      <c r="S101" s="396"/>
      <c r="T101" s="397"/>
      <c r="U101" s="398" t="s">
        <v>17</v>
      </c>
      <c r="V101" s="395" t="s">
        <v>15</v>
      </c>
      <c r="W101" s="396"/>
      <c r="X101" s="397"/>
      <c r="Y101" s="398" t="s">
        <v>17</v>
      </c>
      <c r="Z101" s="398" t="s">
        <v>253</v>
      </c>
    </row>
    <row r="102" spans="1:26" ht="28.25" customHeight="1" x14ac:dyDescent="0.35">
      <c r="A102" s="87" t="str">
        <f>Interview!A147</f>
        <v>V-AA-A-1-1</v>
      </c>
      <c r="B102" s="607" t="str">
        <f>INDEX('imp-questions'!D:D, MATCH(A102, 'imp-questions'!A:A, 0))</f>
        <v>Architecture Validation</v>
      </c>
      <c r="C102" s="248">
        <f>INDEX('imp-questions'!E:E, MATCH(A102, 'imp-questions'!A:A, 0))</f>
        <v>1</v>
      </c>
      <c r="D102" s="300" t="str">
        <f>INDEX('imp-questions'!F:F, MATCH(A102, 'imp-questions'!A:A, 0))</f>
        <v>Do you review the application architecture for key security objectives on an ad-hoc basis?</v>
      </c>
      <c r="E102" s="329" t="str">
        <f>CHAR(65+INDEX('imp-questions'!H:H, MATCH(A102, 'imp-questions'!A:A, 0)))</f>
        <v>A</v>
      </c>
      <c r="F102" s="287" t="str">
        <f>IF(ISBLANK(Interview!F147),"",Interview!F147)</f>
        <v/>
      </c>
      <c r="G102" s="343">
        <f ca="1">IFERROR(INDEX(INDIRECT("Ans" &amp; E102 &amp; "TBL"), MATCH(F102, INDEX(INDIRECT("Ans" &amp; E102 &amp; "TBL"), 0, 1), 0), 2), 0)</f>
        <v>0</v>
      </c>
      <c r="H102" s="358">
        <f ca="1">IFERROR(AVERAGE(G102,G106),0)</f>
        <v>0</v>
      </c>
      <c r="I102" s="574">
        <f ca="1">SUM(H102:H104)</f>
        <v>0</v>
      </c>
      <c r="J102" s="387" t="str">
        <f>F102</f>
        <v/>
      </c>
      <c r="K102" s="343">
        <f ca="1">IFERROR(INDEX(INDIRECT("Ans" &amp; E102 &amp; "TBL"), MATCH(J102, INDEX(INDIRECT("Ans" &amp; E102 &amp; "TBL"), 0, 1), 0), 2), 0)</f>
        <v>0</v>
      </c>
      <c r="L102" s="358">
        <f ca="1">IFERROR(AVERAGE(K102,K106),0)</f>
        <v>0</v>
      </c>
      <c r="M102" s="574">
        <f ca="1">SUM(L102:L104)</f>
        <v>0</v>
      </c>
      <c r="N102" s="387" t="str">
        <f>J102</f>
        <v/>
      </c>
      <c r="O102" s="341">
        <f ca="1">IFERROR(INDEX(INDIRECT("Ans" &amp; E102 &amp; "TBL"), MATCH(N102, INDEX(INDIRECT("Ans" &amp; E102 &amp; "TBL"), 0, 1), 0), 2), 0)</f>
        <v>0</v>
      </c>
      <c r="P102" s="358">
        <f ca="1">IFERROR(AVERAGE(O102,O106),0)</f>
        <v>0</v>
      </c>
      <c r="Q102" s="574">
        <f ca="1">SUM(P102:P104)</f>
        <v>0</v>
      </c>
      <c r="R102" s="387" t="str">
        <f>N102</f>
        <v/>
      </c>
      <c r="S102" s="135">
        <f ca="1">IFERROR(INDEX(INDIRECT("Ans" &amp; E102 &amp; "TBL"), MATCH(R102, INDEX(INDIRECT("Ans" &amp; E102 &amp; "TBL"), 0, 1), 0), 2), 0)</f>
        <v>0</v>
      </c>
      <c r="T102" s="359">
        <f ca="1">IFERROR(AVERAGE(S102,S106),0)</f>
        <v>0</v>
      </c>
      <c r="U102" s="574">
        <f ca="1">SUM(T102:T104)</f>
        <v>0</v>
      </c>
      <c r="V102" s="387" t="str">
        <f>R102</f>
        <v/>
      </c>
      <c r="W102" s="343">
        <f ca="1">IFERROR(INDEX(INDIRECT("Ans" &amp; E102 &amp; "TBL"), MATCH(V102, INDEX(INDIRECT("Ans" &amp; E102 &amp; "TBL"), 0, 1), 0), 2), 0)</f>
        <v>0</v>
      </c>
      <c r="X102" s="358">
        <f ca="1">IFERROR(AVERAGE(W102,W106),0)</f>
        <v>0</v>
      </c>
      <c r="Y102" s="574">
        <f ca="1">SUM(X102:X104)</f>
        <v>0</v>
      </c>
      <c r="Z102" s="574">
        <f ca="1">IFERROR(Y102-I102,Y102-LEFT(I102,1))</f>
        <v>0</v>
      </c>
    </row>
    <row r="103" spans="1:26" ht="28.25" customHeight="1" x14ac:dyDescent="0.35">
      <c r="A103" s="87" t="str">
        <f>Interview!A149</f>
        <v>V-AA-A-2-1</v>
      </c>
      <c r="B103" s="601"/>
      <c r="C103" s="248">
        <f>INDEX('imp-questions'!E:E, MATCH(A103, 'imp-questions'!A:A, 0))</f>
        <v>2</v>
      </c>
      <c r="D103" s="300" t="str">
        <f>INDEX('imp-questions'!F:F, MATCH(A103, 'imp-questions'!A:A, 0))</f>
        <v>Do you regularly review the security mechanisms of your architecture?</v>
      </c>
      <c r="E103" s="329" t="str">
        <f>CHAR(65+INDEX('imp-questions'!H:H, MATCH(A103, 'imp-questions'!A:A, 0)))</f>
        <v>A</v>
      </c>
      <c r="F103" s="287" t="str">
        <f>IF(ISBLANK(Interview!F149),"",Interview!F149)</f>
        <v/>
      </c>
      <c r="G103" s="346">
        <f ca="1">IFERROR(INDEX(INDIRECT("Ans" &amp; E103 &amp; "TBL"), MATCH(F103, INDEX(INDIRECT("Ans" &amp; E103 &amp; "TBL"), 0, 1), 0), 2), 0)</f>
        <v>0</v>
      </c>
      <c r="H103" s="360">
        <f ca="1">IFERROR(AVERAGE(G103,G107),0)</f>
        <v>0</v>
      </c>
      <c r="I103" s="575"/>
      <c r="J103" s="387" t="str">
        <f>F103</f>
        <v/>
      </c>
      <c r="K103" s="346">
        <f ca="1">IFERROR(INDEX(INDIRECT("Ans" &amp; E103 &amp; "TBL"), MATCH(J103, INDEX(INDIRECT("Ans" &amp; E103 &amp; "TBL"), 0, 1), 0), 2), 0)</f>
        <v>0</v>
      </c>
      <c r="L103" s="360">
        <f ca="1">IFERROR(AVERAGE(K103,K107),0)</f>
        <v>0</v>
      </c>
      <c r="M103" s="575"/>
      <c r="N103" s="387" t="str">
        <f>J103</f>
        <v/>
      </c>
      <c r="O103" s="344">
        <f ca="1">IFERROR(INDEX(INDIRECT("Ans" &amp; E103 &amp; "TBL"), MATCH(N103, INDEX(INDIRECT("Ans" &amp; E103 &amp; "TBL"), 0, 1), 0), 2), 0)</f>
        <v>0</v>
      </c>
      <c r="P103" s="360">
        <f ca="1">IFERROR(AVERAGE(O103,O107),0)</f>
        <v>0</v>
      </c>
      <c r="Q103" s="575"/>
      <c r="R103" s="387" t="str">
        <f>N103</f>
        <v/>
      </c>
      <c r="S103" s="135">
        <f ca="1">IFERROR(INDEX(INDIRECT("Ans" &amp; E103 &amp; "TBL"), MATCH(R103, INDEX(INDIRECT("Ans" &amp; E103 &amp; "TBL"), 0, 1), 0), 2), 0)</f>
        <v>0</v>
      </c>
      <c r="T103" s="361">
        <f ca="1">IFERROR(AVERAGE(S103,S107),0)</f>
        <v>0</v>
      </c>
      <c r="U103" s="575"/>
      <c r="V103" s="387" t="str">
        <f>R103</f>
        <v/>
      </c>
      <c r="W103" s="346">
        <f ca="1">IFERROR(INDEX(INDIRECT("Ans" &amp; E103 &amp; "TBL"), MATCH(V103, INDEX(INDIRECT("Ans" &amp; E103 &amp; "TBL"), 0, 1), 0), 2), 0)</f>
        <v>0</v>
      </c>
      <c r="X103" s="360">
        <f ca="1">IFERROR(AVERAGE(W103,W107),0)</f>
        <v>0</v>
      </c>
      <c r="Y103" s="575"/>
      <c r="Z103" s="575"/>
    </row>
    <row r="104" spans="1:26" ht="28.25" customHeight="1" x14ac:dyDescent="0.35">
      <c r="A104" s="87" t="str">
        <f>Interview!A151</f>
        <v>V-AA-A-3-1</v>
      </c>
      <c r="B104" s="605"/>
      <c r="C104" s="248">
        <f>INDEX('imp-questions'!E:E, MATCH(A104, 'imp-questions'!A:A, 0))</f>
        <v>3</v>
      </c>
      <c r="D104" s="296" t="str">
        <f>INDEX('imp-questions'!F:F, MATCH(A104, 'imp-questions'!A:A, 0))</f>
        <v>Do you regularly review the effectiveness of the security controls?</v>
      </c>
      <c r="E104" s="329" t="str">
        <f>CHAR(65+INDEX('imp-questions'!H:H, MATCH(A104, 'imp-questions'!A:A, 0)))</f>
        <v>A</v>
      </c>
      <c r="F104" s="287" t="str">
        <f>IF(ISBLANK(Interview!F151),"",Interview!F151)</f>
        <v/>
      </c>
      <c r="G104" s="349">
        <f ca="1">IFERROR(INDEX(INDIRECT("Ans" &amp; E104 &amp; "TBL"), MATCH(F104, INDEX(INDIRECT("Ans" &amp; E104 &amp; "TBL"), 0, 1), 0), 2), 0)</f>
        <v>0</v>
      </c>
      <c r="H104" s="364">
        <f ca="1">IFERROR(AVERAGE(G104,G108),0)</f>
        <v>0</v>
      </c>
      <c r="I104" s="575"/>
      <c r="J104" s="387" t="str">
        <f>F104</f>
        <v/>
      </c>
      <c r="K104" s="349">
        <f ca="1">IFERROR(INDEX(INDIRECT("Ans" &amp; E104 &amp; "TBL"), MATCH(J104, INDEX(INDIRECT("Ans" &amp; E104 &amp; "TBL"), 0, 1), 0), 2), 0)</f>
        <v>0</v>
      </c>
      <c r="L104" s="364">
        <f ca="1">IFERROR(AVERAGE(K104,K108),0)</f>
        <v>0</v>
      </c>
      <c r="M104" s="575"/>
      <c r="N104" s="387" t="str">
        <f>J104</f>
        <v/>
      </c>
      <c r="O104" s="347">
        <f ca="1">IFERROR(INDEX(INDIRECT("Ans" &amp; E104 &amp; "TBL"), MATCH(N104, INDEX(INDIRECT("Ans" &amp; E104 &amp; "TBL"), 0, 1), 0), 2), 0)</f>
        <v>0</v>
      </c>
      <c r="P104" s="364">
        <f ca="1">IFERROR(AVERAGE(O104,O108),0)</f>
        <v>0</v>
      </c>
      <c r="Q104" s="575"/>
      <c r="R104" s="387" t="str">
        <f>N104</f>
        <v/>
      </c>
      <c r="S104" s="135">
        <f ca="1">IFERROR(INDEX(INDIRECT("Ans" &amp; E104 &amp; "TBL"), MATCH(R104, INDEX(INDIRECT("Ans" &amp; E104 &amp; "TBL"), 0, 1), 0), 2), 0)</f>
        <v>0</v>
      </c>
      <c r="T104" s="365">
        <f ca="1">IFERROR(AVERAGE(S104,S108),0)</f>
        <v>0</v>
      </c>
      <c r="U104" s="575"/>
      <c r="V104" s="387" t="str">
        <f>R104</f>
        <v/>
      </c>
      <c r="W104" s="349">
        <f ca="1">IFERROR(INDEX(INDIRECT("Ans" &amp; E104 &amp; "TBL"), MATCH(V104, INDEX(INDIRECT("Ans" &amp; E104 &amp; "TBL"), 0, 1), 0), 2), 0)</f>
        <v>0</v>
      </c>
      <c r="X104" s="364">
        <f ca="1">IFERROR(AVERAGE(W104,W108),0)</f>
        <v>0</v>
      </c>
      <c r="Y104" s="575"/>
      <c r="Z104" s="575"/>
    </row>
    <row r="105" spans="1:26" ht="13.05" customHeight="1" x14ac:dyDescent="0.35">
      <c r="B105" s="235"/>
      <c r="C105" s="236"/>
      <c r="D105" s="125"/>
      <c r="E105" s="153"/>
      <c r="F105" s="153"/>
      <c r="G105" s="153"/>
      <c r="H105" s="153"/>
      <c r="I105" s="575"/>
      <c r="J105" s="125"/>
      <c r="K105" s="153"/>
      <c r="L105" s="153"/>
      <c r="M105" s="575"/>
      <c r="N105" s="125"/>
      <c r="O105" s="153"/>
      <c r="P105" s="153"/>
      <c r="Q105" s="575"/>
      <c r="R105" s="125"/>
      <c r="S105" s="153"/>
      <c r="T105" s="153"/>
      <c r="U105" s="575"/>
      <c r="V105" s="125"/>
      <c r="W105" s="153"/>
      <c r="X105" s="153"/>
      <c r="Y105" s="575"/>
      <c r="Z105" s="575"/>
    </row>
    <row r="106" spans="1:26" ht="28.25" customHeight="1" x14ac:dyDescent="0.35">
      <c r="A106" s="87" t="str">
        <f>Interview!A154</f>
        <v>V-AA-B-1-1</v>
      </c>
      <c r="B106" s="607" t="str">
        <f>INDEX('imp-questions'!D:D, MATCH(A106, 'imp-questions'!A:A, 0))</f>
        <v>Architecture Mitigation</v>
      </c>
      <c r="C106" s="248">
        <f>INDEX('imp-questions'!E:E, MATCH(A106, 'imp-questions'!A:A, 0))</f>
        <v>1</v>
      </c>
      <c r="D106" s="300" t="str">
        <f>INDEX('imp-questions'!F:F, MATCH(A106, 'imp-questions'!A:A, 0))</f>
        <v>Do you review the application architecture for mitigations of typical threats on an ad-hoc basis?</v>
      </c>
      <c r="E106" s="329" t="str">
        <f>CHAR(65+INDEX('imp-questions'!H:H, MATCH(A106, 'imp-questions'!A:A, 0)))</f>
        <v>A</v>
      </c>
      <c r="F106" s="287" t="str">
        <f>IF(ISBLANK(Interview!F154),"",Interview!F154)</f>
        <v/>
      </c>
      <c r="G106" s="378">
        <f ca="1">IFERROR(INDEX(INDIRECT("Ans" &amp; E106 &amp; "TBL"), MATCH(F106, INDEX(INDIRECT("Ans" &amp; E106 &amp; "TBL"), 0, 1), 0), 2), 0)</f>
        <v>0</v>
      </c>
      <c r="H106" s="342"/>
      <c r="I106" s="575"/>
      <c r="J106" s="387" t="str">
        <f>F106</f>
        <v/>
      </c>
      <c r="K106" s="343">
        <f ca="1">IFERROR(INDEX(INDIRECT("Ans" &amp; E106 &amp; "TBL"), MATCH(J106, INDEX(INDIRECT("Ans" &amp; E106 &amp; "TBL"), 0, 1), 0), 2), 0)</f>
        <v>0</v>
      </c>
      <c r="L106" s="342"/>
      <c r="M106" s="575"/>
      <c r="N106" s="387" t="str">
        <f>J106</f>
        <v/>
      </c>
      <c r="O106" s="341">
        <f ca="1">IFERROR(INDEX(INDIRECT("Ans" &amp; E106 &amp; "TBL"), MATCH(N106, INDEX(INDIRECT("Ans" &amp; E106 &amp; "TBL"), 0, 1), 0), 2), 0)</f>
        <v>0</v>
      </c>
      <c r="P106" s="342"/>
      <c r="Q106" s="575"/>
      <c r="R106" s="387" t="str">
        <f>N106</f>
        <v/>
      </c>
      <c r="S106" s="135">
        <f ca="1">IFERROR(INDEX(INDIRECT("Ans" &amp; E106 &amp; "TBL"), MATCH(R106, INDEX(INDIRECT("Ans" &amp; E106 &amp; "TBL"), 0, 1), 0), 2), 0)</f>
        <v>0</v>
      </c>
      <c r="T106" s="326"/>
      <c r="U106" s="575"/>
      <c r="V106" s="387" t="str">
        <f>R106</f>
        <v/>
      </c>
      <c r="W106" s="343">
        <f ca="1">IFERROR(INDEX(INDIRECT("Ans" &amp; E106 &amp; "TBL"), MATCH(V106, INDEX(INDIRECT("Ans" &amp; E106 &amp; "TBL"), 0, 1), 0), 2), 0)</f>
        <v>0</v>
      </c>
      <c r="X106" s="342"/>
      <c r="Y106" s="575"/>
      <c r="Z106" s="575"/>
    </row>
    <row r="107" spans="1:26" ht="28.25" customHeight="1" x14ac:dyDescent="0.35">
      <c r="A107" s="87" t="str">
        <f>Interview!A156</f>
        <v>V-AA-B-2-1</v>
      </c>
      <c r="B107" s="601"/>
      <c r="C107" s="248">
        <f>INDEX('imp-questions'!E:E, MATCH(A107, 'imp-questions'!A:A, 0))</f>
        <v>2</v>
      </c>
      <c r="D107" s="300" t="str">
        <f>INDEX('imp-questions'!F:F, MATCH(A107, 'imp-questions'!A:A, 0))</f>
        <v>Do you regularly evaluate the threats to your architecture?</v>
      </c>
      <c r="E107" s="329" t="str">
        <f>CHAR(65+INDEX('imp-questions'!H:H, MATCH(A107, 'imp-questions'!A:A, 0)))</f>
        <v>A</v>
      </c>
      <c r="F107" s="287" t="str">
        <f>IF(ISBLANK(Interview!F156),"",Interview!F156)</f>
        <v/>
      </c>
      <c r="G107" s="379">
        <f ca="1">IFERROR(INDEX(INDIRECT("Ans" &amp; E107 &amp; "TBL"), MATCH(F107, INDEX(INDIRECT("Ans" &amp; E107 &amp; "TBL"), 0, 1), 0), 2), 0)</f>
        <v>0</v>
      </c>
      <c r="H107" s="345"/>
      <c r="I107" s="575"/>
      <c r="J107" s="387" t="str">
        <f>F107</f>
        <v/>
      </c>
      <c r="K107" s="346">
        <f ca="1">IFERROR(INDEX(INDIRECT("Ans" &amp; E107 &amp; "TBL"), MATCH(J107, INDEX(INDIRECT("Ans" &amp; E107 &amp; "TBL"), 0, 1), 0), 2), 0)</f>
        <v>0</v>
      </c>
      <c r="L107" s="345"/>
      <c r="M107" s="575"/>
      <c r="N107" s="387" t="str">
        <f>J107</f>
        <v/>
      </c>
      <c r="O107" s="344">
        <f ca="1">IFERROR(INDEX(INDIRECT("Ans" &amp; E107 &amp; "TBL"), MATCH(N107, INDEX(INDIRECT("Ans" &amp; E107 &amp; "TBL"), 0, 1), 0), 2), 0)</f>
        <v>0</v>
      </c>
      <c r="P107" s="345"/>
      <c r="Q107" s="575"/>
      <c r="R107" s="387" t="str">
        <f>N107</f>
        <v/>
      </c>
      <c r="S107" s="135">
        <f ca="1">IFERROR(INDEX(INDIRECT("Ans" &amp; E107 &amp; "TBL"), MATCH(R107, INDEX(INDIRECT("Ans" &amp; E107 &amp; "TBL"), 0, 1), 0), 2), 0)</f>
        <v>0</v>
      </c>
      <c r="T107" s="309"/>
      <c r="U107" s="575"/>
      <c r="V107" s="387" t="str">
        <f>R107</f>
        <v/>
      </c>
      <c r="W107" s="346">
        <f ca="1">IFERROR(INDEX(INDIRECT("Ans" &amp; E107 &amp; "TBL"), MATCH(V107, INDEX(INDIRECT("Ans" &amp; E107 &amp; "TBL"), 0, 1), 0), 2), 0)</f>
        <v>0</v>
      </c>
      <c r="X107" s="345"/>
      <c r="Y107" s="575"/>
      <c r="Z107" s="575"/>
    </row>
    <row r="108" spans="1:26" ht="28.25" customHeight="1" x14ac:dyDescent="0.35">
      <c r="A108" s="87" t="str">
        <f>Interview!A158</f>
        <v>V-AA-B-3-1</v>
      </c>
      <c r="B108" s="605"/>
      <c r="C108" s="248">
        <f>INDEX('imp-questions'!E:E, MATCH(A108, 'imp-questions'!A:A, 0))</f>
        <v>3</v>
      </c>
      <c r="D108" s="296" t="str">
        <f>INDEX('imp-questions'!F:F, MATCH(A108, 'imp-questions'!A:A, 0))</f>
        <v>Do you regularly update your reference architectures based on architecture assessment findings?</v>
      </c>
      <c r="E108" s="329" t="str">
        <f>CHAR(65+INDEX('imp-questions'!H:H, MATCH(A108, 'imp-questions'!A:A, 0)))</f>
        <v>A</v>
      </c>
      <c r="F108" s="287" t="str">
        <f>IF(ISBLANK(Interview!F158),"",Interview!F158)</f>
        <v/>
      </c>
      <c r="G108" s="380">
        <f ca="1">IFERROR(INDEX(INDIRECT("Ans" &amp; E108 &amp; "TBL"), MATCH(F108, INDEX(INDIRECT("Ans" &amp; E108 &amp; "TBL"), 0, 1), 0), 2), 0)</f>
        <v>0</v>
      </c>
      <c r="H108" s="348"/>
      <c r="I108" s="576"/>
      <c r="J108" s="387" t="str">
        <f>F108</f>
        <v/>
      </c>
      <c r="K108" s="349">
        <f ca="1">IFERROR(INDEX(INDIRECT("Ans" &amp; E108 &amp; "TBL"), MATCH(J108, INDEX(INDIRECT("Ans" &amp; E108 &amp; "TBL"), 0, 1), 0), 2), 0)</f>
        <v>0</v>
      </c>
      <c r="L108" s="348"/>
      <c r="M108" s="576"/>
      <c r="N108" s="387" t="str">
        <f>J108</f>
        <v/>
      </c>
      <c r="O108" s="347">
        <f ca="1">IFERROR(INDEX(INDIRECT("Ans" &amp; E108 &amp; "TBL"), MATCH(N108, INDEX(INDIRECT("Ans" &amp; E108 &amp; "TBL"), 0, 1), 0), 2), 0)</f>
        <v>0</v>
      </c>
      <c r="P108" s="348"/>
      <c r="Q108" s="576"/>
      <c r="R108" s="387" t="str">
        <f>N108</f>
        <v/>
      </c>
      <c r="S108" s="135">
        <f ca="1">IFERROR(INDEX(INDIRECT("Ans" &amp; E108 &amp; "TBL"), MATCH(R108, INDEX(INDIRECT("Ans" &amp; E108 &amp; "TBL"), 0, 1), 0), 2), 0)</f>
        <v>0</v>
      </c>
      <c r="T108" s="312"/>
      <c r="U108" s="576"/>
      <c r="V108" s="387" t="str">
        <f>R108</f>
        <v/>
      </c>
      <c r="W108" s="349">
        <f ca="1">IFERROR(INDEX(INDIRECT("Ans" &amp; E108 &amp; "TBL"), MATCH(V108, INDEX(INDIRECT("Ans" &amp; E108 &amp; "TBL"), 0, 1), 0), 2), 0)</f>
        <v>0</v>
      </c>
      <c r="X108" s="348"/>
      <c r="Y108" s="576"/>
      <c r="Z108" s="576"/>
    </row>
    <row r="109" spans="1:26" ht="13.05" customHeight="1" x14ac:dyDescent="0.35">
      <c r="B109" s="235"/>
      <c r="C109" s="236"/>
      <c r="D109" s="125"/>
      <c r="E109" s="125"/>
      <c r="F109" s="125"/>
      <c r="G109" s="125"/>
      <c r="H109" s="125"/>
      <c r="I109" s="125"/>
      <c r="J109" s="125"/>
      <c r="K109" s="125"/>
      <c r="L109" s="125"/>
      <c r="M109" s="125"/>
      <c r="N109" s="125"/>
      <c r="O109" s="125"/>
      <c r="P109" s="125"/>
      <c r="Q109" s="125"/>
      <c r="R109" s="125"/>
      <c r="S109" s="313"/>
      <c r="T109" s="125"/>
      <c r="U109" s="125"/>
      <c r="V109" s="125"/>
      <c r="W109" s="125"/>
      <c r="X109" s="125"/>
      <c r="Y109" s="125"/>
      <c r="Z109" s="125"/>
    </row>
    <row r="110" spans="1:26" ht="16.25" customHeight="1" x14ac:dyDescent="0.35">
      <c r="B110" s="246" t="s">
        <v>12</v>
      </c>
      <c r="C110" s="417" t="s">
        <v>13</v>
      </c>
      <c r="D110" s="249" t="s">
        <v>90</v>
      </c>
      <c r="E110" s="399"/>
      <c r="F110" s="400" t="s">
        <v>15</v>
      </c>
      <c r="G110" s="401"/>
      <c r="H110" s="402"/>
      <c r="I110" s="398" t="s">
        <v>17</v>
      </c>
      <c r="J110" s="400" t="s">
        <v>15</v>
      </c>
      <c r="K110" s="401"/>
      <c r="L110" s="402"/>
      <c r="M110" s="398" t="s">
        <v>17</v>
      </c>
      <c r="N110" s="400" t="s">
        <v>15</v>
      </c>
      <c r="O110" s="401"/>
      <c r="P110" s="402"/>
      <c r="Q110" s="398" t="s">
        <v>17</v>
      </c>
      <c r="R110" s="400" t="s">
        <v>15</v>
      </c>
      <c r="S110" s="401"/>
      <c r="T110" s="402"/>
      <c r="U110" s="398" t="s">
        <v>17</v>
      </c>
      <c r="V110" s="400" t="s">
        <v>15</v>
      </c>
      <c r="W110" s="401"/>
      <c r="X110" s="402"/>
      <c r="Y110" s="398" t="s">
        <v>17</v>
      </c>
      <c r="Z110" s="398" t="s">
        <v>253</v>
      </c>
    </row>
    <row r="111" spans="1:26" ht="28.25" customHeight="1" x14ac:dyDescent="0.35">
      <c r="A111" s="87" t="str">
        <f>Interview!A161</f>
        <v>V-RT-A-1-1</v>
      </c>
      <c r="B111" s="607" t="str">
        <f>INDEX('imp-questions'!D:D, MATCH(A111, 'imp-questions'!A:A, 0))</f>
        <v>Control Verification</v>
      </c>
      <c r="C111" s="248">
        <f>INDEX('imp-questions'!E:E, MATCH(A111, 'imp-questions'!A:A, 0))</f>
        <v>1</v>
      </c>
      <c r="D111" s="300" t="str">
        <f>INDEX('imp-questions'!F:F, MATCH(A111, 'imp-questions'!A:A, 0))</f>
        <v>Do you test applications for the correct functioning of standard security controls?</v>
      </c>
      <c r="E111" s="329" t="str">
        <f>CHAR(65+INDEX('imp-questions'!H:H, MATCH(A111, 'imp-questions'!A:A, 0)))</f>
        <v>B</v>
      </c>
      <c r="F111" s="287" t="str">
        <f>IF(ISBLANK(Interview!F161),"",Interview!F161)</f>
        <v/>
      </c>
      <c r="G111" s="343">
        <f ca="1">IFERROR(INDEX(INDIRECT("Ans" &amp; E111 &amp; "TBL"), MATCH(F111, INDEX(INDIRECT("Ans" &amp; E111 &amp; "TBL"), 0, 1), 0), 2), 0)</f>
        <v>0</v>
      </c>
      <c r="H111" s="358">
        <f ca="1">IFERROR(AVERAGE(G111,G115),0)</f>
        <v>0</v>
      </c>
      <c r="I111" s="574">
        <f ca="1">SUM(H111:H113)</f>
        <v>0</v>
      </c>
      <c r="J111" s="387" t="str">
        <f>F111</f>
        <v/>
      </c>
      <c r="K111" s="343">
        <f ca="1">IFERROR(INDEX(INDIRECT("Ans" &amp; E111 &amp; "TBL"), MATCH(J111, INDEX(INDIRECT("Ans" &amp; E111 &amp; "TBL"), 0, 1), 0), 2), 0)</f>
        <v>0</v>
      </c>
      <c r="L111" s="358">
        <f ca="1">IFERROR(AVERAGE(K111,K115),0)</f>
        <v>0</v>
      </c>
      <c r="M111" s="574">
        <f ca="1">SUM(L111:L113)</f>
        <v>0</v>
      </c>
      <c r="N111" s="387" t="str">
        <f>J111</f>
        <v/>
      </c>
      <c r="O111" s="341">
        <f ca="1">IFERROR(INDEX(INDIRECT("Ans" &amp; E111 &amp; "TBL"), MATCH(N111, INDEX(INDIRECT("Ans" &amp; E111 &amp; "TBL"), 0, 1), 0), 2), 0)</f>
        <v>0</v>
      </c>
      <c r="P111" s="358">
        <f ca="1">IFERROR(AVERAGE(O111,O115),0)</f>
        <v>0</v>
      </c>
      <c r="Q111" s="574">
        <f ca="1">SUM(P111:P113)</f>
        <v>0</v>
      </c>
      <c r="R111" s="387" t="str">
        <f>N111</f>
        <v/>
      </c>
      <c r="S111" s="135">
        <f ca="1">IFERROR(INDEX(INDIRECT("Ans" &amp; E111 &amp; "TBL"), MATCH(R111, INDEX(INDIRECT("Ans" &amp; E111 &amp; "TBL"), 0, 1), 0), 2), 0)</f>
        <v>0</v>
      </c>
      <c r="T111" s="359">
        <f ca="1">IFERROR(AVERAGE(S111,S115),0)</f>
        <v>0</v>
      </c>
      <c r="U111" s="574">
        <f ca="1">SUM(T111:T113)</f>
        <v>0</v>
      </c>
      <c r="V111" s="387" t="str">
        <f>R111</f>
        <v/>
      </c>
      <c r="W111" s="343">
        <f ca="1">IFERROR(INDEX(INDIRECT("Ans" &amp; E111 &amp; "TBL"), MATCH(V111, INDEX(INDIRECT("Ans" &amp; E111 &amp; "TBL"), 0, 1), 0), 2), 0)</f>
        <v>0</v>
      </c>
      <c r="X111" s="358">
        <f ca="1">IFERROR(AVERAGE(W111,W115),0)</f>
        <v>0</v>
      </c>
      <c r="Y111" s="574">
        <f ca="1">SUM(X111:X113)</f>
        <v>0</v>
      </c>
      <c r="Z111" s="574">
        <f ca="1">IFERROR(Y111-I111,Y111-LEFT(I111,1))</f>
        <v>0</v>
      </c>
    </row>
    <row r="112" spans="1:26" ht="28.25" customHeight="1" x14ac:dyDescent="0.35">
      <c r="A112" s="87" t="str">
        <f>Interview!A163</f>
        <v>V-RT-A-2-1</v>
      </c>
      <c r="B112" s="601"/>
      <c r="C112" s="248">
        <f>INDEX('imp-questions'!E:E, MATCH(A112, 'imp-questions'!A:A, 0))</f>
        <v>2</v>
      </c>
      <c r="D112" s="300" t="str">
        <f>INDEX('imp-questions'!F:F, MATCH(A112, 'imp-questions'!A:A, 0))</f>
        <v>Do you consistently write and execute test scripts to verify the functionality of security requirements?</v>
      </c>
      <c r="E112" s="329" t="str">
        <f>CHAR(65+INDEX('imp-questions'!H:H, MATCH(A112, 'imp-questions'!A:A, 0)))</f>
        <v>B</v>
      </c>
      <c r="F112" s="287" t="str">
        <f>IF(ISBLANK(Interview!F163),"",Interview!F163)</f>
        <v/>
      </c>
      <c r="G112" s="346">
        <f ca="1">IFERROR(INDEX(INDIRECT("Ans" &amp; E112 &amp; "TBL"), MATCH(F112, INDEX(INDIRECT("Ans" &amp; E112 &amp; "TBL"), 0, 1), 0), 2), 0)</f>
        <v>0</v>
      </c>
      <c r="H112" s="360">
        <f ca="1">IFERROR(AVERAGE(G112,G116),0)</f>
        <v>0</v>
      </c>
      <c r="I112" s="575"/>
      <c r="J112" s="387" t="str">
        <f>F112</f>
        <v/>
      </c>
      <c r="K112" s="346">
        <f ca="1">IFERROR(INDEX(INDIRECT("Ans" &amp; E112 &amp; "TBL"), MATCH(J112, INDEX(INDIRECT("Ans" &amp; E112 &amp; "TBL"), 0, 1), 0), 2), 0)</f>
        <v>0</v>
      </c>
      <c r="L112" s="360">
        <f ca="1">IFERROR(AVERAGE(K112,K116),0)</f>
        <v>0</v>
      </c>
      <c r="M112" s="575"/>
      <c r="N112" s="387" t="str">
        <f>J112</f>
        <v/>
      </c>
      <c r="O112" s="344">
        <f ca="1">IFERROR(INDEX(INDIRECT("Ans" &amp; E112 &amp; "TBL"), MATCH(N112, INDEX(INDIRECT("Ans" &amp; E112 &amp; "TBL"), 0, 1), 0), 2), 0)</f>
        <v>0</v>
      </c>
      <c r="P112" s="360">
        <f ca="1">IFERROR(AVERAGE(O112,O116),0)</f>
        <v>0</v>
      </c>
      <c r="Q112" s="575"/>
      <c r="R112" s="387" t="str">
        <f>N112</f>
        <v/>
      </c>
      <c r="S112" s="135">
        <f ca="1">IFERROR(INDEX(INDIRECT("Ans" &amp; E112 &amp; "TBL"), MATCH(R112, INDEX(INDIRECT("Ans" &amp; E112 &amp; "TBL"), 0, 1), 0), 2), 0)</f>
        <v>0</v>
      </c>
      <c r="T112" s="361">
        <f ca="1">IFERROR(AVERAGE(S112,S116),0)</f>
        <v>0</v>
      </c>
      <c r="U112" s="575"/>
      <c r="V112" s="387" t="str">
        <f>R112</f>
        <v/>
      </c>
      <c r="W112" s="346">
        <f ca="1">IFERROR(INDEX(INDIRECT("Ans" &amp; E112 &amp; "TBL"), MATCH(V112, INDEX(INDIRECT("Ans" &amp; E112 &amp; "TBL"), 0, 1), 0), 2), 0)</f>
        <v>0</v>
      </c>
      <c r="X112" s="360">
        <f ca="1">IFERROR(AVERAGE(W112,W116),0)</f>
        <v>0</v>
      </c>
      <c r="Y112" s="575"/>
      <c r="Z112" s="575"/>
    </row>
    <row r="113" spans="1:26" ht="28.25" customHeight="1" x14ac:dyDescent="0.35">
      <c r="A113" s="87" t="str">
        <f>Interview!A165</f>
        <v>V-RT-A-3-1</v>
      </c>
      <c r="B113" s="605"/>
      <c r="C113" s="248">
        <f>INDEX('imp-questions'!E:E, MATCH(A113, 'imp-questions'!A:A, 0))</f>
        <v>3</v>
      </c>
      <c r="D113" s="296" t="str">
        <f>INDEX('imp-questions'!F:F, MATCH(A113, 'imp-questions'!A:A, 0))</f>
        <v>Do you automatically test applications for security regressions?</v>
      </c>
      <c r="E113" s="329" t="str">
        <f>CHAR(65+INDEX('imp-questions'!H:H, MATCH(A113, 'imp-questions'!A:A, 0)))</f>
        <v>A</v>
      </c>
      <c r="F113" s="287" t="str">
        <f>IF(ISBLANK(Interview!F165),"",Interview!F165)</f>
        <v/>
      </c>
      <c r="G113" s="349">
        <f ca="1">IFERROR(INDEX(INDIRECT("Ans" &amp; E113 &amp; "TBL"), MATCH(F113, INDEX(INDIRECT("Ans" &amp; E113 &amp; "TBL"), 0, 1), 0), 2), 0)</f>
        <v>0</v>
      </c>
      <c r="H113" s="364">
        <f ca="1">IFERROR(AVERAGE(G113,G117),0)</f>
        <v>0</v>
      </c>
      <c r="I113" s="575"/>
      <c r="J113" s="387" t="str">
        <f>F113</f>
        <v/>
      </c>
      <c r="K113" s="349">
        <f ca="1">IFERROR(INDEX(INDIRECT("Ans" &amp; E113 &amp; "TBL"), MATCH(J113, INDEX(INDIRECT("Ans" &amp; E113 &amp; "TBL"), 0, 1), 0), 2), 0)</f>
        <v>0</v>
      </c>
      <c r="L113" s="364">
        <f ca="1">IFERROR(AVERAGE(K113,K117),0)</f>
        <v>0</v>
      </c>
      <c r="M113" s="575"/>
      <c r="N113" s="387" t="str">
        <f>J113</f>
        <v/>
      </c>
      <c r="O113" s="347">
        <f ca="1">IFERROR(INDEX(INDIRECT("Ans" &amp; E113 &amp; "TBL"), MATCH(N113, INDEX(INDIRECT("Ans" &amp; E113 &amp; "TBL"), 0, 1), 0), 2), 0)</f>
        <v>0</v>
      </c>
      <c r="P113" s="364">
        <f ca="1">IFERROR(AVERAGE(O113,O117),0)</f>
        <v>0</v>
      </c>
      <c r="Q113" s="575"/>
      <c r="R113" s="387" t="str">
        <f>N113</f>
        <v/>
      </c>
      <c r="S113" s="135">
        <f ca="1">IFERROR(INDEX(INDIRECT("Ans" &amp; E113 &amp; "TBL"), MATCH(R113, INDEX(INDIRECT("Ans" &amp; E113 &amp; "TBL"), 0, 1), 0), 2), 0)</f>
        <v>0</v>
      </c>
      <c r="T113" s="365">
        <f ca="1">IFERROR(AVERAGE(S113,S117),0)</f>
        <v>0</v>
      </c>
      <c r="U113" s="575"/>
      <c r="V113" s="387" t="str">
        <f>R113</f>
        <v/>
      </c>
      <c r="W113" s="349">
        <f ca="1">IFERROR(INDEX(INDIRECT("Ans" &amp; E113 &amp; "TBL"), MATCH(V113, INDEX(INDIRECT("Ans" &amp; E113 &amp; "TBL"), 0, 1), 0), 2), 0)</f>
        <v>0</v>
      </c>
      <c r="X113" s="364">
        <f ca="1">IFERROR(AVERAGE(W113,W117),0)</f>
        <v>0</v>
      </c>
      <c r="Y113" s="575"/>
      <c r="Z113" s="575"/>
    </row>
    <row r="114" spans="1:26" ht="13.05" customHeight="1" x14ac:dyDescent="0.35">
      <c r="B114" s="235"/>
      <c r="C114" s="236"/>
      <c r="D114" s="125"/>
      <c r="E114" s="153"/>
      <c r="F114" s="125"/>
      <c r="G114" s="153"/>
      <c r="H114" s="153"/>
      <c r="I114" s="575"/>
      <c r="J114" s="125"/>
      <c r="K114" s="153"/>
      <c r="L114" s="153"/>
      <c r="M114" s="575"/>
      <c r="N114" s="125"/>
      <c r="O114" s="153"/>
      <c r="P114" s="153"/>
      <c r="Q114" s="575"/>
      <c r="R114" s="125"/>
      <c r="S114" s="153"/>
      <c r="T114" s="153"/>
      <c r="U114" s="575"/>
      <c r="V114" s="125"/>
      <c r="W114" s="153"/>
      <c r="X114" s="153"/>
      <c r="Y114" s="575"/>
      <c r="Z114" s="575"/>
    </row>
    <row r="115" spans="1:26" ht="28.25" customHeight="1" x14ac:dyDescent="0.35">
      <c r="A115" s="87" t="str">
        <f>Interview!A168</f>
        <v>V-RT-B-1-1</v>
      </c>
      <c r="B115" s="607" t="str">
        <f>INDEX('imp-questions'!D:D, MATCH(A115, 'imp-questions'!A:A, 0))</f>
        <v>Misuse/Abuse Testing</v>
      </c>
      <c r="C115" s="248">
        <f>INDEX('imp-questions'!E:E, MATCH(A115, 'imp-questions'!A:A, 0))</f>
        <v>1</v>
      </c>
      <c r="D115" s="300" t="str">
        <f>INDEX('imp-questions'!F:F, MATCH(A115, 'imp-questions'!A:A, 0))</f>
        <v>Do you test applications using randomization or fuzzing techniques?</v>
      </c>
      <c r="E115" s="329" t="str">
        <f>CHAR(65+INDEX('imp-questions'!H:H, MATCH(A115, 'imp-questions'!A:A, 0)))</f>
        <v>A</v>
      </c>
      <c r="F115" s="287" t="str">
        <f>IF(ISBLANK(Interview!F168),"",Interview!F168)</f>
        <v/>
      </c>
      <c r="G115" s="343">
        <f ca="1">IFERROR(INDEX(INDIRECT("Ans" &amp; E115 &amp; "TBL"), MATCH(F115, INDEX(INDIRECT("Ans" &amp; E115 &amp; "TBL"), 0, 1), 0), 2), 0)</f>
        <v>0</v>
      </c>
      <c r="H115" s="342"/>
      <c r="I115" s="575"/>
      <c r="J115" s="387" t="str">
        <f>F115</f>
        <v/>
      </c>
      <c r="K115" s="343">
        <f ca="1">IFERROR(INDEX(INDIRECT("Ans" &amp; E115 &amp; "TBL"), MATCH(J115, INDEX(INDIRECT("Ans" &amp; E115 &amp; "TBL"), 0, 1), 0), 2), 0)</f>
        <v>0</v>
      </c>
      <c r="L115" s="342"/>
      <c r="M115" s="575"/>
      <c r="N115" s="387" t="str">
        <f>J115</f>
        <v/>
      </c>
      <c r="O115" s="341">
        <f ca="1">IFERROR(INDEX(INDIRECT("Ans" &amp; E115 &amp; "TBL"), MATCH(N115, INDEX(INDIRECT("Ans" &amp; E115 &amp; "TBL"), 0, 1), 0), 2), 0)</f>
        <v>0</v>
      </c>
      <c r="P115" s="342"/>
      <c r="Q115" s="575"/>
      <c r="R115" s="387" t="str">
        <f>N115</f>
        <v/>
      </c>
      <c r="S115" s="135">
        <f ca="1">IFERROR(INDEX(INDIRECT("Ans" &amp; E115 &amp; "TBL"), MATCH(R115, INDEX(INDIRECT("Ans" &amp; E115 &amp; "TBL"), 0, 1), 0), 2), 0)</f>
        <v>0</v>
      </c>
      <c r="T115" s="326"/>
      <c r="U115" s="575"/>
      <c r="V115" s="387" t="str">
        <f>R115</f>
        <v/>
      </c>
      <c r="W115" s="343">
        <f ca="1">IFERROR(INDEX(INDIRECT("Ans" &amp; E115 &amp; "TBL"), MATCH(V115, INDEX(INDIRECT("Ans" &amp; E115 &amp; "TBL"), 0, 1), 0), 2), 0)</f>
        <v>0</v>
      </c>
      <c r="X115" s="342"/>
      <c r="Y115" s="575"/>
      <c r="Z115" s="575"/>
    </row>
    <row r="116" spans="1:26" ht="28.25" customHeight="1" x14ac:dyDescent="0.35">
      <c r="A116" s="87" t="str">
        <f>Interview!A170</f>
        <v>V-RT-B-2-1</v>
      </c>
      <c r="B116" s="601"/>
      <c r="C116" s="248">
        <f>INDEX('imp-questions'!E:E, MATCH(A116, 'imp-questions'!A:A, 0))</f>
        <v>2</v>
      </c>
      <c r="D116" s="300" t="str">
        <f>INDEX('imp-questions'!F:F, MATCH(A116, 'imp-questions'!A:A, 0))</f>
        <v>Do you create abuse cases from functional requirements and use them to drive security tests?</v>
      </c>
      <c r="E116" s="329" t="str">
        <f>CHAR(65+INDEX('imp-questions'!H:H, MATCH(A116, 'imp-questions'!A:A, 0)))</f>
        <v>E</v>
      </c>
      <c r="F116" s="287" t="str">
        <f>IF(ISBLANK(Interview!F170),"",Interview!F170)</f>
        <v/>
      </c>
      <c r="G116" s="346">
        <f ca="1">IFERROR(INDEX(INDIRECT("Ans" &amp; E116 &amp; "TBL"), MATCH(F116, INDEX(INDIRECT("Ans" &amp; E116 &amp; "TBL"), 0, 1), 0), 2), 0)</f>
        <v>0</v>
      </c>
      <c r="H116" s="345"/>
      <c r="I116" s="575"/>
      <c r="J116" s="387" t="str">
        <f>F116</f>
        <v/>
      </c>
      <c r="K116" s="346">
        <f ca="1">IFERROR(INDEX(INDIRECT("Ans" &amp; E116 &amp; "TBL"), MATCH(J116, INDEX(INDIRECT("Ans" &amp; E116 &amp; "TBL"), 0, 1), 0), 2), 0)</f>
        <v>0</v>
      </c>
      <c r="L116" s="345"/>
      <c r="M116" s="575"/>
      <c r="N116" s="387" t="str">
        <f>J116</f>
        <v/>
      </c>
      <c r="O116" s="344">
        <f ca="1">IFERROR(INDEX(INDIRECT("Ans" &amp; E116 &amp; "TBL"), MATCH(N116, INDEX(INDIRECT("Ans" &amp; E116 &amp; "TBL"), 0, 1), 0), 2), 0)</f>
        <v>0</v>
      </c>
      <c r="P116" s="345"/>
      <c r="Q116" s="575"/>
      <c r="R116" s="387" t="str">
        <f>N116</f>
        <v/>
      </c>
      <c r="S116" s="135">
        <f ca="1">IFERROR(INDEX(INDIRECT("Ans" &amp; E116 &amp; "TBL"), MATCH(R116, INDEX(INDIRECT("Ans" &amp; E116 &amp; "TBL"), 0, 1), 0), 2), 0)</f>
        <v>0</v>
      </c>
      <c r="T116" s="309"/>
      <c r="U116" s="575"/>
      <c r="V116" s="387" t="str">
        <f>R116</f>
        <v/>
      </c>
      <c r="W116" s="346">
        <f ca="1">IFERROR(INDEX(INDIRECT("Ans" &amp; E116 &amp; "TBL"), MATCH(V116, INDEX(INDIRECT("Ans" &amp; E116 &amp; "TBL"), 0, 1), 0), 2), 0)</f>
        <v>0</v>
      </c>
      <c r="X116" s="345"/>
      <c r="Y116" s="575"/>
      <c r="Z116" s="575"/>
    </row>
    <row r="117" spans="1:26" ht="28.25" customHeight="1" x14ac:dyDescent="0.35">
      <c r="A117" s="87" t="str">
        <f>Interview!A172</f>
        <v>V-RT-B-3-1</v>
      </c>
      <c r="B117" s="605"/>
      <c r="C117" s="248">
        <f>INDEX('imp-questions'!E:E, MATCH(A117, 'imp-questions'!A:A, 0))</f>
        <v>3</v>
      </c>
      <c r="D117" s="296" t="str">
        <f>INDEX('imp-questions'!F:F, MATCH(A117, 'imp-questions'!A:A, 0))</f>
        <v>Do you perform denial of service and security stress testing?</v>
      </c>
      <c r="E117" s="329" t="str">
        <f>CHAR(65+INDEX('imp-questions'!H:H, MATCH(A117, 'imp-questions'!A:A, 0)))</f>
        <v>E</v>
      </c>
      <c r="F117" s="287" t="str">
        <f>IF(ISBLANK(Interview!F172),"",Interview!F172)</f>
        <v/>
      </c>
      <c r="G117" s="349">
        <f ca="1">IFERROR(INDEX(INDIRECT("Ans" &amp; E117 &amp; "TBL"), MATCH(F117, INDEX(INDIRECT("Ans" &amp; E117 &amp; "TBL"), 0, 1), 0), 2), 0)</f>
        <v>0</v>
      </c>
      <c r="H117" s="348"/>
      <c r="I117" s="576"/>
      <c r="J117" s="387" t="str">
        <f>F117</f>
        <v/>
      </c>
      <c r="K117" s="349">
        <f ca="1">IFERROR(INDEX(INDIRECT("Ans" &amp; E117 &amp; "TBL"), MATCH(J117, INDEX(INDIRECT("Ans" &amp; E117 &amp; "TBL"), 0, 1), 0), 2), 0)</f>
        <v>0</v>
      </c>
      <c r="L117" s="348"/>
      <c r="M117" s="576"/>
      <c r="N117" s="387" t="str">
        <f>J117</f>
        <v/>
      </c>
      <c r="O117" s="347">
        <f ca="1">IFERROR(INDEX(INDIRECT("Ans" &amp; E117 &amp; "TBL"), MATCH(N117, INDEX(INDIRECT("Ans" &amp; E117 &amp; "TBL"), 0, 1), 0), 2), 0)</f>
        <v>0</v>
      </c>
      <c r="P117" s="348"/>
      <c r="Q117" s="576"/>
      <c r="R117" s="387" t="str">
        <f>N117</f>
        <v/>
      </c>
      <c r="S117" s="135">
        <f ca="1">IFERROR(INDEX(INDIRECT("Ans" &amp; E117 &amp; "TBL"), MATCH(R117, INDEX(INDIRECT("Ans" &amp; E117 &amp; "TBL"), 0, 1), 0), 2), 0)</f>
        <v>0</v>
      </c>
      <c r="T117" s="312"/>
      <c r="U117" s="576"/>
      <c r="V117" s="387" t="str">
        <f>R117</f>
        <v/>
      </c>
      <c r="W117" s="349">
        <f ca="1">IFERROR(INDEX(INDIRECT("Ans" &amp; E117 &amp; "TBL"), MATCH(V117, INDEX(INDIRECT("Ans" &amp; E117 &amp; "TBL"), 0, 1), 0), 2), 0)</f>
        <v>0</v>
      </c>
      <c r="X117" s="348"/>
      <c r="Y117" s="576"/>
      <c r="Z117" s="576"/>
    </row>
    <row r="118" spans="1:26" ht="13.05" customHeight="1" x14ac:dyDescent="0.35">
      <c r="B118" s="235"/>
      <c r="C118" s="236"/>
      <c r="D118" s="125"/>
      <c r="E118" s="125"/>
      <c r="F118" s="125"/>
      <c r="G118" s="125"/>
      <c r="H118" s="125"/>
      <c r="I118" s="125"/>
      <c r="J118" s="125"/>
      <c r="K118" s="125"/>
      <c r="L118" s="125"/>
      <c r="M118" s="125"/>
      <c r="N118" s="125"/>
      <c r="O118" s="125"/>
      <c r="P118" s="125"/>
      <c r="Q118" s="125"/>
      <c r="R118" s="125"/>
      <c r="S118" s="313"/>
      <c r="T118" s="125"/>
      <c r="U118" s="125"/>
      <c r="V118" s="125"/>
      <c r="W118" s="125"/>
      <c r="X118" s="125"/>
      <c r="Y118" s="125"/>
      <c r="Z118" s="125"/>
    </row>
    <row r="119" spans="1:26" ht="16.25" customHeight="1" x14ac:dyDescent="0.35">
      <c r="B119" s="246" t="s">
        <v>12</v>
      </c>
      <c r="C119" s="417" t="s">
        <v>13</v>
      </c>
      <c r="D119" s="249" t="s">
        <v>97</v>
      </c>
      <c r="E119" s="399"/>
      <c r="F119" s="401" t="s">
        <v>15</v>
      </c>
      <c r="G119" s="401"/>
      <c r="H119" s="402"/>
      <c r="I119" s="398" t="s">
        <v>17</v>
      </c>
      <c r="J119" s="400" t="s">
        <v>15</v>
      </c>
      <c r="K119" s="401"/>
      <c r="L119" s="402"/>
      <c r="M119" s="398" t="s">
        <v>17</v>
      </c>
      <c r="N119" s="400" t="s">
        <v>15</v>
      </c>
      <c r="O119" s="401"/>
      <c r="P119" s="402"/>
      <c r="Q119" s="398" t="s">
        <v>17</v>
      </c>
      <c r="R119" s="400" t="s">
        <v>15</v>
      </c>
      <c r="S119" s="401"/>
      <c r="T119" s="402"/>
      <c r="U119" s="398" t="s">
        <v>17</v>
      </c>
      <c r="V119" s="401" t="s">
        <v>15</v>
      </c>
      <c r="W119" s="401"/>
      <c r="X119" s="402"/>
      <c r="Y119" s="398" t="s">
        <v>17</v>
      </c>
      <c r="Z119" s="398" t="s">
        <v>253</v>
      </c>
    </row>
    <row r="120" spans="1:26" ht="28.25" customHeight="1" x14ac:dyDescent="0.35">
      <c r="A120" s="87" t="str">
        <f>Interview!A175</f>
        <v>V-ST-A-1-1</v>
      </c>
      <c r="B120" s="607" t="str">
        <f>INDEX('imp-questions'!D:D, MATCH(A120, 'imp-questions'!A:A, 0))</f>
        <v>Scalable Baseline</v>
      </c>
      <c r="C120" s="248">
        <f>INDEX('imp-questions'!E:E, MATCH(A120, 'imp-questions'!A:A, 0))</f>
        <v>1</v>
      </c>
      <c r="D120" s="300" t="str">
        <f>INDEX('imp-questions'!F:F, MATCH(A120, 'imp-questions'!A:A, 0))</f>
        <v>Do you scan applications with automated security testing tools?</v>
      </c>
      <c r="E120" s="329" t="str">
        <f>CHAR(65+INDEX('imp-questions'!H:H, MATCH(A120, 'imp-questions'!A:A, 0)))</f>
        <v>B</v>
      </c>
      <c r="F120" s="287" t="str">
        <f>IF(ISBLANK(Interview!F175),"",Interview!F175)</f>
        <v/>
      </c>
      <c r="G120" s="343">
        <f ca="1">IFERROR(INDEX(INDIRECT("Ans" &amp; E120 &amp; "TBL"), MATCH(F120, INDEX(INDIRECT("Ans" &amp; E120 &amp; "TBL"), 0, 1), 0), 2), 0)</f>
        <v>0</v>
      </c>
      <c r="H120" s="358">
        <f ca="1">IFERROR(AVERAGE(G120,G124),0)</f>
        <v>0</v>
      </c>
      <c r="I120" s="577">
        <f ca="1">SUM(H120:H122)</f>
        <v>0</v>
      </c>
      <c r="J120" s="387" t="str">
        <f>F120</f>
        <v/>
      </c>
      <c r="K120" s="343">
        <f ca="1">IFERROR(INDEX(INDIRECT("Ans" &amp; E120 &amp; "TBL"), MATCH(J120, INDEX(INDIRECT("Ans" &amp; E120 &amp; "TBL"), 0, 1), 0), 2), 0)</f>
        <v>0</v>
      </c>
      <c r="L120" s="358">
        <f ca="1">IFERROR(AVERAGE(K120,K124),0)</f>
        <v>0</v>
      </c>
      <c r="M120" s="577">
        <f ca="1">SUM(L120:L122)</f>
        <v>0</v>
      </c>
      <c r="N120" s="387" t="str">
        <f>J120</f>
        <v/>
      </c>
      <c r="O120" s="341">
        <f ca="1">IFERROR(INDEX(INDIRECT("Ans" &amp; E120 &amp; "TBL"), MATCH(N120, INDEX(INDIRECT("Ans" &amp; E120 &amp; "TBL"), 0, 1), 0), 2), 0)</f>
        <v>0</v>
      </c>
      <c r="P120" s="358">
        <f ca="1">IFERROR(AVERAGE(O120,O124),0)</f>
        <v>0</v>
      </c>
      <c r="Q120" s="577">
        <f ca="1">SUM(P120:P122)</f>
        <v>0</v>
      </c>
      <c r="R120" s="387" t="str">
        <f>N120</f>
        <v/>
      </c>
      <c r="S120" s="135">
        <f ca="1">IFERROR(INDEX(INDIRECT("Ans" &amp; E120 &amp; "TBL"), MATCH(R120, INDEX(INDIRECT("Ans" &amp; E120 &amp; "TBL"), 0, 1), 0), 2), 0)</f>
        <v>0</v>
      </c>
      <c r="T120" s="359">
        <f ca="1">IFERROR(AVERAGE(S120,S124),0)</f>
        <v>0</v>
      </c>
      <c r="U120" s="577">
        <f ca="1">SUM(T120:T122)</f>
        <v>0</v>
      </c>
      <c r="V120" s="387" t="str">
        <f>R120</f>
        <v/>
      </c>
      <c r="W120" s="341">
        <f ca="1">IFERROR(INDEX(INDIRECT("Ans" &amp; E120 &amp; "TBL"), MATCH(V120, INDEX(INDIRECT("Ans" &amp; E120 &amp; "TBL"), 0, 1), 0), 2), 0)</f>
        <v>0</v>
      </c>
      <c r="X120" s="358">
        <f ca="1">IFERROR(AVERAGE(W120,W124),0)</f>
        <v>0</v>
      </c>
      <c r="Y120" s="577">
        <f ca="1">SUM(X120:X122)</f>
        <v>0</v>
      </c>
      <c r="Z120" s="577">
        <f ca="1">IFERROR(Y120-I120,Y120-LEFT(I120,1))</f>
        <v>0</v>
      </c>
    </row>
    <row r="121" spans="1:26" ht="28.25" customHeight="1" x14ac:dyDescent="0.35">
      <c r="A121" s="87" t="str">
        <f>Interview!A177</f>
        <v>V-ST-A-2-1</v>
      </c>
      <c r="B121" s="601"/>
      <c r="C121" s="248">
        <f>INDEX('imp-questions'!E:E, MATCH(A121, 'imp-questions'!A:A, 0))</f>
        <v>2</v>
      </c>
      <c r="D121" s="300" t="str">
        <f>INDEX('imp-questions'!F:F, MATCH(A121, 'imp-questions'!A:A, 0))</f>
        <v>Do you customize the automated security tools to your applications and technology stacks?</v>
      </c>
      <c r="E121" s="329" t="str">
        <f>CHAR(65+INDEX('imp-questions'!H:H, MATCH(A121, 'imp-questions'!A:A, 0)))</f>
        <v>B</v>
      </c>
      <c r="F121" s="287" t="str">
        <f>IF(ISBLANK(Interview!F177),"",Interview!F177)</f>
        <v/>
      </c>
      <c r="G121" s="346">
        <f ca="1">IFERROR(INDEX(INDIRECT("Ans" &amp; E121 &amp; "TBL"), MATCH(F121, INDEX(INDIRECT("Ans" &amp; E121 &amp; "TBL"), 0, 1), 0), 2), 0)</f>
        <v>0</v>
      </c>
      <c r="H121" s="360">
        <f ca="1">IFERROR(AVERAGE(G121,G125),0)</f>
        <v>0</v>
      </c>
      <c r="I121" s="575"/>
      <c r="J121" s="387" t="str">
        <f>F121</f>
        <v/>
      </c>
      <c r="K121" s="346">
        <f ca="1">IFERROR(INDEX(INDIRECT("Ans" &amp; E121 &amp; "TBL"), MATCH(J121, INDEX(INDIRECT("Ans" &amp; E121 &amp; "TBL"), 0, 1), 0), 2), 0)</f>
        <v>0</v>
      </c>
      <c r="L121" s="360">
        <f ca="1">IFERROR(AVERAGE(K121,K125),0)</f>
        <v>0</v>
      </c>
      <c r="M121" s="575"/>
      <c r="N121" s="387" t="str">
        <f>J121</f>
        <v/>
      </c>
      <c r="O121" s="344">
        <f ca="1">IFERROR(INDEX(INDIRECT("Ans" &amp; E121 &amp; "TBL"), MATCH(N121, INDEX(INDIRECT("Ans" &amp; E121 &amp; "TBL"), 0, 1), 0), 2), 0)</f>
        <v>0</v>
      </c>
      <c r="P121" s="360">
        <f ca="1">IFERROR(AVERAGE(O121,O125),0)</f>
        <v>0</v>
      </c>
      <c r="Q121" s="575"/>
      <c r="R121" s="387" t="str">
        <f>N121</f>
        <v/>
      </c>
      <c r="S121" s="135">
        <f ca="1">IFERROR(INDEX(INDIRECT("Ans" &amp; E121 &amp; "TBL"), MATCH(R121, INDEX(INDIRECT("Ans" &amp; E121 &amp; "TBL"), 0, 1), 0), 2), 0)</f>
        <v>0</v>
      </c>
      <c r="T121" s="361">
        <f ca="1">IFERROR(AVERAGE(S121,S125),0)</f>
        <v>0</v>
      </c>
      <c r="U121" s="575"/>
      <c r="V121" s="387" t="str">
        <f>R121</f>
        <v/>
      </c>
      <c r="W121" s="344">
        <f ca="1">IFERROR(INDEX(INDIRECT("Ans" &amp; E121 &amp; "TBL"), MATCH(V121, INDEX(INDIRECT("Ans" &amp; E121 &amp; "TBL"), 0, 1), 0), 2), 0)</f>
        <v>0</v>
      </c>
      <c r="X121" s="360">
        <f ca="1">IFERROR(AVERAGE(W121,W125),0)</f>
        <v>0</v>
      </c>
      <c r="Y121" s="575"/>
      <c r="Z121" s="575"/>
    </row>
    <row r="122" spans="1:26" ht="28.25" customHeight="1" x14ac:dyDescent="0.35">
      <c r="A122" s="87" t="str">
        <f>Interview!A179</f>
        <v>V-ST-A-3-1</v>
      </c>
      <c r="B122" s="605"/>
      <c r="C122" s="248">
        <f>INDEX('imp-questions'!E:E, MATCH(A122, 'imp-questions'!A:A, 0))</f>
        <v>3</v>
      </c>
      <c r="D122" s="296" t="str">
        <f>INDEX('imp-questions'!F:F, MATCH(A122, 'imp-questions'!A:A, 0))</f>
        <v>Do you integrate automated security testing into the build and deploy process?</v>
      </c>
      <c r="E122" s="329" t="str">
        <f>CHAR(65+INDEX('imp-questions'!H:H, MATCH(A122, 'imp-questions'!A:A, 0)))</f>
        <v>W</v>
      </c>
      <c r="F122" s="287" t="str">
        <f>IF(ISBLANK(Interview!F179),"",Interview!F179)</f>
        <v/>
      </c>
      <c r="G122" s="349">
        <f ca="1">IFERROR(INDEX(INDIRECT("Ans" &amp; E122 &amp; "TBL"), MATCH(F122, INDEX(INDIRECT("Ans" &amp; E122 &amp; "TBL"), 0, 1), 0), 2), 0)</f>
        <v>0</v>
      </c>
      <c r="H122" s="364">
        <f ca="1">IFERROR(AVERAGE(G122,G126),0)</f>
        <v>0</v>
      </c>
      <c r="I122" s="575"/>
      <c r="J122" s="387" t="str">
        <f>F122</f>
        <v/>
      </c>
      <c r="K122" s="349">
        <f ca="1">IFERROR(INDEX(INDIRECT("Ans" &amp; E122 &amp; "TBL"), MATCH(J122, INDEX(INDIRECT("Ans" &amp; E122 &amp; "TBL"), 0, 1), 0), 2), 0)</f>
        <v>0</v>
      </c>
      <c r="L122" s="364">
        <f ca="1">IFERROR(AVERAGE(K122,K126),0)</f>
        <v>0</v>
      </c>
      <c r="M122" s="575"/>
      <c r="N122" s="387" t="str">
        <f>J122</f>
        <v/>
      </c>
      <c r="O122" s="347">
        <f ca="1">IFERROR(INDEX(INDIRECT("Ans" &amp; E122 &amp; "TBL"), MATCH(N122, INDEX(INDIRECT("Ans" &amp; E122 &amp; "TBL"), 0, 1), 0), 2), 0)</f>
        <v>0</v>
      </c>
      <c r="P122" s="364">
        <f ca="1">IFERROR(AVERAGE(O122,O126),0)</f>
        <v>0</v>
      </c>
      <c r="Q122" s="575"/>
      <c r="R122" s="387" t="str">
        <f>N122</f>
        <v/>
      </c>
      <c r="S122" s="135">
        <f ca="1">IFERROR(INDEX(INDIRECT("Ans" &amp; E122 &amp; "TBL"), MATCH(R122, INDEX(INDIRECT("Ans" &amp; E122 &amp; "TBL"), 0, 1), 0), 2), 0)</f>
        <v>0</v>
      </c>
      <c r="T122" s="365">
        <f ca="1">IFERROR(AVERAGE(S122,S126),0)</f>
        <v>0</v>
      </c>
      <c r="U122" s="575"/>
      <c r="V122" s="387" t="str">
        <f>R122</f>
        <v/>
      </c>
      <c r="W122" s="347">
        <f ca="1">IFERROR(INDEX(INDIRECT("Ans" &amp; E122 &amp; "TBL"), MATCH(V122, INDEX(INDIRECT("Ans" &amp; E122 &amp; "TBL"), 0, 1), 0), 2), 0)</f>
        <v>0</v>
      </c>
      <c r="X122" s="364">
        <f ca="1">IFERROR(AVERAGE(W122,W126),0)</f>
        <v>0</v>
      </c>
      <c r="Y122" s="575"/>
      <c r="Z122" s="575"/>
    </row>
    <row r="123" spans="1:26" ht="13.05" customHeight="1" x14ac:dyDescent="0.35">
      <c r="B123" s="235"/>
      <c r="C123" s="236"/>
      <c r="D123" s="125"/>
      <c r="E123" s="153"/>
      <c r="F123" s="153"/>
      <c r="G123" s="153"/>
      <c r="H123" s="153"/>
      <c r="I123" s="575"/>
      <c r="J123" s="125"/>
      <c r="K123" s="153"/>
      <c r="L123" s="153"/>
      <c r="M123" s="575"/>
      <c r="N123" s="125"/>
      <c r="O123" s="153"/>
      <c r="P123" s="153"/>
      <c r="Q123" s="575"/>
      <c r="R123" s="125"/>
      <c r="S123" s="153"/>
      <c r="T123" s="153"/>
      <c r="U123" s="575"/>
      <c r="V123" s="125"/>
      <c r="W123" s="153"/>
      <c r="X123" s="153"/>
      <c r="Y123" s="575"/>
      <c r="Z123" s="575"/>
    </row>
    <row r="124" spans="1:26" ht="28.25" customHeight="1" x14ac:dyDescent="0.35">
      <c r="A124" s="87" t="str">
        <f>Interview!A182</f>
        <v>V-ST-B-1-1</v>
      </c>
      <c r="B124" s="607" t="str">
        <f>INDEX('imp-questions'!D:D, MATCH(A124, 'imp-questions'!A:A, 0))</f>
        <v>Deep Understanding</v>
      </c>
      <c r="C124" s="248">
        <f>INDEX('imp-questions'!E:E, MATCH(A124, 'imp-questions'!A:A, 0))</f>
        <v>1</v>
      </c>
      <c r="D124" s="300" t="str">
        <f>INDEX('imp-questions'!F:F, MATCH(A124, 'imp-questions'!A:A, 0))</f>
        <v>Do you manually review the security quality of selected high-risk components?</v>
      </c>
      <c r="E124" s="329" t="str">
        <f>CHAR(65+INDEX('imp-questions'!H:H, MATCH(A124, 'imp-questions'!A:A, 0)))</f>
        <v>G</v>
      </c>
      <c r="F124" s="287" t="str">
        <f>IF(ISBLANK(Interview!F182),"",Interview!F182)</f>
        <v/>
      </c>
      <c r="G124" s="343">
        <f ca="1">IFERROR(INDEX(INDIRECT("Ans" &amp; E124 &amp; "TBL"), MATCH(F124, INDEX(INDIRECT("Ans" &amp; E124 &amp; "TBL"), 0, 1), 0), 2), 0)</f>
        <v>0</v>
      </c>
      <c r="H124" s="342"/>
      <c r="I124" s="575"/>
      <c r="J124" s="387" t="str">
        <f>F124</f>
        <v/>
      </c>
      <c r="K124" s="343">
        <f ca="1">IFERROR(INDEX(INDIRECT("Ans" &amp; E124 &amp; "TBL"), MATCH(J124, INDEX(INDIRECT("Ans" &amp; E124 &amp; "TBL"), 0, 1), 0), 2), 0)</f>
        <v>0</v>
      </c>
      <c r="L124" s="342"/>
      <c r="M124" s="575"/>
      <c r="N124" s="387" t="str">
        <f>J124</f>
        <v/>
      </c>
      <c r="O124" s="341">
        <f ca="1">IFERROR(INDEX(INDIRECT("Ans" &amp; E124 &amp; "TBL"), MATCH(N124, INDEX(INDIRECT("Ans" &amp; E124 &amp; "TBL"), 0, 1), 0), 2), 0)</f>
        <v>0</v>
      </c>
      <c r="P124" s="342"/>
      <c r="Q124" s="575"/>
      <c r="R124" s="387" t="str">
        <f>N124</f>
        <v/>
      </c>
      <c r="S124" s="135">
        <f ca="1">IFERROR(INDEX(INDIRECT("Ans" &amp; E124 &amp; "TBL"), MATCH(R124, INDEX(INDIRECT("Ans" &amp; E124 &amp; "TBL"), 0, 1), 0), 2), 0)</f>
        <v>0</v>
      </c>
      <c r="T124" s="326"/>
      <c r="U124" s="575"/>
      <c r="V124" s="387" t="str">
        <f>R124</f>
        <v/>
      </c>
      <c r="W124" s="343">
        <f ca="1">IFERROR(INDEX(INDIRECT("Ans" &amp; E124 &amp; "TBL"), MATCH(V124, INDEX(INDIRECT("Ans" &amp; E124 &amp; "TBL"), 0, 1), 0), 2), 0)</f>
        <v>0</v>
      </c>
      <c r="X124" s="342"/>
      <c r="Y124" s="575"/>
      <c r="Z124" s="575"/>
    </row>
    <row r="125" spans="1:26" ht="28.25" customHeight="1" x14ac:dyDescent="0.35">
      <c r="A125" s="87" t="str">
        <f>Interview!A184</f>
        <v>V-ST-B-2-1</v>
      </c>
      <c r="B125" s="601"/>
      <c r="C125" s="248">
        <f>INDEX('imp-questions'!E:E, MATCH(A125, 'imp-questions'!A:A, 0))</f>
        <v>2</v>
      </c>
      <c r="D125" s="300" t="str">
        <f>INDEX('imp-questions'!F:F, MATCH(A125, 'imp-questions'!A:A, 0))</f>
        <v>Do you perform penetration testing for your applications at regular intervals?</v>
      </c>
      <c r="E125" s="329" t="str">
        <f>CHAR(65+INDEX('imp-questions'!H:H, MATCH(A125, 'imp-questions'!A:A, 0)))</f>
        <v>A</v>
      </c>
      <c r="F125" s="287" t="str">
        <f>IF(ISBLANK(Interview!F184),"",Interview!F184)</f>
        <v/>
      </c>
      <c r="G125" s="346">
        <f ca="1">IFERROR(INDEX(INDIRECT("Ans" &amp; E125 &amp; "TBL"), MATCH(F125, INDEX(INDIRECT("Ans" &amp; E125 &amp; "TBL"), 0, 1), 0), 2), 0)</f>
        <v>0</v>
      </c>
      <c r="H125" s="345"/>
      <c r="I125" s="575"/>
      <c r="J125" s="387" t="str">
        <f>F125</f>
        <v/>
      </c>
      <c r="K125" s="346">
        <f ca="1">IFERROR(INDEX(INDIRECT("Ans" &amp; E125 &amp; "TBL"), MATCH(J125, INDEX(INDIRECT("Ans" &amp; E125 &amp; "TBL"), 0, 1), 0), 2), 0)</f>
        <v>0</v>
      </c>
      <c r="L125" s="345"/>
      <c r="M125" s="575"/>
      <c r="N125" s="387" t="str">
        <f>J125</f>
        <v/>
      </c>
      <c r="O125" s="344">
        <f ca="1">IFERROR(INDEX(INDIRECT("Ans" &amp; E125 &amp; "TBL"), MATCH(N125, INDEX(INDIRECT("Ans" &amp; E125 &amp; "TBL"), 0, 1), 0), 2), 0)</f>
        <v>0</v>
      </c>
      <c r="P125" s="345"/>
      <c r="Q125" s="575"/>
      <c r="R125" s="387" t="str">
        <f>N125</f>
        <v/>
      </c>
      <c r="S125" s="135">
        <f ca="1">IFERROR(INDEX(INDIRECT("Ans" &amp; E125 &amp; "TBL"), MATCH(R125, INDEX(INDIRECT("Ans" &amp; E125 &amp; "TBL"), 0, 1), 0), 2), 0)</f>
        <v>0</v>
      </c>
      <c r="T125" s="309"/>
      <c r="U125" s="575"/>
      <c r="V125" s="387" t="str">
        <f>R125</f>
        <v/>
      </c>
      <c r="W125" s="346">
        <f ca="1">IFERROR(INDEX(INDIRECT("Ans" &amp; E125 &amp; "TBL"), MATCH(V125, INDEX(INDIRECT("Ans" &amp; E125 &amp; "TBL"), 0, 1), 0), 2), 0)</f>
        <v>0</v>
      </c>
      <c r="X125" s="345"/>
      <c r="Y125" s="575"/>
      <c r="Z125" s="575"/>
    </row>
    <row r="126" spans="1:26" ht="28.25" customHeight="1" x14ac:dyDescent="0.35">
      <c r="A126" s="87" t="str">
        <f>Interview!A186</f>
        <v>V-ST-B-3-1</v>
      </c>
      <c r="B126" s="605"/>
      <c r="C126" s="248">
        <f>INDEX('imp-questions'!E:E, MATCH(A126, 'imp-questions'!A:A, 0))</f>
        <v>3</v>
      </c>
      <c r="D126" s="296" t="str">
        <f>INDEX('imp-questions'!F:F, MATCH(A126, 'imp-questions'!A:A, 0))</f>
        <v>Do you use the results of security testing to improve the development lifecycle?</v>
      </c>
      <c r="E126" s="329" t="str">
        <f>CHAR(65+INDEX('imp-questions'!H:H, MATCH(A126, 'imp-questions'!A:A, 0)))</f>
        <v>X</v>
      </c>
      <c r="F126" s="287" t="str">
        <f>IF(ISBLANK(Interview!F186),"",Interview!F186)</f>
        <v/>
      </c>
      <c r="G126" s="349">
        <f ca="1">IFERROR(INDEX(INDIRECT("Ans" &amp; E126 &amp; "TBL"), MATCH(F126, INDEX(INDIRECT("Ans" &amp; E126 &amp; "TBL"), 0, 1), 0), 2), 0)</f>
        <v>0</v>
      </c>
      <c r="H126" s="348"/>
      <c r="I126" s="471"/>
      <c r="J126" s="387" t="str">
        <f>F126</f>
        <v/>
      </c>
      <c r="K126" s="349">
        <f ca="1">IFERROR(INDEX(INDIRECT("Ans" &amp; E126 &amp; "TBL"), MATCH(J126, INDEX(INDIRECT("Ans" &amp; E126 &amp; "TBL"), 0, 1), 0), 2), 0)</f>
        <v>0</v>
      </c>
      <c r="L126" s="348"/>
      <c r="M126" s="471"/>
      <c r="N126" s="387" t="str">
        <f>J126</f>
        <v/>
      </c>
      <c r="O126" s="347">
        <f ca="1">IFERROR(INDEX(INDIRECT("Ans" &amp; E126 &amp; "TBL"), MATCH(N126, INDEX(INDIRECT("Ans" &amp; E126 &amp; "TBL"), 0, 1), 0), 2), 0)</f>
        <v>0</v>
      </c>
      <c r="P126" s="348"/>
      <c r="Q126" s="471"/>
      <c r="R126" s="387" t="str">
        <f>N126</f>
        <v/>
      </c>
      <c r="S126" s="135">
        <f ca="1">IFERROR(INDEX(INDIRECT("Ans" &amp; E126 &amp; "TBL"), MATCH(R126, INDEX(INDIRECT("Ans" &amp; E126 &amp; "TBL"), 0, 1), 0), 2), 0)</f>
        <v>0</v>
      </c>
      <c r="T126" s="312"/>
      <c r="U126" s="471"/>
      <c r="V126" s="387" t="str">
        <f>R126</f>
        <v/>
      </c>
      <c r="W126" s="349">
        <f ca="1">IFERROR(INDEX(INDIRECT("Ans" &amp; E126 &amp; "TBL"), MATCH(V126, INDEX(INDIRECT("Ans" &amp; E126 &amp; "TBL"), 0, 1), 0), 2), 0)</f>
        <v>0</v>
      </c>
      <c r="X126" s="348"/>
      <c r="Y126" s="471"/>
      <c r="Z126" s="471"/>
    </row>
    <row r="127" spans="1:26" ht="13.05" customHeight="1" x14ac:dyDescent="0.35">
      <c r="B127" s="235"/>
      <c r="C127" s="236"/>
      <c r="D127" s="125"/>
      <c r="E127" s="125"/>
      <c r="F127" s="125"/>
      <c r="G127" s="125"/>
      <c r="H127" s="125"/>
      <c r="I127" s="125"/>
      <c r="J127" s="125"/>
      <c r="K127" s="125"/>
      <c r="L127" s="125"/>
      <c r="M127" s="125"/>
      <c r="N127" s="125"/>
      <c r="O127" s="125"/>
      <c r="P127" s="125"/>
      <c r="Q127" s="125"/>
      <c r="R127" s="125"/>
      <c r="S127" s="313"/>
      <c r="T127" s="125"/>
      <c r="U127" s="125"/>
      <c r="V127" s="125"/>
      <c r="W127" s="125"/>
      <c r="X127" s="125"/>
      <c r="Y127" s="125"/>
      <c r="Z127" s="125"/>
    </row>
    <row r="128" spans="1:26" ht="21.75" customHeight="1" x14ac:dyDescent="0.35">
      <c r="B128" s="625" t="s">
        <v>104</v>
      </c>
      <c r="C128" s="535"/>
      <c r="D128" s="535"/>
      <c r="E128" s="403"/>
      <c r="F128" s="599" t="s">
        <v>248</v>
      </c>
      <c r="G128" s="535"/>
      <c r="H128" s="535"/>
      <c r="I128" s="535"/>
      <c r="J128" s="595" t="s">
        <v>249</v>
      </c>
      <c r="K128" s="535"/>
      <c r="L128" s="535"/>
      <c r="M128" s="594"/>
      <c r="N128" s="595" t="s">
        <v>250</v>
      </c>
      <c r="O128" s="535"/>
      <c r="P128" s="535"/>
      <c r="Q128" s="594"/>
      <c r="R128" s="595" t="s">
        <v>251</v>
      </c>
      <c r="S128" s="535"/>
      <c r="T128" s="535"/>
      <c r="U128" s="594"/>
      <c r="V128" s="580" t="s">
        <v>252</v>
      </c>
      <c r="W128" s="535"/>
      <c r="X128" s="535"/>
      <c r="Y128" s="535"/>
      <c r="Z128" s="535"/>
    </row>
    <row r="129" spans="1:26" x14ac:dyDescent="0.35">
      <c r="B129" s="250" t="s">
        <v>12</v>
      </c>
      <c r="C129" s="418" t="s">
        <v>13</v>
      </c>
      <c r="D129" s="251" t="s">
        <v>105</v>
      </c>
      <c r="E129" s="404"/>
      <c r="F129" s="405" t="s">
        <v>15</v>
      </c>
      <c r="G129" s="406"/>
      <c r="H129" s="407"/>
      <c r="I129" s="408" t="s">
        <v>17</v>
      </c>
      <c r="J129" s="405" t="s">
        <v>15</v>
      </c>
      <c r="K129" s="406"/>
      <c r="L129" s="407"/>
      <c r="M129" s="408" t="s">
        <v>17</v>
      </c>
      <c r="N129" s="405" t="s">
        <v>15</v>
      </c>
      <c r="O129" s="406"/>
      <c r="P129" s="407"/>
      <c r="Q129" s="408" t="s">
        <v>17</v>
      </c>
      <c r="R129" s="405" t="s">
        <v>15</v>
      </c>
      <c r="S129" s="406"/>
      <c r="T129" s="407"/>
      <c r="U129" s="408" t="s">
        <v>17</v>
      </c>
      <c r="V129" s="405" t="s">
        <v>15</v>
      </c>
      <c r="W129" s="406"/>
      <c r="X129" s="407"/>
      <c r="Y129" s="408" t="s">
        <v>17</v>
      </c>
      <c r="Z129" s="408" t="s">
        <v>253</v>
      </c>
    </row>
    <row r="130" spans="1:26" ht="28.25" customHeight="1" x14ac:dyDescent="0.35">
      <c r="A130" s="87" t="str">
        <f>Interview!A190</f>
        <v>O-IM-A-1-1</v>
      </c>
      <c r="B130" s="600" t="str">
        <f>INDEX('imp-questions'!D:D, MATCH(A130, 'imp-questions'!A:A, 0))</f>
        <v>Incident Detection</v>
      </c>
      <c r="C130" s="252">
        <f>INDEX('imp-questions'!E:E, MATCH(A130, 'imp-questions'!A:A, 0))</f>
        <v>1</v>
      </c>
      <c r="D130" s="300" t="str">
        <f>INDEX('imp-questions'!F:F, MATCH(A130, 'imp-questions'!A:A, 0))</f>
        <v>Do you analyze log data for security incidents periodically?</v>
      </c>
      <c r="E130" s="329" t="str">
        <f>CHAR(65+INDEX('imp-questions'!H:H, MATCH(A130, 'imp-questions'!A:A, 0)))</f>
        <v>A</v>
      </c>
      <c r="F130" s="287" t="str">
        <f>IF(ISBLANK(Interview!F190),"",Interview!F190)</f>
        <v/>
      </c>
      <c r="G130" s="343">
        <f ca="1">IFERROR(INDEX(INDIRECT("Ans" &amp; E130 &amp; "TBL"), MATCH(F130, INDEX(INDIRECT("Ans" &amp; E130 &amp; "TBL"), 0, 1), 0), 2), 0)</f>
        <v>0</v>
      </c>
      <c r="H130" s="358">
        <f ca="1">IFERROR(AVERAGE(G130,G134),0)</f>
        <v>0</v>
      </c>
      <c r="I130" s="578">
        <f ca="1">SUM(H130:H132)</f>
        <v>0</v>
      </c>
      <c r="J130" s="287" t="str">
        <f>F130</f>
        <v/>
      </c>
      <c r="K130" s="343">
        <f ca="1">IFERROR(INDEX(INDIRECT("Ans" &amp; E130 &amp; "TBL"), MATCH(J130, INDEX(INDIRECT("Ans" &amp; E130 &amp; "TBL"), 0, 1), 0), 2), 0)</f>
        <v>0</v>
      </c>
      <c r="L130" s="358">
        <f ca="1">IFERROR(AVERAGE(K130,K134),0)</f>
        <v>0</v>
      </c>
      <c r="M130" s="578">
        <f ca="1">SUM(L130:L132)</f>
        <v>0</v>
      </c>
      <c r="N130" s="287" t="str">
        <f>J130</f>
        <v/>
      </c>
      <c r="O130" s="341">
        <f ca="1">IFERROR(INDEX(INDIRECT("Ans" &amp; E130 &amp; "TBL"), MATCH(N130, INDEX(INDIRECT("Ans" &amp; E130 &amp; "TBL"), 0, 1), 0), 2), 0)</f>
        <v>0</v>
      </c>
      <c r="P130" s="358">
        <f ca="1">IFERROR(AVERAGE(O130,O134),0)</f>
        <v>0</v>
      </c>
      <c r="Q130" s="578">
        <f ca="1">SUM(P130:P132)</f>
        <v>0</v>
      </c>
      <c r="R130" s="287" t="str">
        <f>N130</f>
        <v/>
      </c>
      <c r="S130" s="135">
        <f ca="1">IFERROR(INDEX(INDIRECT("Ans" &amp; E130 &amp; "TBL"), MATCH(R130, INDEX(INDIRECT("Ans" &amp; E130 &amp; "TBL"), 0, 1), 0), 2), 0)</f>
        <v>0</v>
      </c>
      <c r="T130" s="359">
        <f ca="1">IFERROR(AVERAGE(S130,S134),0)</f>
        <v>0</v>
      </c>
      <c r="U130" s="578">
        <f ca="1">SUM(T130:T132)</f>
        <v>0</v>
      </c>
      <c r="V130" s="287" t="str">
        <f>R130</f>
        <v/>
      </c>
      <c r="W130" s="343">
        <f ca="1">IFERROR(INDEX(INDIRECT("Ans" &amp; E130 &amp; "TBL"), MATCH(V130, INDEX(INDIRECT("Ans" &amp; E130 &amp; "TBL"), 0, 1), 0), 2), 0)</f>
        <v>0</v>
      </c>
      <c r="X130" s="358">
        <f ca="1">IFERROR(AVERAGE(W130,W134),0)</f>
        <v>0</v>
      </c>
      <c r="Y130" s="578">
        <f ca="1">SUM(X130:X132)</f>
        <v>0</v>
      </c>
      <c r="Z130" s="578">
        <f ca="1">IFERROR(Y130-I130,Y130-LEFT(I130,1))</f>
        <v>0</v>
      </c>
    </row>
    <row r="131" spans="1:26" ht="28.25" customHeight="1" x14ac:dyDescent="0.35">
      <c r="A131" s="87" t="str">
        <f>Interview!A192</f>
        <v>O-IM-A-2-1</v>
      </c>
      <c r="B131" s="601"/>
      <c r="C131" s="252">
        <f>INDEX('imp-questions'!E:E, MATCH(A131, 'imp-questions'!A:A, 0))</f>
        <v>2</v>
      </c>
      <c r="D131" s="300" t="str">
        <f>INDEX('imp-questions'!F:F, MATCH(A131, 'imp-questions'!A:A, 0))</f>
        <v>Do you follow a documented process for incident detection?</v>
      </c>
      <c r="E131" s="329" t="str">
        <f>CHAR(65+INDEX('imp-questions'!H:H, MATCH(A131, 'imp-questions'!A:A, 0)))</f>
        <v>A</v>
      </c>
      <c r="F131" s="287" t="str">
        <f>IF(ISBLANK(Interview!F192),"",Interview!F192)</f>
        <v/>
      </c>
      <c r="G131" s="346">
        <f ca="1">IFERROR(INDEX(INDIRECT("Ans" &amp; E131 &amp; "TBL"), MATCH(F131, INDEX(INDIRECT("Ans" &amp; E131 &amp; "TBL"), 0, 1), 0), 2), 0)</f>
        <v>0</v>
      </c>
      <c r="H131" s="360">
        <f ca="1">IFERROR(AVERAGE(G131,G135),0)</f>
        <v>0</v>
      </c>
      <c r="I131" s="575"/>
      <c r="J131" s="287" t="str">
        <f>F131</f>
        <v/>
      </c>
      <c r="K131" s="346">
        <f ca="1">IFERROR(INDEX(INDIRECT("Ans" &amp; E131 &amp; "TBL"), MATCH(J131, INDEX(INDIRECT("Ans" &amp; E131 &amp; "TBL"), 0, 1), 0), 2), 0)</f>
        <v>0</v>
      </c>
      <c r="L131" s="360">
        <f ca="1">IFERROR(AVERAGE(K131,K135),0)</f>
        <v>0</v>
      </c>
      <c r="M131" s="575"/>
      <c r="N131" s="287" t="str">
        <f>J131</f>
        <v/>
      </c>
      <c r="O131" s="344">
        <f ca="1">IFERROR(INDEX(INDIRECT("Ans" &amp; E131 &amp; "TBL"), MATCH(N131, INDEX(INDIRECT("Ans" &amp; E131 &amp; "TBL"), 0, 1), 0), 2), 0)</f>
        <v>0</v>
      </c>
      <c r="P131" s="360">
        <f ca="1">IFERROR(AVERAGE(O131,O135),0)</f>
        <v>0</v>
      </c>
      <c r="Q131" s="575"/>
      <c r="R131" s="287" t="str">
        <f>N131</f>
        <v/>
      </c>
      <c r="S131" s="135">
        <f ca="1">IFERROR(INDEX(INDIRECT("Ans" &amp; E131 &amp; "TBL"), MATCH(R131, INDEX(INDIRECT("Ans" &amp; E131 &amp; "TBL"), 0, 1), 0), 2), 0)</f>
        <v>0</v>
      </c>
      <c r="T131" s="361">
        <f ca="1">IFERROR(AVERAGE(S131,S135),0)</f>
        <v>0</v>
      </c>
      <c r="U131" s="575"/>
      <c r="V131" s="287" t="str">
        <f>R131</f>
        <v/>
      </c>
      <c r="W131" s="346">
        <f ca="1">IFERROR(INDEX(INDIRECT("Ans" &amp; E131 &amp; "TBL"), MATCH(V131, INDEX(INDIRECT("Ans" &amp; E131 &amp; "TBL"), 0, 1), 0), 2), 0)</f>
        <v>0</v>
      </c>
      <c r="X131" s="360">
        <f ca="1">IFERROR(AVERAGE(W131,W135),0)</f>
        <v>0</v>
      </c>
      <c r="Y131" s="575"/>
      <c r="Z131" s="575"/>
    </row>
    <row r="132" spans="1:26" ht="28.25" customHeight="1" x14ac:dyDescent="0.35">
      <c r="A132" s="87" t="str">
        <f>Interview!A194</f>
        <v>O-IM-A-3-1</v>
      </c>
      <c r="B132" s="602"/>
      <c r="C132" s="252">
        <f>INDEX('imp-questions'!E:E, MATCH(A132, 'imp-questions'!A:A, 0))</f>
        <v>3</v>
      </c>
      <c r="D132" s="296" t="str">
        <f>INDEX('imp-questions'!F:F, MATCH(A132, 'imp-questions'!A:A, 0))</f>
        <v>Do you review and update the incident detection process regularly?</v>
      </c>
      <c r="E132" s="329" t="str">
        <f>CHAR(65+INDEX('imp-questions'!H:H, MATCH(A132, 'imp-questions'!A:A, 0)))</f>
        <v>A</v>
      </c>
      <c r="F132" s="287" t="str">
        <f>IF(ISBLANK(Interview!F194),"",Interview!F194)</f>
        <v/>
      </c>
      <c r="G132" s="349">
        <f ca="1">IFERROR(INDEX(INDIRECT("Ans" &amp; E132 &amp; "TBL"), MATCH(F132, INDEX(INDIRECT("Ans" &amp; E132 &amp; "TBL"), 0, 1), 0), 2), 0)</f>
        <v>0</v>
      </c>
      <c r="H132" s="364">
        <f ca="1">IFERROR(AVERAGE(G132,G136),0)</f>
        <v>0</v>
      </c>
      <c r="I132" s="575"/>
      <c r="J132" s="287" t="str">
        <f>F132</f>
        <v/>
      </c>
      <c r="K132" s="349">
        <f ca="1">IFERROR(INDEX(INDIRECT("Ans" &amp; E132 &amp; "TBL"), MATCH(J132, INDEX(INDIRECT("Ans" &amp; E132 &amp; "TBL"), 0, 1), 0), 2), 0)</f>
        <v>0</v>
      </c>
      <c r="L132" s="364">
        <f ca="1">IFERROR(AVERAGE(K132,K136),0)</f>
        <v>0</v>
      </c>
      <c r="M132" s="575"/>
      <c r="N132" s="287" t="str">
        <f>J132</f>
        <v/>
      </c>
      <c r="O132" s="347">
        <f ca="1">IFERROR(INDEX(INDIRECT("Ans" &amp; E132 &amp; "TBL"), MATCH(N132, INDEX(INDIRECT("Ans" &amp; E132 &amp; "TBL"), 0, 1), 0), 2), 0)</f>
        <v>0</v>
      </c>
      <c r="P132" s="364">
        <f ca="1">IFERROR(AVERAGE(O132,O136),0)</f>
        <v>0</v>
      </c>
      <c r="Q132" s="575"/>
      <c r="R132" s="287" t="str">
        <f>N132</f>
        <v/>
      </c>
      <c r="S132" s="135">
        <f ca="1">IFERROR(INDEX(INDIRECT("Ans" &amp; E132 &amp; "TBL"), MATCH(R132, INDEX(INDIRECT("Ans" &amp; E132 &amp; "TBL"), 0, 1), 0), 2), 0)</f>
        <v>0</v>
      </c>
      <c r="T132" s="365">
        <f ca="1">IFERROR(AVERAGE(S132,S136),0)</f>
        <v>0</v>
      </c>
      <c r="U132" s="575"/>
      <c r="V132" s="287" t="str">
        <f>R132</f>
        <v/>
      </c>
      <c r="W132" s="349">
        <f ca="1">IFERROR(INDEX(INDIRECT("Ans" &amp; E132 &amp; "TBL"), MATCH(V132, INDEX(INDIRECT("Ans" &amp; E132 &amp; "TBL"), 0, 1), 0), 2), 0)</f>
        <v>0</v>
      </c>
      <c r="X132" s="364">
        <f ca="1">IFERROR(AVERAGE(W132,W136),0)</f>
        <v>0</v>
      </c>
      <c r="Y132" s="575"/>
      <c r="Z132" s="575"/>
    </row>
    <row r="133" spans="1:26" ht="13.05" customHeight="1" x14ac:dyDescent="0.35">
      <c r="B133" s="242"/>
      <c r="C133" s="236"/>
      <c r="D133" s="125"/>
      <c r="E133" s="153"/>
      <c r="F133" s="125"/>
      <c r="G133" s="153"/>
      <c r="H133" s="153"/>
      <c r="I133" s="575"/>
      <c r="J133" s="125"/>
      <c r="K133" s="153"/>
      <c r="L133" s="153"/>
      <c r="M133" s="575"/>
      <c r="N133" s="125"/>
      <c r="O133" s="153"/>
      <c r="P133" s="153"/>
      <c r="Q133" s="575"/>
      <c r="R133" s="125"/>
      <c r="S133" s="153"/>
      <c r="T133" s="153"/>
      <c r="U133" s="575"/>
      <c r="V133" s="125"/>
      <c r="W133" s="153"/>
      <c r="X133" s="153"/>
      <c r="Y133" s="575"/>
      <c r="Z133" s="575"/>
    </row>
    <row r="134" spans="1:26" ht="28.25" customHeight="1" x14ac:dyDescent="0.35">
      <c r="A134" s="87" t="str">
        <f>Interview!A197</f>
        <v>O-IM-B-1-1</v>
      </c>
      <c r="B134" s="603" t="str">
        <f>INDEX('imp-questions'!D:D, MATCH(A134, 'imp-questions'!A:A, 0))</f>
        <v>Incident Response</v>
      </c>
      <c r="C134" s="252">
        <f>INDEX('imp-questions'!E:E, MATCH(A134, 'imp-questions'!A:A, 0))</f>
        <v>1</v>
      </c>
      <c r="D134" s="300" t="str">
        <f>INDEX('imp-questions'!F:F, MATCH(A134, 'imp-questions'!A:A, 0))</f>
        <v>Do you respond to detected incidents?</v>
      </c>
      <c r="E134" s="329" t="str">
        <f>CHAR(65+INDEX('imp-questions'!H:H, MATCH(A134, 'imp-questions'!A:A, 0)))</f>
        <v>H</v>
      </c>
      <c r="F134" s="287" t="str">
        <f>IF(ISBLANK(Interview!F197),"",Interview!F197)</f>
        <v/>
      </c>
      <c r="G134" s="343">
        <f ca="1">IFERROR(INDEX(INDIRECT("Ans" &amp; E134 &amp; "TBL"), MATCH(F134, INDEX(INDIRECT("Ans" &amp; E134 &amp; "TBL"), 0, 1), 0), 2), 0)</f>
        <v>0</v>
      </c>
      <c r="H134" s="342"/>
      <c r="I134" s="575"/>
      <c r="J134" s="287" t="str">
        <f>F134</f>
        <v/>
      </c>
      <c r="K134" s="343">
        <f ca="1">IFERROR(INDEX(INDIRECT("Ans" &amp; E134 &amp; "TBL"), MATCH(J134, INDEX(INDIRECT("Ans" &amp; E134 &amp; "TBL"), 0, 1), 0), 2), 0)</f>
        <v>0</v>
      </c>
      <c r="L134" s="342"/>
      <c r="M134" s="575"/>
      <c r="N134" s="287" t="str">
        <f>J134</f>
        <v/>
      </c>
      <c r="O134" s="341">
        <f ca="1">IFERROR(INDEX(INDIRECT("Ans" &amp; E134 &amp; "TBL"), MATCH(N134, INDEX(INDIRECT("Ans" &amp; E134 &amp; "TBL"), 0, 1), 0), 2), 0)</f>
        <v>0</v>
      </c>
      <c r="P134" s="342"/>
      <c r="Q134" s="575"/>
      <c r="R134" s="287" t="str">
        <f>N134</f>
        <v/>
      </c>
      <c r="S134" s="135">
        <f ca="1">IFERROR(INDEX(INDIRECT("Ans" &amp; E134 &amp; "TBL"), MATCH(R134, INDEX(INDIRECT("Ans" &amp; E134 &amp; "TBL"), 0, 1), 0), 2), 0)</f>
        <v>0</v>
      </c>
      <c r="T134" s="326"/>
      <c r="U134" s="575"/>
      <c r="V134" s="287" t="str">
        <f>R134</f>
        <v/>
      </c>
      <c r="W134" s="343">
        <f ca="1">IFERROR(INDEX(INDIRECT("Ans" &amp; E134 &amp; "TBL"), MATCH(V134, INDEX(INDIRECT("Ans" &amp; E134 &amp; "TBL"), 0, 1), 0), 2), 0)</f>
        <v>0</v>
      </c>
      <c r="X134" s="342"/>
      <c r="Y134" s="575"/>
      <c r="Z134" s="575"/>
    </row>
    <row r="135" spans="1:26" ht="28.25" customHeight="1" x14ac:dyDescent="0.35">
      <c r="A135" s="87" t="str">
        <f>Interview!A199</f>
        <v>O-IM-B-2-1</v>
      </c>
      <c r="B135" s="601"/>
      <c r="C135" s="252">
        <f>INDEX('imp-questions'!E:E, MATCH(A135, 'imp-questions'!A:A, 0))</f>
        <v>2</v>
      </c>
      <c r="D135" s="300" t="str">
        <f>INDEX('imp-questions'!F:F, MATCH(A135, 'imp-questions'!A:A, 0))</f>
        <v>Do you use a repeatable process for incident handling?</v>
      </c>
      <c r="E135" s="329" t="str">
        <f>CHAR(65+INDEX('imp-questions'!H:H, MATCH(A135, 'imp-questions'!A:A, 0)))</f>
        <v>I</v>
      </c>
      <c r="F135" s="297" t="str">
        <f>IF(ISBLANK(Interview!F199),"",Interview!F199)</f>
        <v/>
      </c>
      <c r="G135" s="346">
        <f ca="1">IFERROR(INDEX(INDIRECT("Ans" &amp; E135 &amp; "TBL"), MATCH(F135, INDEX(INDIRECT("Ans" &amp; E135 &amp; "TBL"), 0, 1), 0), 2), 0)</f>
        <v>0</v>
      </c>
      <c r="H135" s="345"/>
      <c r="I135" s="575"/>
      <c r="J135" s="287" t="str">
        <f>F135</f>
        <v/>
      </c>
      <c r="K135" s="346">
        <f ca="1">IFERROR(INDEX(INDIRECT("Ans" &amp; E135 &amp; "TBL"), MATCH(J135, INDEX(INDIRECT("Ans" &amp; E135 &amp; "TBL"), 0, 1), 0), 2), 0)</f>
        <v>0</v>
      </c>
      <c r="L135" s="345"/>
      <c r="M135" s="575"/>
      <c r="N135" s="287" t="str">
        <f>J135</f>
        <v/>
      </c>
      <c r="O135" s="344">
        <f ca="1">IFERROR(INDEX(INDIRECT("Ans" &amp; E135 &amp; "TBL"), MATCH(N135, INDEX(INDIRECT("Ans" &amp; E135 &amp; "TBL"), 0, 1), 0), 2), 0)</f>
        <v>0</v>
      </c>
      <c r="P135" s="345"/>
      <c r="Q135" s="575"/>
      <c r="R135" s="287" t="str">
        <f>N135</f>
        <v/>
      </c>
      <c r="S135" s="135">
        <f ca="1">IFERROR(INDEX(INDIRECT("Ans" &amp; E135 &amp; "TBL"), MATCH(R135, INDEX(INDIRECT("Ans" &amp; E135 &amp; "TBL"), 0, 1), 0), 2), 0)</f>
        <v>0</v>
      </c>
      <c r="T135" s="309"/>
      <c r="U135" s="575"/>
      <c r="V135" s="287" t="str">
        <f>R135</f>
        <v/>
      </c>
      <c r="W135" s="346">
        <f ca="1">IFERROR(INDEX(INDIRECT("Ans" &amp; E135 &amp; "TBL"), MATCH(V135, INDEX(INDIRECT("Ans" &amp; E135 &amp; "TBL"), 0, 1), 0), 2), 0)</f>
        <v>0</v>
      </c>
      <c r="X135" s="345"/>
      <c r="Y135" s="575"/>
      <c r="Z135" s="575"/>
    </row>
    <row r="136" spans="1:26" ht="28.25" customHeight="1" x14ac:dyDescent="0.35">
      <c r="A136" s="87" t="str">
        <f>Interview!A201</f>
        <v>O-IM-B-3-1</v>
      </c>
      <c r="B136" s="601"/>
      <c r="C136" s="252">
        <f>INDEX('imp-questions'!E:E, MATCH(A136, 'imp-questions'!A:A, 0))</f>
        <v>3</v>
      </c>
      <c r="D136" s="296" t="str">
        <f>INDEX('imp-questions'!F:F, MATCH(A136, 'imp-questions'!A:A, 0))</f>
        <v>Do you have a dedicated incident response team available?</v>
      </c>
      <c r="E136" s="329" t="str">
        <f>CHAR(65+INDEX('imp-questions'!H:H, MATCH(A136, 'imp-questions'!A:A, 0)))</f>
        <v>E</v>
      </c>
      <c r="F136" s="297" t="str">
        <f>IF(ISBLANK(Interview!F201),"",Interview!F201)</f>
        <v/>
      </c>
      <c r="G136" s="349">
        <f ca="1">IFERROR(INDEX(INDIRECT("Ans" &amp; E136 &amp; "TBL"), MATCH(F136, INDEX(INDIRECT("Ans" &amp; E136 &amp; "TBL"), 0, 1), 0), 2), 0)</f>
        <v>0</v>
      </c>
      <c r="H136" s="348"/>
      <c r="I136" s="576"/>
      <c r="J136" s="287" t="str">
        <f>F136</f>
        <v/>
      </c>
      <c r="K136" s="349">
        <f ca="1">IFERROR(INDEX(INDIRECT("Ans" &amp; E136 &amp; "TBL"), MATCH(J136, INDEX(INDIRECT("Ans" &amp; E136 &amp; "TBL"), 0, 1), 0), 2), 0)</f>
        <v>0</v>
      </c>
      <c r="L136" s="348"/>
      <c r="M136" s="576"/>
      <c r="N136" s="287" t="str">
        <f>J136</f>
        <v/>
      </c>
      <c r="O136" s="347">
        <f ca="1">IFERROR(INDEX(INDIRECT("Ans" &amp; E136 &amp; "TBL"), MATCH(N136, INDEX(INDIRECT("Ans" &amp; E136 &amp; "TBL"), 0, 1), 0), 2), 0)</f>
        <v>0</v>
      </c>
      <c r="P136" s="348"/>
      <c r="Q136" s="576"/>
      <c r="R136" s="287" t="str">
        <f>N136</f>
        <v/>
      </c>
      <c r="S136" s="135">
        <f ca="1">IFERROR(INDEX(INDIRECT("Ans" &amp; E136 &amp; "TBL"), MATCH(R136, INDEX(INDIRECT("Ans" &amp; E136 &amp; "TBL"), 0, 1), 0), 2), 0)</f>
        <v>0</v>
      </c>
      <c r="T136" s="312"/>
      <c r="U136" s="576"/>
      <c r="V136" s="287" t="str">
        <f>R136</f>
        <v/>
      </c>
      <c r="W136" s="349">
        <f ca="1">IFERROR(INDEX(INDIRECT("Ans" &amp; E136 &amp; "TBL"), MATCH(V136, INDEX(INDIRECT("Ans" &amp; E136 &amp; "TBL"), 0, 1), 0), 2), 0)</f>
        <v>0</v>
      </c>
      <c r="X136" s="348"/>
      <c r="Y136" s="576"/>
      <c r="Z136" s="576"/>
    </row>
    <row r="137" spans="1:26" ht="13.05" customHeight="1" x14ac:dyDescent="0.35">
      <c r="B137" s="242"/>
      <c r="C137" s="236"/>
      <c r="D137" s="125"/>
      <c r="E137" s="125"/>
      <c r="F137" s="125"/>
      <c r="G137" s="125"/>
      <c r="H137" s="125"/>
      <c r="I137" s="125"/>
      <c r="J137" s="125"/>
      <c r="K137" s="125"/>
      <c r="L137" s="125"/>
      <c r="M137" s="125"/>
      <c r="N137" s="125"/>
      <c r="O137" s="125"/>
      <c r="P137" s="125"/>
      <c r="Q137" s="125"/>
      <c r="R137" s="125"/>
      <c r="S137" s="313"/>
      <c r="T137" s="125"/>
      <c r="U137" s="125"/>
      <c r="V137" s="125"/>
      <c r="W137" s="125"/>
      <c r="X137" s="125"/>
      <c r="Y137" s="125"/>
      <c r="Z137" s="125"/>
    </row>
    <row r="138" spans="1:26" ht="16.25" customHeight="1" x14ac:dyDescent="0.35">
      <c r="B138" s="250" t="s">
        <v>12</v>
      </c>
      <c r="C138" s="418" t="s">
        <v>13</v>
      </c>
      <c r="D138" s="253" t="s">
        <v>112</v>
      </c>
      <c r="E138" s="409"/>
      <c r="F138" s="410" t="s">
        <v>15</v>
      </c>
      <c r="G138" s="411"/>
      <c r="H138" s="412"/>
      <c r="I138" s="408" t="s">
        <v>17</v>
      </c>
      <c r="J138" s="410" t="s">
        <v>15</v>
      </c>
      <c r="K138" s="411"/>
      <c r="L138" s="412"/>
      <c r="M138" s="408" t="s">
        <v>17</v>
      </c>
      <c r="N138" s="410" t="s">
        <v>15</v>
      </c>
      <c r="O138" s="411"/>
      <c r="P138" s="412"/>
      <c r="Q138" s="408" t="s">
        <v>17</v>
      </c>
      <c r="R138" s="410" t="s">
        <v>15</v>
      </c>
      <c r="S138" s="411"/>
      <c r="T138" s="412"/>
      <c r="U138" s="408" t="s">
        <v>17</v>
      </c>
      <c r="V138" s="410" t="s">
        <v>15</v>
      </c>
      <c r="W138" s="411"/>
      <c r="X138" s="412"/>
      <c r="Y138" s="408" t="s">
        <v>17</v>
      </c>
      <c r="Z138" s="408" t="s">
        <v>253</v>
      </c>
    </row>
    <row r="139" spans="1:26" ht="28.25" customHeight="1" x14ac:dyDescent="0.35">
      <c r="A139" s="87" t="str">
        <f>Interview!A204</f>
        <v>O-EM-A-1-1</v>
      </c>
      <c r="B139" s="600" t="str">
        <f>INDEX('imp-questions'!D:D, MATCH(A139, 'imp-questions'!A:A, 0))</f>
        <v>Configuration Hardening</v>
      </c>
      <c r="C139" s="252">
        <f>INDEX('imp-questions'!E:E, MATCH(A139, 'imp-questions'!A:A, 0))</f>
        <v>1</v>
      </c>
      <c r="D139" s="300" t="str">
        <f>INDEX('imp-questions'!F:F, MATCH(A139, 'imp-questions'!A:A, 0))</f>
        <v>Do you harden configurations for key components of your technology stacks?</v>
      </c>
      <c r="E139" s="329" t="str">
        <f>CHAR(65+INDEX('imp-questions'!H:H, MATCH(A139, 'imp-questions'!A:A, 0)))</f>
        <v>G</v>
      </c>
      <c r="F139" s="287" t="str">
        <f>IF(ISBLANK(Interview!F204),"",Interview!F204)</f>
        <v/>
      </c>
      <c r="G139" s="343">
        <f ca="1">IFERROR(INDEX(INDIRECT("Ans" &amp; E139 &amp; "TBL"), MATCH(F139, INDEX(INDIRECT("Ans" &amp; E139 &amp; "TBL"), 0, 1), 0), 2), 0)</f>
        <v>0</v>
      </c>
      <c r="H139" s="358">
        <f ca="1">IFERROR(AVERAGE(G139,G143),0)</f>
        <v>0</v>
      </c>
      <c r="I139" s="578">
        <f ca="1">SUM(H139:H141)</f>
        <v>0</v>
      </c>
      <c r="J139" s="287" t="str">
        <f>F139</f>
        <v/>
      </c>
      <c r="K139" s="343">
        <f ca="1">IFERROR(INDEX(INDIRECT("Ans" &amp; E139 &amp; "TBL"), MATCH(J139, INDEX(INDIRECT("Ans" &amp; E139 &amp; "TBL"), 0, 1), 0), 2), 0)</f>
        <v>0</v>
      </c>
      <c r="L139" s="358">
        <f ca="1">IFERROR(AVERAGE(K139,K143),0)</f>
        <v>0</v>
      </c>
      <c r="M139" s="578">
        <f ca="1">SUM(L139:L141)</f>
        <v>0</v>
      </c>
      <c r="N139" s="287" t="str">
        <f>J139</f>
        <v/>
      </c>
      <c r="O139" s="341">
        <f ca="1">IFERROR(INDEX(INDIRECT("Ans" &amp; E139 &amp; "TBL"), MATCH(N139, INDEX(INDIRECT("Ans" &amp; E139 &amp; "TBL"), 0, 1), 0), 2), 0)</f>
        <v>0</v>
      </c>
      <c r="P139" s="358">
        <f ca="1">IFERROR(AVERAGE(O139,O143),0)</f>
        <v>0</v>
      </c>
      <c r="Q139" s="578">
        <f ca="1">SUM(P139:P141)</f>
        <v>0</v>
      </c>
      <c r="R139" s="287" t="str">
        <f>N139</f>
        <v/>
      </c>
      <c r="S139" s="135">
        <f ca="1">IFERROR(INDEX(INDIRECT("Ans" &amp; E139 &amp; "TBL"), MATCH(R139, INDEX(INDIRECT("Ans" &amp; E139 &amp; "TBL"), 0, 1), 0), 2), 0)</f>
        <v>0</v>
      </c>
      <c r="T139" s="359">
        <f ca="1">IFERROR(AVERAGE(S139,S143),0)</f>
        <v>0</v>
      </c>
      <c r="U139" s="578">
        <f ca="1">SUM(T139:T141)</f>
        <v>0</v>
      </c>
      <c r="V139" s="287" t="str">
        <f>R139</f>
        <v/>
      </c>
      <c r="W139" s="343">
        <f ca="1">IFERROR(INDEX(INDIRECT("Ans" &amp; E139 &amp; "TBL"), MATCH(V139, INDEX(INDIRECT("Ans" &amp; E139 &amp; "TBL"), 0, 1), 0), 2), 0)</f>
        <v>0</v>
      </c>
      <c r="X139" s="358">
        <f ca="1">IFERROR(AVERAGE(W139,W143),0)</f>
        <v>0</v>
      </c>
      <c r="Y139" s="578">
        <f ca="1">SUM(X139:X141)</f>
        <v>0</v>
      </c>
      <c r="Z139" s="578">
        <f ca="1">IFERROR(Y139-I139,Y139-LEFT(I139,1))</f>
        <v>0</v>
      </c>
    </row>
    <row r="140" spans="1:26" ht="28.25" customHeight="1" x14ac:dyDescent="0.35">
      <c r="A140" s="87" t="str">
        <f>Interview!A206</f>
        <v>O-EM-A-2-1</v>
      </c>
      <c r="B140" s="601"/>
      <c r="C140" s="252">
        <f>INDEX('imp-questions'!E:E, MATCH(A140, 'imp-questions'!A:A, 0))</f>
        <v>2</v>
      </c>
      <c r="D140" s="300" t="str">
        <f>INDEX('imp-questions'!F:F, MATCH(A140, 'imp-questions'!A:A, 0))</f>
        <v>Do you have hardening baselines for your components?</v>
      </c>
      <c r="E140" s="329" t="str">
        <f>CHAR(65+INDEX('imp-questions'!H:H, MATCH(A140, 'imp-questions'!A:A, 0)))</f>
        <v>G</v>
      </c>
      <c r="F140" s="88" t="str">
        <f>IF(ISBLANK(Interview!F206),"",Interview!F206)</f>
        <v/>
      </c>
      <c r="G140" s="346">
        <f ca="1">IFERROR(INDEX(INDIRECT("Ans" &amp; E140 &amp; "TBL"), MATCH(F140, INDEX(INDIRECT("Ans" &amp; E140 &amp; "TBL"), 0, 1), 0), 2), 0)</f>
        <v>0</v>
      </c>
      <c r="H140" s="360">
        <f ca="1">IFERROR(AVERAGE(G140,G144),0)</f>
        <v>0</v>
      </c>
      <c r="I140" s="575"/>
      <c r="J140" s="287" t="str">
        <f>F140</f>
        <v/>
      </c>
      <c r="K140" s="346">
        <f ca="1">IFERROR(INDEX(INDIRECT("Ans" &amp; E140 &amp; "TBL"), MATCH(J140, INDEX(INDIRECT("Ans" &amp; E140 &amp; "TBL"), 0, 1), 0), 2), 0)</f>
        <v>0</v>
      </c>
      <c r="L140" s="360">
        <f ca="1">IFERROR(AVERAGE(K140,K144),0)</f>
        <v>0</v>
      </c>
      <c r="M140" s="575"/>
      <c r="N140" s="287" t="str">
        <f>J140</f>
        <v/>
      </c>
      <c r="O140" s="344">
        <f ca="1">IFERROR(INDEX(INDIRECT("Ans" &amp; E140 &amp; "TBL"), MATCH(N140, INDEX(INDIRECT("Ans" &amp; E140 &amp; "TBL"), 0, 1), 0), 2), 0)</f>
        <v>0</v>
      </c>
      <c r="P140" s="360">
        <f ca="1">IFERROR(AVERAGE(O140,O144),0)</f>
        <v>0</v>
      </c>
      <c r="Q140" s="575"/>
      <c r="R140" s="287" t="str">
        <f>N140</f>
        <v/>
      </c>
      <c r="S140" s="135">
        <f ca="1">IFERROR(INDEX(INDIRECT("Ans" &amp; E140 &amp; "TBL"), MATCH(R140, INDEX(INDIRECT("Ans" &amp; E140 &amp; "TBL"), 0, 1), 0), 2), 0)</f>
        <v>0</v>
      </c>
      <c r="T140" s="361">
        <f ca="1">IFERROR(AVERAGE(S140,S144),0)</f>
        <v>0</v>
      </c>
      <c r="U140" s="575"/>
      <c r="V140" s="287" t="str">
        <f>R140</f>
        <v/>
      </c>
      <c r="W140" s="346">
        <f ca="1">IFERROR(INDEX(INDIRECT("Ans" &amp; E140 &amp; "TBL"), MATCH(V140, INDEX(INDIRECT("Ans" &amp; E140 &amp; "TBL"), 0, 1), 0), 2), 0)</f>
        <v>0</v>
      </c>
      <c r="X140" s="360">
        <f ca="1">IFERROR(AVERAGE(W140,W144),0)</f>
        <v>0</v>
      </c>
      <c r="Y140" s="575"/>
      <c r="Z140" s="575"/>
    </row>
    <row r="141" spans="1:26" ht="28.25" customHeight="1" x14ac:dyDescent="0.35">
      <c r="A141" s="87" t="str">
        <f>Interview!A208</f>
        <v>O-EM-A-3-1</v>
      </c>
      <c r="B141" s="602"/>
      <c r="C141" s="252">
        <f>INDEX('imp-questions'!E:E, MATCH(A141, 'imp-questions'!A:A, 0))</f>
        <v>3</v>
      </c>
      <c r="D141" s="296" t="str">
        <f>INDEX('imp-questions'!F:F, MATCH(A141, 'imp-questions'!A:A, 0))</f>
        <v>Do you monitor and enforce conformity with hardening baselines?</v>
      </c>
      <c r="E141" s="329" t="str">
        <f>CHAR(65+INDEX('imp-questions'!H:H, MATCH(A141, 'imp-questions'!A:A, 0)))</f>
        <v>G</v>
      </c>
      <c r="F141" s="287" t="str">
        <f>IF(ISBLANK(Interview!F208),"",Interview!F208)</f>
        <v/>
      </c>
      <c r="G141" s="349">
        <f ca="1">IFERROR(INDEX(INDIRECT("Ans" &amp; E141 &amp; "TBL"), MATCH(F141, INDEX(INDIRECT("Ans" &amp; E141 &amp; "TBL"), 0, 1), 0), 2), 0)</f>
        <v>0</v>
      </c>
      <c r="H141" s="364">
        <f ca="1">IFERROR(AVERAGE(G141,G145),0)</f>
        <v>0</v>
      </c>
      <c r="I141" s="575"/>
      <c r="J141" s="287" t="str">
        <f>F141</f>
        <v/>
      </c>
      <c r="K141" s="349">
        <f ca="1">IFERROR(INDEX(INDIRECT("Ans" &amp; E141 &amp; "TBL"), MATCH(J141, INDEX(INDIRECT("Ans" &amp; E141 &amp; "TBL"), 0, 1), 0), 2), 0)</f>
        <v>0</v>
      </c>
      <c r="L141" s="364">
        <f ca="1">IFERROR(AVERAGE(K141,K145),0)</f>
        <v>0</v>
      </c>
      <c r="M141" s="575"/>
      <c r="N141" s="287" t="str">
        <f>J141</f>
        <v/>
      </c>
      <c r="O141" s="347">
        <f ca="1">IFERROR(INDEX(INDIRECT("Ans" &amp; E141 &amp; "TBL"), MATCH(N141, INDEX(INDIRECT("Ans" &amp; E141 &amp; "TBL"), 0, 1), 0), 2), 0)</f>
        <v>0</v>
      </c>
      <c r="P141" s="364">
        <f ca="1">IFERROR(AVERAGE(O141,O145),0)</f>
        <v>0</v>
      </c>
      <c r="Q141" s="575"/>
      <c r="R141" s="287" t="str">
        <f>N141</f>
        <v/>
      </c>
      <c r="S141" s="135">
        <f ca="1">IFERROR(INDEX(INDIRECT("Ans" &amp; E141 &amp; "TBL"), MATCH(R141, INDEX(INDIRECT("Ans" &amp; E141 &amp; "TBL"), 0, 1), 0), 2), 0)</f>
        <v>0</v>
      </c>
      <c r="T141" s="365">
        <f ca="1">IFERROR(AVERAGE(S141,S145),0)</f>
        <v>0</v>
      </c>
      <c r="U141" s="575"/>
      <c r="V141" s="287" t="str">
        <f>R141</f>
        <v/>
      </c>
      <c r="W141" s="349">
        <f ca="1">IFERROR(INDEX(INDIRECT("Ans" &amp; E141 &amp; "TBL"), MATCH(V141, INDEX(INDIRECT("Ans" &amp; E141 &amp; "TBL"), 0, 1), 0), 2), 0)</f>
        <v>0</v>
      </c>
      <c r="X141" s="364">
        <f ca="1">IFERROR(AVERAGE(W141,W145),0)</f>
        <v>0</v>
      </c>
      <c r="Y141" s="575"/>
      <c r="Z141" s="575"/>
    </row>
    <row r="142" spans="1:26" ht="13.05" customHeight="1" x14ac:dyDescent="0.35">
      <c r="B142" s="242"/>
      <c r="C142" s="236"/>
      <c r="D142" s="125"/>
      <c r="E142" s="153"/>
      <c r="F142" s="125"/>
      <c r="G142" s="153"/>
      <c r="H142" s="153"/>
      <c r="I142" s="575"/>
      <c r="J142" s="125"/>
      <c r="K142" s="153"/>
      <c r="L142" s="153"/>
      <c r="M142" s="575"/>
      <c r="N142" s="125"/>
      <c r="O142" s="153"/>
      <c r="P142" s="153"/>
      <c r="Q142" s="575"/>
      <c r="R142" s="125"/>
      <c r="S142" s="153"/>
      <c r="T142" s="153"/>
      <c r="U142" s="575"/>
      <c r="V142" s="125"/>
      <c r="W142" s="153"/>
      <c r="X142" s="153"/>
      <c r="Y142" s="575"/>
      <c r="Z142" s="575"/>
    </row>
    <row r="143" spans="1:26" ht="28.25" customHeight="1" x14ac:dyDescent="0.35">
      <c r="A143" s="87" t="str">
        <f>Interview!A211</f>
        <v>O-EM-B-1-1</v>
      </c>
      <c r="B143" s="603" t="str">
        <f>INDEX('imp-questions'!D:D, MATCH(A143, 'imp-questions'!A:A, 0))</f>
        <v>Patching and Updating</v>
      </c>
      <c r="C143" s="252">
        <f>INDEX('imp-questions'!E:E, MATCH(A143, 'imp-questions'!A:A, 0))</f>
        <v>1</v>
      </c>
      <c r="D143" s="300" t="str">
        <f>INDEX('imp-questions'!F:F, MATCH(A143, 'imp-questions'!A:A, 0))</f>
        <v>Do you identify and patch vulnerable components?</v>
      </c>
      <c r="E143" s="329" t="str">
        <f>CHAR(65+INDEX('imp-questions'!H:H, MATCH(A143, 'imp-questions'!A:A, 0)))</f>
        <v>G</v>
      </c>
      <c r="F143" s="287" t="str">
        <f>IF(ISBLANK(Interview!F211),"",Interview!F211)</f>
        <v/>
      </c>
      <c r="G143" s="343">
        <f ca="1">IFERROR(INDEX(INDIRECT("Ans" &amp; E143 &amp; "TBL"), MATCH(F143, INDEX(INDIRECT("Ans" &amp; E143 &amp; "TBL"), 0, 1), 0), 2), 0)</f>
        <v>0</v>
      </c>
      <c r="H143" s="342"/>
      <c r="I143" s="575"/>
      <c r="J143" s="287" t="str">
        <f>F143</f>
        <v/>
      </c>
      <c r="K143" s="343">
        <f ca="1">IFERROR(INDEX(INDIRECT("Ans" &amp; E143 &amp; "TBL"), MATCH(J143, INDEX(INDIRECT("Ans" &amp; E143 &amp; "TBL"), 0, 1), 0), 2), 0)</f>
        <v>0</v>
      </c>
      <c r="L143" s="342"/>
      <c r="M143" s="575"/>
      <c r="N143" s="287" t="str">
        <f>J143</f>
        <v/>
      </c>
      <c r="O143" s="343">
        <f ca="1">IFERROR(INDEX(INDIRECT("Ans" &amp; E143 &amp; "TBL"), MATCH(N143, INDEX(INDIRECT("Ans" &amp; E143 &amp; "TBL"), 0, 1), 0), 2), 0)</f>
        <v>0</v>
      </c>
      <c r="P143" s="342"/>
      <c r="Q143" s="575"/>
      <c r="R143" s="287" t="str">
        <f>N143</f>
        <v/>
      </c>
      <c r="S143" s="135">
        <f ca="1">IFERROR(INDEX(INDIRECT("Ans" &amp; E143 &amp; "TBL"), MATCH(R143, INDEX(INDIRECT("Ans" &amp; E143 &amp; "TBL"), 0, 1), 0), 2), 0)</f>
        <v>0</v>
      </c>
      <c r="T143" s="326"/>
      <c r="U143" s="575"/>
      <c r="V143" s="287" t="str">
        <f>R143</f>
        <v/>
      </c>
      <c r="W143" s="343">
        <f ca="1">IFERROR(INDEX(INDIRECT("Ans" &amp; E143 &amp; "TBL"), MATCH(V143, INDEX(INDIRECT("Ans" &amp; E143 &amp; "TBL"), 0, 1), 0), 2), 0)</f>
        <v>0</v>
      </c>
      <c r="X143" s="342"/>
      <c r="Y143" s="575"/>
      <c r="Z143" s="575"/>
    </row>
    <row r="144" spans="1:26" ht="28.25" customHeight="1" x14ac:dyDescent="0.35">
      <c r="A144" s="87" t="str">
        <f>Interview!A213</f>
        <v>O-EM-B-2-1</v>
      </c>
      <c r="B144" s="601"/>
      <c r="C144" s="252">
        <f>INDEX('imp-questions'!E:E, MATCH(A144, 'imp-questions'!A:A, 0))</f>
        <v>2</v>
      </c>
      <c r="D144" s="300" t="str">
        <f>INDEX('imp-questions'!F:F, MATCH(A144, 'imp-questions'!A:A, 0))</f>
        <v>Do you follow an established process for updating components of your technology stacks?</v>
      </c>
      <c r="E144" s="329" t="str">
        <f>CHAR(65+INDEX('imp-questions'!H:H, MATCH(A144, 'imp-questions'!A:A, 0)))</f>
        <v>G</v>
      </c>
      <c r="F144" s="297" t="str">
        <f>IF(ISBLANK(Interview!F213),"",Interview!F213)</f>
        <v/>
      </c>
      <c r="G144" s="346">
        <f ca="1">IFERROR(INDEX(INDIRECT("Ans" &amp; E144 &amp; "TBL"), MATCH(F144, INDEX(INDIRECT("Ans" &amp; E144 &amp; "TBL"), 0, 1), 0), 2), 0)</f>
        <v>0</v>
      </c>
      <c r="H144" s="345"/>
      <c r="I144" s="575"/>
      <c r="J144" s="287" t="str">
        <f>F144</f>
        <v/>
      </c>
      <c r="K144" s="346">
        <f ca="1">IFERROR(INDEX(INDIRECT("Ans" &amp; E144 &amp; "TBL"), MATCH(J144, INDEX(INDIRECT("Ans" &amp; E144 &amp; "TBL"), 0, 1), 0), 2), 0)</f>
        <v>0</v>
      </c>
      <c r="L144" s="345"/>
      <c r="M144" s="575"/>
      <c r="N144" s="287" t="str">
        <f>J144</f>
        <v/>
      </c>
      <c r="O144" s="346">
        <f ca="1">IFERROR(INDEX(INDIRECT("Ans" &amp; E144 &amp; "TBL"), MATCH(N144, INDEX(INDIRECT("Ans" &amp; E144 &amp; "TBL"), 0, 1), 0), 2), 0)</f>
        <v>0</v>
      </c>
      <c r="P144" s="345"/>
      <c r="Q144" s="575"/>
      <c r="R144" s="287" t="str">
        <f>N144</f>
        <v/>
      </c>
      <c r="S144" s="135">
        <f ca="1">IFERROR(INDEX(INDIRECT("Ans" &amp; E144 &amp; "TBL"), MATCH(R144, INDEX(INDIRECT("Ans" &amp; E144 &amp; "TBL"), 0, 1), 0), 2), 0)</f>
        <v>0</v>
      </c>
      <c r="T144" s="309"/>
      <c r="U144" s="575"/>
      <c r="V144" s="287" t="str">
        <f>R144</f>
        <v/>
      </c>
      <c r="W144" s="346">
        <f ca="1">IFERROR(INDEX(INDIRECT("Ans" &amp; E144 &amp; "TBL"), MATCH(V144, INDEX(INDIRECT("Ans" &amp; E144 &amp; "TBL"), 0, 1), 0), 2), 0)</f>
        <v>0</v>
      </c>
      <c r="X144" s="345"/>
      <c r="Y144" s="575"/>
      <c r="Z144" s="575"/>
    </row>
    <row r="145" spans="1:26" ht="28.25" customHeight="1" x14ac:dyDescent="0.35">
      <c r="A145" s="87" t="str">
        <f>Interview!A215</f>
        <v>O-EM-B-3-1</v>
      </c>
      <c r="B145" s="601"/>
      <c r="C145" s="252">
        <f>INDEX('imp-questions'!E:E, MATCH(A145, 'imp-questions'!A:A, 0))</f>
        <v>3</v>
      </c>
      <c r="D145" s="296" t="str">
        <f>INDEX('imp-questions'!F:F, MATCH(A145, 'imp-questions'!A:A, 0))</f>
        <v>Do you regularly evaluate components and review patch level status?</v>
      </c>
      <c r="E145" s="329" t="str">
        <f>CHAR(65+INDEX('imp-questions'!H:H, MATCH(A145, 'imp-questions'!A:A, 0)))</f>
        <v>G</v>
      </c>
      <c r="F145" s="297" t="str">
        <f>IF(ISBLANK(Interview!F215),"",Interview!F215)</f>
        <v/>
      </c>
      <c r="G145" s="349">
        <f ca="1">IFERROR(INDEX(INDIRECT("Ans" &amp; E145 &amp; "TBL"), MATCH(F145, INDEX(INDIRECT("Ans" &amp; E145 &amp; "TBL"), 0, 1), 0), 2), 0)</f>
        <v>0</v>
      </c>
      <c r="H145" s="348"/>
      <c r="I145" s="576"/>
      <c r="J145" s="287" t="str">
        <f>F145</f>
        <v/>
      </c>
      <c r="K145" s="349">
        <f ca="1">IFERROR(INDEX(INDIRECT("Ans" &amp; E145 &amp; "TBL"), MATCH(J145, INDEX(INDIRECT("Ans" &amp; E145 &amp; "TBL"), 0, 1), 0), 2), 0)</f>
        <v>0</v>
      </c>
      <c r="L145" s="348"/>
      <c r="M145" s="576"/>
      <c r="N145" s="287" t="str">
        <f>J145</f>
        <v/>
      </c>
      <c r="O145" s="349">
        <f ca="1">IFERROR(INDEX(INDIRECT("Ans" &amp; E145 &amp; "TBL"), MATCH(N145, INDEX(INDIRECT("Ans" &amp; E145 &amp; "TBL"), 0, 1), 0), 2), 0)</f>
        <v>0</v>
      </c>
      <c r="P145" s="348"/>
      <c r="Q145" s="576"/>
      <c r="R145" s="287" t="str">
        <f>N145</f>
        <v/>
      </c>
      <c r="S145" s="135">
        <f ca="1">IFERROR(INDEX(INDIRECT("Ans" &amp; E145 &amp; "TBL"), MATCH(R145, INDEX(INDIRECT("Ans" &amp; E145 &amp; "TBL"), 0, 1), 0), 2), 0)</f>
        <v>0</v>
      </c>
      <c r="T145" s="312"/>
      <c r="U145" s="576"/>
      <c r="V145" s="287" t="str">
        <f>R145</f>
        <v/>
      </c>
      <c r="W145" s="349">
        <f ca="1">IFERROR(INDEX(INDIRECT("Ans" &amp; E145 &amp; "TBL"), MATCH(V145, INDEX(INDIRECT("Ans" &amp; E145 &amp; "TBL"), 0, 1), 0), 2), 0)</f>
        <v>0</v>
      </c>
      <c r="X145" s="348"/>
      <c r="Y145" s="576"/>
      <c r="Z145" s="576"/>
    </row>
    <row r="146" spans="1:26" ht="13.05" customHeight="1" x14ac:dyDescent="0.35">
      <c r="B146" s="242"/>
      <c r="C146" s="236"/>
      <c r="D146" s="125"/>
      <c r="E146" s="125"/>
      <c r="F146" s="125"/>
      <c r="G146" s="125"/>
      <c r="H146" s="125"/>
      <c r="I146" s="125"/>
      <c r="J146" s="125"/>
      <c r="K146" s="125"/>
      <c r="L146" s="125"/>
      <c r="M146" s="125"/>
      <c r="N146" s="125"/>
      <c r="O146" s="376"/>
      <c r="P146" s="376"/>
      <c r="Q146" s="125"/>
      <c r="R146" s="125"/>
      <c r="S146" s="313"/>
      <c r="T146" s="125"/>
      <c r="U146" s="125"/>
      <c r="V146" s="125"/>
      <c r="W146" s="125"/>
      <c r="X146" s="125"/>
      <c r="Y146" s="125"/>
      <c r="Z146" s="125"/>
    </row>
    <row r="147" spans="1:26" ht="16.25" customHeight="1" x14ac:dyDescent="0.35">
      <c r="B147" s="250" t="s">
        <v>12</v>
      </c>
      <c r="C147" s="418" t="s">
        <v>13</v>
      </c>
      <c r="D147" s="253" t="s">
        <v>119</v>
      </c>
      <c r="E147" s="409"/>
      <c r="F147" s="410" t="s">
        <v>15</v>
      </c>
      <c r="G147" s="411"/>
      <c r="H147" s="412"/>
      <c r="I147" s="408" t="s">
        <v>17</v>
      </c>
      <c r="J147" s="410" t="s">
        <v>15</v>
      </c>
      <c r="K147" s="411"/>
      <c r="L147" s="412"/>
      <c r="M147" s="408" t="s">
        <v>17</v>
      </c>
      <c r="N147" s="410" t="s">
        <v>15</v>
      </c>
      <c r="O147" s="411"/>
      <c r="P147" s="412"/>
      <c r="Q147" s="408" t="s">
        <v>17</v>
      </c>
      <c r="R147" s="410" t="s">
        <v>15</v>
      </c>
      <c r="S147" s="410"/>
      <c r="T147" s="413"/>
      <c r="U147" s="408" t="s">
        <v>17</v>
      </c>
      <c r="V147" s="410" t="s">
        <v>15</v>
      </c>
      <c r="W147" s="411"/>
      <c r="X147" s="412"/>
      <c r="Y147" s="408" t="s">
        <v>17</v>
      </c>
      <c r="Z147" s="408" t="s">
        <v>253</v>
      </c>
    </row>
    <row r="148" spans="1:26" ht="28.25" customHeight="1" x14ac:dyDescent="0.35">
      <c r="A148" s="87" t="str">
        <f>Interview!A218</f>
        <v>O-OM-A-1-1</v>
      </c>
      <c r="B148" s="600" t="str">
        <f>INDEX('imp-questions'!D:D, MATCH(A148, 'imp-questions'!A:A, 0))</f>
        <v>Data Protection</v>
      </c>
      <c r="C148" s="252">
        <f>INDEX('imp-questions'!E:E, MATCH(A148, 'imp-questions'!A:A, 0))</f>
        <v>1</v>
      </c>
      <c r="D148" s="300" t="str">
        <f>INDEX('imp-questions'!F:F, MATCH(A148, 'imp-questions'!A:A, 0))</f>
        <v>Do you protect and handle information according to protection requirements for data stored and processed on each application?</v>
      </c>
      <c r="E148" s="329" t="str">
        <f>CHAR(65+INDEX('imp-questions'!H:H, MATCH(A148, 'imp-questions'!A:A, 0)))</f>
        <v>A</v>
      </c>
      <c r="F148" s="287" t="str">
        <f>IF(ISBLANK(Interview!F218),"",Interview!F218)</f>
        <v/>
      </c>
      <c r="G148" s="343">
        <f ca="1">IFERROR(INDEX(INDIRECT("Ans" &amp; E148 &amp; "TBL"), MATCH(F148, INDEX(INDIRECT("Ans" &amp; E148 &amp; "TBL"), 0, 1), 0), 2), 0)</f>
        <v>0</v>
      </c>
      <c r="H148" s="358">
        <f ca="1">IFERROR(AVERAGE(G148,G152),0)</f>
        <v>0</v>
      </c>
      <c r="I148" s="579">
        <f ca="1">SUM(H148:H150)</f>
        <v>0</v>
      </c>
      <c r="J148" s="287" t="str">
        <f>F148</f>
        <v/>
      </c>
      <c r="K148" s="343">
        <f ca="1">IFERROR(INDEX(INDIRECT("Ans" &amp; E148 &amp; "TBL"), MATCH(J148, INDEX(INDIRECT("Ans" &amp; E148 &amp; "TBL"), 0, 1), 0), 2), 0)</f>
        <v>0</v>
      </c>
      <c r="L148" s="358">
        <f ca="1">IFERROR(AVERAGE(K148,K152),0)</f>
        <v>0</v>
      </c>
      <c r="M148" s="579">
        <f ca="1">SUM(L148:L150)</f>
        <v>0</v>
      </c>
      <c r="N148" s="287" t="str">
        <f>J148</f>
        <v/>
      </c>
      <c r="O148" s="343">
        <f ca="1">IFERROR(INDEX(INDIRECT("Ans" &amp; E148 &amp; "TBL"), MATCH(N148, INDEX(INDIRECT("Ans" &amp; E148 &amp; "TBL"), 0, 1), 0), 2), 0)</f>
        <v>0</v>
      </c>
      <c r="P148" s="358">
        <f ca="1">IFERROR(AVERAGE(O148,O152),0)</f>
        <v>0</v>
      </c>
      <c r="Q148" s="579">
        <f ca="1">SUM(P148:P150)</f>
        <v>0</v>
      </c>
      <c r="R148" s="287" t="str">
        <f>N148</f>
        <v/>
      </c>
      <c r="S148" s="135">
        <f ca="1">IFERROR(INDEX(INDIRECT("Ans" &amp; E148 &amp; "TBL"), MATCH(R148, INDEX(INDIRECT("Ans" &amp; E148 &amp; "TBL"), 0, 1), 0), 2), 0)</f>
        <v>0</v>
      </c>
      <c r="T148" s="414">
        <f ca="1">IFERROR(AVERAGE(S148,S152),0)</f>
        <v>0</v>
      </c>
      <c r="U148" s="579">
        <f ca="1">SUM(T148:T150)</f>
        <v>0</v>
      </c>
      <c r="V148" s="287" t="str">
        <f>R148</f>
        <v/>
      </c>
      <c r="W148" s="343">
        <f ca="1">IFERROR(INDEX(INDIRECT("Ans" &amp; E148 &amp; "TBL"), MATCH(V148, INDEX(INDIRECT("Ans" &amp; E148 &amp; "TBL"), 0, 1), 0), 2), 0)</f>
        <v>0</v>
      </c>
      <c r="X148" s="358">
        <f ca="1">IFERROR(AVERAGE(W148,W152),0)</f>
        <v>0</v>
      </c>
      <c r="Y148" s="579">
        <f ca="1">SUM(X148:X150)</f>
        <v>0</v>
      </c>
      <c r="Z148" s="579">
        <f ca="1">IFERROR(Y148-I148,Y148-LEFT(I148,1))</f>
        <v>0</v>
      </c>
    </row>
    <row r="149" spans="1:26" ht="28.25" customHeight="1" x14ac:dyDescent="0.35">
      <c r="A149" s="87" t="str">
        <f>Interview!A220</f>
        <v>O-OM-A-2-1</v>
      </c>
      <c r="B149" s="601"/>
      <c r="C149" s="252">
        <f>INDEX('imp-questions'!E:E, MATCH(A149, 'imp-questions'!A:A, 0))</f>
        <v>2</v>
      </c>
      <c r="D149" s="300" t="str">
        <f>INDEX('imp-questions'!F:F, MATCH(A149, 'imp-questions'!A:A, 0))</f>
        <v>Do you maintain a data catalog, including types, sensitivity levels, and processing and storage locations?</v>
      </c>
      <c r="E149" s="329" t="str">
        <f>CHAR(65+INDEX('imp-questions'!H:H, MATCH(A149, 'imp-questions'!A:A, 0)))</f>
        <v>J</v>
      </c>
      <c r="F149" s="284" t="str">
        <f>IF(ISBLANK(Interview!F220),"",Interview!F220)</f>
        <v/>
      </c>
      <c r="G149" s="346">
        <f ca="1">IFERROR(INDEX(INDIRECT("Ans" &amp; E149 &amp; "TBL"), MATCH(F149, INDEX(INDIRECT("Ans" &amp; E149 &amp; "TBL"), 0, 1), 0), 2), 0)</f>
        <v>0</v>
      </c>
      <c r="H149" s="360">
        <f ca="1">IFERROR(AVERAGE(G149,G153),0)</f>
        <v>0</v>
      </c>
      <c r="I149" s="575"/>
      <c r="J149" s="287" t="str">
        <f>F149</f>
        <v/>
      </c>
      <c r="K149" s="346">
        <f ca="1">IFERROR(INDEX(INDIRECT("Ans" &amp; E149 &amp; "TBL"), MATCH(J149, INDEX(INDIRECT("Ans" &amp; E149 &amp; "TBL"), 0, 1), 0), 2), 0)</f>
        <v>0</v>
      </c>
      <c r="L149" s="360">
        <f ca="1">IFERROR(AVERAGE(K149,K153),0)</f>
        <v>0</v>
      </c>
      <c r="M149" s="575"/>
      <c r="N149" s="287" t="str">
        <f>J149</f>
        <v/>
      </c>
      <c r="O149" s="346">
        <f ca="1">IFERROR(INDEX(INDIRECT("Ans" &amp; E149 &amp; "TBL"), MATCH(N149, INDEX(INDIRECT("Ans" &amp; E149 &amp; "TBL"), 0, 1), 0), 2), 0)</f>
        <v>0</v>
      </c>
      <c r="P149" s="360">
        <f ca="1">IFERROR(AVERAGE(O149,O153),0)</f>
        <v>0</v>
      </c>
      <c r="Q149" s="575"/>
      <c r="R149" s="287" t="str">
        <f>N149</f>
        <v/>
      </c>
      <c r="S149" s="135">
        <f ca="1">IFERROR(INDEX(INDIRECT("Ans" &amp; E149 &amp; "TBL"), MATCH(R149, INDEX(INDIRECT("Ans" &amp; E149 &amp; "TBL"), 0, 1), 0), 2), 0)</f>
        <v>0</v>
      </c>
      <c r="T149" s="414">
        <f ca="1">IFERROR(AVERAGE(S149,S153),0)</f>
        <v>0</v>
      </c>
      <c r="U149" s="575"/>
      <c r="V149" s="287" t="str">
        <f>R149</f>
        <v/>
      </c>
      <c r="W149" s="346">
        <f ca="1">IFERROR(INDEX(INDIRECT("Ans" &amp; E149 &amp; "TBL"), MATCH(V149, INDEX(INDIRECT("Ans" &amp; E149 &amp; "TBL"), 0, 1), 0), 2), 0)</f>
        <v>0</v>
      </c>
      <c r="X149" s="360">
        <f ca="1">IFERROR(AVERAGE(W149,W153),0)</f>
        <v>0</v>
      </c>
      <c r="Y149" s="575"/>
      <c r="Z149" s="575"/>
    </row>
    <row r="150" spans="1:26" ht="28.25" customHeight="1" x14ac:dyDescent="0.35">
      <c r="A150" s="87" t="str">
        <f>Interview!A222</f>
        <v>O-OM-A-3-1</v>
      </c>
      <c r="B150" s="602"/>
      <c r="C150" s="252">
        <f>INDEX('imp-questions'!E:E, MATCH(A150, 'imp-questions'!A:A, 0))</f>
        <v>3</v>
      </c>
      <c r="D150" s="296" t="str">
        <f>INDEX('imp-questions'!F:F, MATCH(A150, 'imp-questions'!A:A, 0))</f>
        <v>Do you regularly review and update the data catalog and your data protection policies and procedures?</v>
      </c>
      <c r="E150" s="329" t="str">
        <f>CHAR(65+INDEX('imp-questions'!H:H, MATCH(A150, 'imp-questions'!A:A, 0)))</f>
        <v>K</v>
      </c>
      <c r="F150" s="297" t="str">
        <f>IF(ISBLANK(Interview!F222),"",Interview!F222)</f>
        <v/>
      </c>
      <c r="G150" s="349">
        <f ca="1">IFERROR(INDEX(INDIRECT("Ans" &amp; E150 &amp; "TBL"), MATCH(F150, INDEX(INDIRECT("Ans" &amp; E150 &amp; "TBL"), 0, 1), 0), 2), 0)</f>
        <v>0</v>
      </c>
      <c r="H150" s="364">
        <f ca="1">IFERROR(AVERAGE(G150,G154),0)</f>
        <v>0</v>
      </c>
      <c r="I150" s="575"/>
      <c r="J150" s="287" t="str">
        <f>F150</f>
        <v/>
      </c>
      <c r="K150" s="349">
        <f ca="1">IFERROR(INDEX(INDIRECT("Ans" &amp; E150 &amp; "TBL"), MATCH(J150, INDEX(INDIRECT("Ans" &amp; E150 &amp; "TBL"), 0, 1), 0), 2), 0)</f>
        <v>0</v>
      </c>
      <c r="L150" s="364">
        <f ca="1">IFERROR(AVERAGE(K150,K154),0)</f>
        <v>0</v>
      </c>
      <c r="M150" s="575"/>
      <c r="N150" s="287" t="str">
        <f>J150</f>
        <v/>
      </c>
      <c r="O150" s="349">
        <f ca="1">IFERROR(INDEX(INDIRECT("Ans" &amp; E150 &amp; "TBL"), MATCH(N150, INDEX(INDIRECT("Ans" &amp; E150 &amp; "TBL"), 0, 1), 0), 2), 0)</f>
        <v>0</v>
      </c>
      <c r="P150" s="364">
        <f ca="1">IFERROR(AVERAGE(O150,O154),0)</f>
        <v>0</v>
      </c>
      <c r="Q150" s="575"/>
      <c r="R150" s="287" t="str">
        <f>N150</f>
        <v/>
      </c>
      <c r="S150" s="135">
        <f ca="1">IFERROR(INDEX(INDIRECT("Ans" &amp; E150 &amp; "TBL"), MATCH(R150, INDEX(INDIRECT("Ans" &amp; E150 &amp; "TBL"), 0, 1), 0), 2), 0)</f>
        <v>0</v>
      </c>
      <c r="T150" s="414">
        <f ca="1">IFERROR(AVERAGE(S150,S154),0)</f>
        <v>0</v>
      </c>
      <c r="U150" s="575"/>
      <c r="V150" s="287" t="str">
        <f>R150</f>
        <v/>
      </c>
      <c r="W150" s="349">
        <f ca="1">IFERROR(INDEX(INDIRECT("Ans" &amp; E150 &amp; "TBL"), MATCH(V150, INDEX(INDIRECT("Ans" &amp; E150 &amp; "TBL"), 0, 1), 0), 2), 0)</f>
        <v>0</v>
      </c>
      <c r="X150" s="364">
        <f ca="1">IFERROR(AVERAGE(W150,W154),0)</f>
        <v>0</v>
      </c>
      <c r="Y150" s="575"/>
      <c r="Z150" s="575"/>
    </row>
    <row r="151" spans="1:26" ht="13.05" customHeight="1" x14ac:dyDescent="0.35">
      <c r="B151" s="242"/>
      <c r="C151" s="236"/>
      <c r="D151" s="125"/>
      <c r="E151" s="153"/>
      <c r="F151" s="125"/>
      <c r="G151" s="153"/>
      <c r="H151" s="153"/>
      <c r="I151" s="575"/>
      <c r="J151" s="125"/>
      <c r="K151" s="153"/>
      <c r="L151" s="153"/>
      <c r="M151" s="575"/>
      <c r="N151" s="125"/>
      <c r="O151" s="125"/>
      <c r="P151" s="153"/>
      <c r="Q151" s="575"/>
      <c r="R151" s="125"/>
      <c r="S151" s="153"/>
      <c r="T151" s="153"/>
      <c r="U151" s="575"/>
      <c r="V151" s="125"/>
      <c r="W151" s="125"/>
      <c r="X151" s="153"/>
      <c r="Y151" s="575"/>
      <c r="Z151" s="575"/>
    </row>
    <row r="152" spans="1:26" ht="40.25" customHeight="1" x14ac:dyDescent="0.35">
      <c r="A152" s="87" t="str">
        <f>Interview!A225</f>
        <v>O-OM-B-1-1</v>
      </c>
      <c r="B152" s="606" t="str">
        <f>INDEX('imp-questions'!D:D, MATCH(A152, 'imp-questions'!A:A, 0))</f>
        <v>System Decommissioning / Legacy Management</v>
      </c>
      <c r="C152" s="252">
        <f>INDEX('imp-questions'!E:E, MATCH(A152, 'imp-questions'!A:A, 0))</f>
        <v>1</v>
      </c>
      <c r="D152" s="300" t="str">
        <f>INDEX('imp-questions'!F:F, MATCH(A152, 'imp-questions'!A:A, 0))</f>
        <v>Do you identify and remove systems, applications, application dependencies, or services that are no longer used, have reached end of life, or are no longer actively developed or supported?</v>
      </c>
      <c r="E152" s="329" t="str">
        <f>CHAR(65+INDEX('imp-questions'!H:H, MATCH(A152, 'imp-questions'!A:A, 0)))</f>
        <v>A</v>
      </c>
      <c r="F152" s="287" t="str">
        <f>IF(ISBLANK(Interview!F225),"",Interview!F225)</f>
        <v/>
      </c>
      <c r="G152" s="343">
        <f ca="1">IFERROR(INDEX(INDIRECT("Ans" &amp; E152 &amp; "TBL"), MATCH(F152, INDEX(INDIRECT("Ans" &amp; E152 &amp; "TBL"), 0, 1), 0), 2), 0)</f>
        <v>0</v>
      </c>
      <c r="H152" s="342"/>
      <c r="I152" s="575"/>
      <c r="J152" s="287" t="str">
        <f>F152</f>
        <v/>
      </c>
      <c r="K152" s="343">
        <f ca="1">IFERROR(INDEX(INDIRECT("Ans" &amp; E152 &amp; "TBL"), MATCH(J152, INDEX(INDIRECT("Ans" &amp; E152 &amp; "TBL"), 0, 1), 0), 2), 0)</f>
        <v>0</v>
      </c>
      <c r="L152" s="342"/>
      <c r="M152" s="575"/>
      <c r="N152" s="287" t="str">
        <f>J152</f>
        <v/>
      </c>
      <c r="O152" s="305">
        <f ca="1">IFERROR(INDEX(INDIRECT("Ans" &amp; E152 &amp; "TBL"), MATCH(N152, INDEX(INDIRECT("Ans" &amp; E152 &amp; "TBL"), 0, 1), 0), 2), 0)</f>
        <v>0</v>
      </c>
      <c r="P152" s="323"/>
      <c r="Q152" s="575"/>
      <c r="R152" s="287" t="str">
        <f>N152</f>
        <v/>
      </c>
      <c r="S152" s="135">
        <f ca="1">IFERROR(INDEX(INDIRECT("Ans" &amp; E152 &amp; "TBL"), MATCH(R152, INDEX(INDIRECT("Ans" &amp; E152 &amp; "TBL"), 0, 1), 0), 2), 0)</f>
        <v>0</v>
      </c>
      <c r="T152" s="326"/>
      <c r="U152" s="575"/>
      <c r="V152" s="287" t="str">
        <f>R152</f>
        <v/>
      </c>
      <c r="W152" s="305">
        <f ca="1">IFERROR(INDEX(INDIRECT("Ans" &amp; E152 &amp; "TBL"), MATCH(V152, INDEX(INDIRECT("Ans" &amp; E152 &amp; "TBL"), 0, 1), 0), 2), 0)</f>
        <v>0</v>
      </c>
      <c r="X152" s="323"/>
      <c r="Y152" s="575"/>
      <c r="Z152" s="575"/>
    </row>
    <row r="153" spans="1:26" ht="40.25" customHeight="1" x14ac:dyDescent="0.35">
      <c r="A153" s="87" t="str">
        <f>Interview!A227</f>
        <v>O-OM-B-2-1</v>
      </c>
      <c r="B153" s="601"/>
      <c r="C153" s="252">
        <f>INDEX('imp-questions'!E:E, MATCH(A153, 'imp-questions'!A:A, 0))</f>
        <v>2</v>
      </c>
      <c r="D153" s="300" t="str">
        <f>INDEX('imp-questions'!F:F, MATCH(A153, 'imp-questions'!A:A, 0))</f>
        <v>Do you follow an established process for removing all associated resources, as part of decommissioning of unused systems, applications, application dependencies, or services?</v>
      </c>
      <c r="E153" s="329" t="str">
        <f>CHAR(65+INDEX('imp-questions'!H:H, MATCH(A153, 'imp-questions'!A:A, 0)))</f>
        <v>E</v>
      </c>
      <c r="F153" s="284" t="str">
        <f>IF(ISBLANK(Interview!F227),"",Interview!F227)</f>
        <v/>
      </c>
      <c r="G153" s="346">
        <f ca="1">IFERROR(INDEX(INDIRECT("Ans" &amp; E153 &amp; "TBL"), MATCH(F153, INDEX(INDIRECT("Ans" &amp; E153 &amp; "TBL"), 0, 1), 0), 2), 0)</f>
        <v>0</v>
      </c>
      <c r="H153" s="345"/>
      <c r="I153" s="575"/>
      <c r="J153" s="287" t="str">
        <f>F153</f>
        <v/>
      </c>
      <c r="K153" s="346">
        <f ca="1">IFERROR(INDEX(INDIRECT("Ans" &amp; E153 &amp; "TBL"), MATCH(J153, INDEX(INDIRECT("Ans" &amp; E153 &amp; "TBL"), 0, 1), 0), 2), 0)</f>
        <v>0</v>
      </c>
      <c r="L153" s="345"/>
      <c r="M153" s="575"/>
      <c r="N153" s="287" t="str">
        <f>J153</f>
        <v/>
      </c>
      <c r="O153" s="305">
        <f ca="1">IFERROR(INDEX(INDIRECT("Ans" &amp; E153 &amp; "TBL"), MATCH(N153, INDEX(INDIRECT("Ans" &amp; E153 &amp; "TBL"), 0, 1), 0), 2), 0)</f>
        <v>0</v>
      </c>
      <c r="P153" s="308"/>
      <c r="Q153" s="575"/>
      <c r="R153" s="287" t="str">
        <f>N153</f>
        <v/>
      </c>
      <c r="S153" s="135">
        <f ca="1">IFERROR(INDEX(INDIRECT("Ans" &amp; E153 &amp; "TBL"), MATCH(R153, INDEX(INDIRECT("Ans" &amp; E153 &amp; "TBL"), 0, 1), 0), 2), 0)</f>
        <v>0</v>
      </c>
      <c r="T153" s="309"/>
      <c r="U153" s="575"/>
      <c r="V153" s="287" t="str">
        <f>R153</f>
        <v/>
      </c>
      <c r="W153" s="305">
        <f ca="1">IFERROR(INDEX(INDIRECT("Ans" &amp; E153 &amp; "TBL"), MATCH(V153, INDEX(INDIRECT("Ans" &amp; E153 &amp; "TBL"), 0, 1), 0), 2), 0)</f>
        <v>0</v>
      </c>
      <c r="X153" s="308"/>
      <c r="Y153" s="575"/>
      <c r="Z153" s="575"/>
    </row>
    <row r="154" spans="1:26" ht="28.25" customHeight="1" x14ac:dyDescent="0.35">
      <c r="A154" s="87" t="str">
        <f>Interview!A229</f>
        <v>O-OM-B-3-1</v>
      </c>
      <c r="B154" s="605"/>
      <c r="C154" s="252">
        <f>INDEX('imp-questions'!E:E, MATCH(A154, 'imp-questions'!A:A, 0))</f>
        <v>3</v>
      </c>
      <c r="D154" s="296" t="str">
        <f>INDEX('imp-questions'!F:F, MATCH(A154, 'imp-questions'!A:A, 0))</f>
        <v>Do you regularly evaluate the lifecycle state and support status of every software asset and underlying infrastructure component, and estimate their end of life?</v>
      </c>
      <c r="E154" s="329" t="str">
        <f>CHAR(65+INDEX('imp-questions'!H:H, MATCH(A154, 'imp-questions'!A:A, 0)))</f>
        <v>L</v>
      </c>
      <c r="F154" s="284" t="str">
        <f>IF(ISBLANK(Interview!F229),"",Interview!F229)</f>
        <v/>
      </c>
      <c r="G154" s="349">
        <f ca="1">IFERROR(INDEX(INDIRECT("Ans" &amp; E154 &amp; "TBL"), MATCH(F154, INDEX(INDIRECT("Ans" &amp; E154 &amp; "TBL"), 0, 1), 0), 2), 0)</f>
        <v>0</v>
      </c>
      <c r="H154" s="348"/>
      <c r="I154" s="575"/>
      <c r="J154" s="287" t="str">
        <f>F154</f>
        <v/>
      </c>
      <c r="K154" s="349">
        <f ca="1">IFERROR(INDEX(INDIRECT("Ans" &amp; E154 &amp; "TBL"), MATCH(J154, INDEX(INDIRECT("Ans" &amp; E154 &amp; "TBL"), 0, 1), 0), 2), 0)</f>
        <v>0</v>
      </c>
      <c r="L154" s="348"/>
      <c r="M154" s="575"/>
      <c r="N154" s="287" t="str">
        <f>J154</f>
        <v/>
      </c>
      <c r="O154" s="415">
        <f ca="1">IFERROR(INDEX(INDIRECT("Ans" &amp; E154 &amp; "TBL"), MATCH(N154, INDEX(INDIRECT("Ans" &amp; E154 &amp; "TBL"), 0, 1), 0), 2), 0)</f>
        <v>0</v>
      </c>
      <c r="P154" s="311"/>
      <c r="Q154" s="575"/>
      <c r="R154" s="287" t="str">
        <f>N154</f>
        <v/>
      </c>
      <c r="S154" s="135">
        <f ca="1">IFERROR(INDEX(INDIRECT("Ans" &amp; E154 &amp; "TBL"), MATCH(R154, INDEX(INDIRECT("Ans" &amp; E154 &amp; "TBL"), 0, 1), 0), 2), 0)</f>
        <v>0</v>
      </c>
      <c r="T154" s="312"/>
      <c r="U154" s="575"/>
      <c r="V154" s="287" t="str">
        <f>R154</f>
        <v/>
      </c>
      <c r="W154" s="135">
        <f ca="1">IFERROR(INDEX(INDIRECT("Ans" &amp; E154 &amp; "TBL"), MATCH(V154, INDEX(INDIRECT("Ans" &amp; E154 &amp; "TBL"), 0, 1), 0), 2), 0)</f>
        <v>0</v>
      </c>
      <c r="X154" s="311"/>
      <c r="Y154" s="575"/>
      <c r="Z154" s="575"/>
    </row>
  </sheetData>
  <mergeCells count="155">
    <mergeCell ref="N16:Q16"/>
    <mergeCell ref="R16:U16"/>
    <mergeCell ref="B46:B48"/>
    <mergeCell ref="F16:I16"/>
    <mergeCell ref="B72:D72"/>
    <mergeCell ref="B16:D16"/>
    <mergeCell ref="B44:D44"/>
    <mergeCell ref="B100:D100"/>
    <mergeCell ref="B128:D128"/>
    <mergeCell ref="J44:M44"/>
    <mergeCell ref="M46:M52"/>
    <mergeCell ref="M55:M61"/>
    <mergeCell ref="M64:M70"/>
    <mergeCell ref="F44:I44"/>
    <mergeCell ref="F72:I72"/>
    <mergeCell ref="B31:B33"/>
    <mergeCell ref="B40:B42"/>
    <mergeCell ref="B36:B38"/>
    <mergeCell ref="M36:M42"/>
    <mergeCell ref="N72:Q72"/>
    <mergeCell ref="B50:B52"/>
    <mergeCell ref="B55:B57"/>
    <mergeCell ref="J72:M72"/>
    <mergeCell ref="B10:C10"/>
    <mergeCell ref="B11:C11"/>
    <mergeCell ref="B12:C12"/>
    <mergeCell ref="B13:C13"/>
    <mergeCell ref="B14:C14"/>
    <mergeCell ref="J16:M16"/>
    <mergeCell ref="B18:B20"/>
    <mergeCell ref="B22:B24"/>
    <mergeCell ref="B27:B29"/>
    <mergeCell ref="M18:M24"/>
    <mergeCell ref="M27:M33"/>
    <mergeCell ref="B143:B145"/>
    <mergeCell ref="I74:I80"/>
    <mergeCell ref="I83:I89"/>
    <mergeCell ref="I92:I98"/>
    <mergeCell ref="I102:I108"/>
    <mergeCell ref="I111:I117"/>
    <mergeCell ref="I120:I126"/>
    <mergeCell ref="Q139:Q145"/>
    <mergeCell ref="N100:Q100"/>
    <mergeCell ref="N128:Q128"/>
    <mergeCell ref="B83:B85"/>
    <mergeCell ref="M74:M80"/>
    <mergeCell ref="B139:B141"/>
    <mergeCell ref="B148:B150"/>
    <mergeCell ref="B130:B132"/>
    <mergeCell ref="B134:B136"/>
    <mergeCell ref="B87:B89"/>
    <mergeCell ref="B92:B94"/>
    <mergeCell ref="B96:B98"/>
    <mergeCell ref="B152:B154"/>
    <mergeCell ref="I18:I24"/>
    <mergeCell ref="I27:I33"/>
    <mergeCell ref="I36:I42"/>
    <mergeCell ref="I46:I52"/>
    <mergeCell ref="I55:I61"/>
    <mergeCell ref="I64:I70"/>
    <mergeCell ref="B102:B104"/>
    <mergeCell ref="B106:B108"/>
    <mergeCell ref="B111:B113"/>
    <mergeCell ref="B115:B117"/>
    <mergeCell ref="B120:B122"/>
    <mergeCell ref="B124:B126"/>
    <mergeCell ref="B59:B61"/>
    <mergeCell ref="B64:B66"/>
    <mergeCell ref="B68:B70"/>
    <mergeCell ref="B74:B76"/>
    <mergeCell ref="B78:B80"/>
    <mergeCell ref="M148:M154"/>
    <mergeCell ref="M83:M89"/>
    <mergeCell ref="M92:M98"/>
    <mergeCell ref="M102:M108"/>
    <mergeCell ref="M111:M117"/>
    <mergeCell ref="M120:M126"/>
    <mergeCell ref="M130:M136"/>
    <mergeCell ref="I148:I154"/>
    <mergeCell ref="I139:I145"/>
    <mergeCell ref="I130:I136"/>
    <mergeCell ref="J100:M100"/>
    <mergeCell ref="J128:M128"/>
    <mergeCell ref="M139:M145"/>
    <mergeCell ref="F100:I100"/>
    <mergeCell ref="F128:I128"/>
    <mergeCell ref="Q148:Q154"/>
    <mergeCell ref="U18:U24"/>
    <mergeCell ref="U27:U33"/>
    <mergeCell ref="U36:U42"/>
    <mergeCell ref="U46:U52"/>
    <mergeCell ref="U55:U61"/>
    <mergeCell ref="U64:U70"/>
    <mergeCell ref="U74:U80"/>
    <mergeCell ref="U83:U89"/>
    <mergeCell ref="Q18:Q24"/>
    <mergeCell ref="Q27:Q33"/>
    <mergeCell ref="Q36:Q42"/>
    <mergeCell ref="Q46:Q52"/>
    <mergeCell ref="Q55:Q61"/>
    <mergeCell ref="Q64:Q70"/>
    <mergeCell ref="Q74:Q80"/>
    <mergeCell ref="Q83:Q89"/>
    <mergeCell ref="Q92:Q98"/>
    <mergeCell ref="Q102:Q108"/>
    <mergeCell ref="Q111:Q117"/>
    <mergeCell ref="Q120:Q126"/>
    <mergeCell ref="Q130:Q136"/>
    <mergeCell ref="R72:U72"/>
    <mergeCell ref="N44:Q44"/>
    <mergeCell ref="U148:U154"/>
    <mergeCell ref="Y18:Y24"/>
    <mergeCell ref="Y27:Y33"/>
    <mergeCell ref="Y36:Y42"/>
    <mergeCell ref="Y46:Y52"/>
    <mergeCell ref="Y55:Y61"/>
    <mergeCell ref="Y64:Y70"/>
    <mergeCell ref="Y74:Y80"/>
    <mergeCell ref="Y83:Y89"/>
    <mergeCell ref="Y92:Y98"/>
    <mergeCell ref="U92:U98"/>
    <mergeCell ref="U102:U108"/>
    <mergeCell ref="U111:U117"/>
    <mergeCell ref="U120:U126"/>
    <mergeCell ref="U130:U136"/>
    <mergeCell ref="U139:U145"/>
    <mergeCell ref="Y102:Y108"/>
    <mergeCell ref="Y111:Y117"/>
    <mergeCell ref="Y120:Y126"/>
    <mergeCell ref="Y130:Y136"/>
    <mergeCell ref="R44:U44"/>
    <mergeCell ref="R128:U128"/>
    <mergeCell ref="R100:U100"/>
    <mergeCell ref="Y139:Y145"/>
    <mergeCell ref="V16:Z16"/>
    <mergeCell ref="Z102:Z108"/>
    <mergeCell ref="Z111:Z117"/>
    <mergeCell ref="Z120:Z126"/>
    <mergeCell ref="Z130:Z136"/>
    <mergeCell ref="Z139:Z145"/>
    <mergeCell ref="Z148:Z154"/>
    <mergeCell ref="V128:Z128"/>
    <mergeCell ref="V100:Z100"/>
    <mergeCell ref="Z18:Z24"/>
    <mergeCell ref="Z27:Z33"/>
    <mergeCell ref="Z36:Z42"/>
    <mergeCell ref="Z46:Z52"/>
    <mergeCell ref="Z55:Z61"/>
    <mergeCell ref="Z64:Z70"/>
    <mergeCell ref="Z74:Z80"/>
    <mergeCell ref="Z83:Z89"/>
    <mergeCell ref="Z92:Z98"/>
    <mergeCell ref="V72:Z72"/>
    <mergeCell ref="V44:Z44"/>
    <mergeCell ref="Y148:Y154"/>
  </mergeCells>
  <conditionalFormatting sqref="F15">
    <cfRule type="expression" dxfId="240" priority="1575">
      <formula>$H$22=1</formula>
    </cfRule>
  </conditionalFormatting>
  <conditionalFormatting sqref="J18:J20">
    <cfRule type="expression" dxfId="239" priority="7">
      <formula>K18&lt;G18</formula>
    </cfRule>
    <cfRule type="expression" dxfId="238" priority="8">
      <formula>K18&gt;G18</formula>
    </cfRule>
  </conditionalFormatting>
  <conditionalFormatting sqref="J22:J24">
    <cfRule type="expression" dxfId="237" priority="283">
      <formula>K22&lt;G22</formula>
    </cfRule>
    <cfRule type="expression" dxfId="236" priority="284">
      <formula>K22&gt;G22</formula>
    </cfRule>
  </conditionalFormatting>
  <conditionalFormatting sqref="J27:J29">
    <cfRule type="expression" dxfId="235" priority="277">
      <formula>K27&lt;G27</formula>
    </cfRule>
    <cfRule type="expression" dxfId="234" priority="278">
      <formula>K27&gt;G27</formula>
    </cfRule>
  </conditionalFormatting>
  <conditionalFormatting sqref="J31:J33">
    <cfRule type="expression" dxfId="233" priority="261">
      <formula>K31&lt;G31</formula>
    </cfRule>
    <cfRule type="expression" dxfId="232" priority="262">
      <formula>K31&gt;G31</formula>
    </cfRule>
  </conditionalFormatting>
  <conditionalFormatting sqref="J36:J38">
    <cfRule type="expression" dxfId="231" priority="259">
      <formula>K36&lt;G36</formula>
    </cfRule>
    <cfRule type="expression" dxfId="230" priority="260">
      <formula>K36&gt;G36</formula>
    </cfRule>
  </conditionalFormatting>
  <conditionalFormatting sqref="J40:J42">
    <cfRule type="expression" dxfId="229" priority="257">
      <formula>K40&lt;G40</formula>
    </cfRule>
    <cfRule type="expression" dxfId="228" priority="258">
      <formula>K40&gt;G40</formula>
    </cfRule>
  </conditionalFormatting>
  <conditionalFormatting sqref="J46:J48">
    <cfRule type="expression" dxfId="227" priority="1533">
      <formula>K46&lt;G46</formula>
    </cfRule>
    <cfRule type="expression" dxfId="226" priority="1534">
      <formula>K46&gt;G46</formula>
    </cfRule>
  </conditionalFormatting>
  <conditionalFormatting sqref="J50:J52">
    <cfRule type="expression" dxfId="225" priority="237">
      <formula>K50&lt;G50</formula>
    </cfRule>
    <cfRule type="expression" dxfId="224" priority="238">
      <formula>K50&gt;G50</formula>
    </cfRule>
  </conditionalFormatting>
  <conditionalFormatting sqref="J55:J57">
    <cfRule type="expression" dxfId="223" priority="235">
      <formula>K55&lt;G55</formula>
    </cfRule>
    <cfRule type="expression" dxfId="222" priority="236">
      <formula>K55&gt;G55</formula>
    </cfRule>
  </conditionalFormatting>
  <conditionalFormatting sqref="J59:J61">
    <cfRule type="expression" dxfId="221" priority="233">
      <formula>K59&lt;G59</formula>
    </cfRule>
    <cfRule type="expression" dxfId="220" priority="234">
      <formula>K59&gt;G59</formula>
    </cfRule>
  </conditionalFormatting>
  <conditionalFormatting sqref="J64:J66">
    <cfRule type="expression" dxfId="219" priority="207">
      <formula>K64&lt;G64</formula>
    </cfRule>
    <cfRule type="expression" dxfId="218" priority="208">
      <formula>K64&gt;G64</formula>
    </cfRule>
  </conditionalFormatting>
  <conditionalFormatting sqref="J68:J70">
    <cfRule type="expression" dxfId="217" priority="205">
      <formula>K68&lt;G68</formula>
    </cfRule>
    <cfRule type="expression" dxfId="216" priority="206">
      <formula>K68&gt;G68</formula>
    </cfRule>
  </conditionalFormatting>
  <conditionalFormatting sqref="J74:J76">
    <cfRule type="expression" dxfId="215" priority="191">
      <formula>K74&lt;G74</formula>
    </cfRule>
    <cfRule type="expression" dxfId="214" priority="192">
      <formula>K74&gt;G74</formula>
    </cfRule>
  </conditionalFormatting>
  <conditionalFormatting sqref="J78:J80">
    <cfRule type="expression" dxfId="213" priority="145">
      <formula>K78&lt;G78</formula>
    </cfRule>
    <cfRule type="expression" dxfId="212" priority="146">
      <formula>K78&gt;G78</formula>
    </cfRule>
  </conditionalFormatting>
  <conditionalFormatting sqref="J83:J85">
    <cfRule type="expression" dxfId="211" priority="143">
      <formula>K83&lt;G83</formula>
    </cfRule>
    <cfRule type="expression" dxfId="210" priority="144">
      <formula>K83&gt;G83</formula>
    </cfRule>
  </conditionalFormatting>
  <conditionalFormatting sqref="J87:J89">
    <cfRule type="expression" dxfId="209" priority="141">
      <formula>K87&lt;G87</formula>
    </cfRule>
    <cfRule type="expression" dxfId="208" priority="142">
      <formula>K87&gt;G87</formula>
    </cfRule>
  </conditionalFormatting>
  <conditionalFormatting sqref="J92:J94">
    <cfRule type="expression" dxfId="207" priority="115">
      <formula>K92&lt;G92</formula>
    </cfRule>
    <cfRule type="expression" dxfId="206" priority="116">
      <formula>K92&gt;G92</formula>
    </cfRule>
  </conditionalFormatting>
  <conditionalFormatting sqref="J96:J98">
    <cfRule type="expression" dxfId="205" priority="113">
      <formula>K96&lt;G96</formula>
    </cfRule>
    <cfRule type="expression" dxfId="204" priority="114">
      <formula>K96&gt;G96</formula>
    </cfRule>
  </conditionalFormatting>
  <conditionalFormatting sqref="J102:J104">
    <cfRule type="expression" dxfId="203" priority="185">
      <formula>K102&gt;G102</formula>
    </cfRule>
    <cfRule type="expression" dxfId="202" priority="186">
      <formula>K102&lt;G102</formula>
    </cfRule>
  </conditionalFormatting>
  <conditionalFormatting sqref="J106:J108">
    <cfRule type="expression" dxfId="201" priority="99">
      <formula>K106&gt;G106</formula>
    </cfRule>
    <cfRule type="expression" dxfId="200" priority="100">
      <formula>K106&lt;G106</formula>
    </cfRule>
  </conditionalFormatting>
  <conditionalFormatting sqref="J111:J113">
    <cfRule type="expression" dxfId="199" priority="97">
      <formula>K111&gt;G111</formula>
    </cfRule>
    <cfRule type="expression" dxfId="198" priority="98">
      <formula>K111&lt;G111</formula>
    </cfRule>
  </conditionalFormatting>
  <conditionalFormatting sqref="J115:J117">
    <cfRule type="expression" dxfId="197" priority="95">
      <formula>K115&gt;G115</formula>
    </cfRule>
    <cfRule type="expression" dxfId="196" priority="96">
      <formula>K115&lt;G115</formula>
    </cfRule>
  </conditionalFormatting>
  <conditionalFormatting sqref="J120:J122">
    <cfRule type="expression" dxfId="195" priority="69">
      <formula>K120&gt;G120</formula>
    </cfRule>
    <cfRule type="expression" dxfId="194" priority="70">
      <formula>K120&lt;G120</formula>
    </cfRule>
  </conditionalFormatting>
  <conditionalFormatting sqref="J124:J126">
    <cfRule type="expression" dxfId="193" priority="67">
      <formula>K124&gt;G124</formula>
    </cfRule>
    <cfRule type="expression" dxfId="192" priority="68">
      <formula>K124&lt;G124</formula>
    </cfRule>
  </conditionalFormatting>
  <conditionalFormatting sqref="J130:J132">
    <cfRule type="expression" dxfId="191" priority="1427">
      <formula>K130&lt;G130</formula>
    </cfRule>
    <cfRule type="expression" dxfId="190" priority="1428">
      <formula>K130&gt;G130</formula>
    </cfRule>
  </conditionalFormatting>
  <conditionalFormatting sqref="J134:J136">
    <cfRule type="expression" dxfId="189" priority="53">
      <formula>K134&lt;G134</formula>
    </cfRule>
    <cfRule type="expression" dxfId="188" priority="54">
      <formula>K134&gt;G134</formula>
    </cfRule>
  </conditionalFormatting>
  <conditionalFormatting sqref="J139:J141">
    <cfRule type="expression" dxfId="187" priority="51">
      <formula>K139&lt;G139</formula>
    </cfRule>
    <cfRule type="expression" dxfId="186" priority="52">
      <formula>K139&gt;G139</formula>
    </cfRule>
  </conditionalFormatting>
  <conditionalFormatting sqref="J143:J145">
    <cfRule type="expression" dxfId="185" priority="49">
      <formula>K143&lt;G143</formula>
    </cfRule>
    <cfRule type="expression" dxfId="184" priority="50">
      <formula>K143&gt;G143</formula>
    </cfRule>
  </conditionalFormatting>
  <conditionalFormatting sqref="J148:J150">
    <cfRule type="expression" dxfId="183" priority="23">
      <formula>K148&lt;G148</formula>
    </cfRule>
    <cfRule type="expression" dxfId="182" priority="24">
      <formula>K148&gt;G148</formula>
    </cfRule>
  </conditionalFormatting>
  <conditionalFormatting sqref="J152:J154">
    <cfRule type="expression" dxfId="181" priority="21">
      <formula>K152&lt;G152</formula>
    </cfRule>
    <cfRule type="expression" dxfId="180" priority="22">
      <formula>K152&gt;G152</formula>
    </cfRule>
  </conditionalFormatting>
  <conditionalFormatting sqref="N18:N20">
    <cfRule type="expression" dxfId="179" priority="5">
      <formula>O18&lt;K18</formula>
    </cfRule>
    <cfRule type="expression" dxfId="178" priority="6">
      <formula>O18&gt;K18</formula>
    </cfRule>
  </conditionalFormatting>
  <conditionalFormatting sqref="N22:N24">
    <cfRule type="expression" dxfId="177" priority="279">
      <formula>O22&lt;K22</formula>
    </cfRule>
    <cfRule type="expression" dxfId="176" priority="280">
      <formula>O22&gt;K22</formula>
    </cfRule>
  </conditionalFormatting>
  <conditionalFormatting sqref="N27:N29">
    <cfRule type="expression" dxfId="175" priority="275">
      <formula>O27&lt;K27</formula>
    </cfRule>
    <cfRule type="expression" dxfId="174" priority="276">
      <formula>O27&gt;K27</formula>
    </cfRule>
  </conditionalFormatting>
  <conditionalFormatting sqref="N31:N33">
    <cfRule type="expression" dxfId="173" priority="255">
      <formula>O31&lt;K31</formula>
    </cfRule>
    <cfRule type="expression" dxfId="172" priority="256">
      <formula>O31&gt;K31</formula>
    </cfRule>
  </conditionalFormatting>
  <conditionalFormatting sqref="N36:N38">
    <cfRule type="expression" dxfId="171" priority="253">
      <formula>O36&lt;K36</formula>
    </cfRule>
    <cfRule type="expression" dxfId="170" priority="254">
      <formula>O36&gt;K36</formula>
    </cfRule>
  </conditionalFormatting>
  <conditionalFormatting sqref="N40:N42">
    <cfRule type="expression" dxfId="169" priority="251">
      <formula>O40&lt;K40</formula>
    </cfRule>
    <cfRule type="expression" dxfId="168" priority="252">
      <formula>O40&gt;K40</formula>
    </cfRule>
  </conditionalFormatting>
  <conditionalFormatting sqref="N46:N48">
    <cfRule type="expression" dxfId="167" priority="231">
      <formula>O46&lt;K46</formula>
    </cfRule>
    <cfRule type="expression" dxfId="166" priority="232">
      <formula>O46&gt;K46</formula>
    </cfRule>
  </conditionalFormatting>
  <conditionalFormatting sqref="N50:N52">
    <cfRule type="expression" dxfId="165" priority="229">
      <formula>O50&lt;K50</formula>
    </cfRule>
    <cfRule type="expression" dxfId="164" priority="230">
      <formula>O50&gt;K50</formula>
    </cfRule>
  </conditionalFormatting>
  <conditionalFormatting sqref="N55:N57">
    <cfRule type="expression" dxfId="163" priority="227">
      <formula>O55&lt;K55</formula>
    </cfRule>
    <cfRule type="expression" dxfId="162" priority="228">
      <formula>O55&gt;K55</formula>
    </cfRule>
  </conditionalFormatting>
  <conditionalFormatting sqref="N59:N61">
    <cfRule type="expression" dxfId="161" priority="225">
      <formula>O59&lt;K59</formula>
    </cfRule>
    <cfRule type="expression" dxfId="160" priority="226">
      <formula>O59&gt;K59</formula>
    </cfRule>
  </conditionalFormatting>
  <conditionalFormatting sqref="N64:N66">
    <cfRule type="expression" dxfId="159" priority="203">
      <formula>O64&lt;K64</formula>
    </cfRule>
    <cfRule type="expression" dxfId="158" priority="204">
      <formula>O64&gt;K64</formula>
    </cfRule>
  </conditionalFormatting>
  <conditionalFormatting sqref="N68:N70">
    <cfRule type="expression" dxfId="157" priority="201">
      <formula>O68&lt;K68</formula>
    </cfRule>
    <cfRule type="expression" dxfId="156" priority="202">
      <formula>O68&gt;K68</formula>
    </cfRule>
  </conditionalFormatting>
  <conditionalFormatting sqref="N74:N76">
    <cfRule type="expression" dxfId="155" priority="139">
      <formula>O74&lt;K74</formula>
    </cfRule>
    <cfRule type="expression" dxfId="154" priority="140">
      <formula>O74&gt;K74</formula>
    </cfRule>
  </conditionalFormatting>
  <conditionalFormatting sqref="N78:N80">
    <cfRule type="expression" dxfId="153" priority="137">
      <formula>O78&lt;K78</formula>
    </cfRule>
    <cfRule type="expression" dxfId="152" priority="138">
      <formula>O78&gt;K78</formula>
    </cfRule>
  </conditionalFormatting>
  <conditionalFormatting sqref="N83:N85">
    <cfRule type="expression" dxfId="151" priority="135">
      <formula>O83&lt;K83</formula>
    </cfRule>
    <cfRule type="expression" dxfId="150" priority="136">
      <formula>O83&gt;K83</formula>
    </cfRule>
  </conditionalFormatting>
  <conditionalFormatting sqref="N87:N89">
    <cfRule type="expression" dxfId="149" priority="133">
      <formula>O87&lt;K87</formula>
    </cfRule>
    <cfRule type="expression" dxfId="148" priority="134">
      <formula>O87&gt;K87</formula>
    </cfRule>
  </conditionalFormatting>
  <conditionalFormatting sqref="N92:N94">
    <cfRule type="expression" dxfId="147" priority="111">
      <formula>O92&lt;K92</formula>
    </cfRule>
    <cfRule type="expression" dxfId="146" priority="112">
      <formula>O92&gt;K92</formula>
    </cfRule>
  </conditionalFormatting>
  <conditionalFormatting sqref="N96:N98">
    <cfRule type="expression" dxfId="145" priority="109">
      <formula>O96&lt;K96</formula>
    </cfRule>
    <cfRule type="expression" dxfId="144" priority="110">
      <formula>O96&gt;K96</formula>
    </cfRule>
  </conditionalFormatting>
  <conditionalFormatting sqref="N102:N104">
    <cfRule type="expression" dxfId="143" priority="93">
      <formula>O102&gt;K102</formula>
    </cfRule>
    <cfRule type="expression" dxfId="142" priority="94">
      <formula>O102&lt;K102</formula>
    </cfRule>
  </conditionalFormatting>
  <conditionalFormatting sqref="N106:N108">
    <cfRule type="expression" dxfId="141" priority="91">
      <formula>O106&gt;K106</formula>
    </cfRule>
    <cfRule type="expression" dxfId="140" priority="92">
      <formula>O106&lt;K106</formula>
    </cfRule>
  </conditionalFormatting>
  <conditionalFormatting sqref="N111:N113">
    <cfRule type="expression" dxfId="139" priority="89">
      <formula>O111&gt;K111</formula>
    </cfRule>
    <cfRule type="expression" dxfId="138" priority="90">
      <formula>O111&lt;K111</formula>
    </cfRule>
  </conditionalFormatting>
  <conditionalFormatting sqref="N115:N117">
    <cfRule type="expression" dxfId="137" priority="87">
      <formula>O115&gt;K115</formula>
    </cfRule>
    <cfRule type="expression" dxfId="136" priority="88">
      <formula>O115&lt;K115</formula>
    </cfRule>
  </conditionalFormatting>
  <conditionalFormatting sqref="N120:N122">
    <cfRule type="expression" dxfId="135" priority="65">
      <formula>O120&gt;K120</formula>
    </cfRule>
    <cfRule type="expression" dxfId="134" priority="66">
      <formula>O120&lt;K120</formula>
    </cfRule>
  </conditionalFormatting>
  <conditionalFormatting sqref="N124:N126">
    <cfRule type="expression" dxfId="133" priority="63">
      <formula>O124&gt;K124</formula>
    </cfRule>
    <cfRule type="expression" dxfId="132" priority="64">
      <formula>O124&lt;K124</formula>
    </cfRule>
  </conditionalFormatting>
  <conditionalFormatting sqref="N130:N132">
    <cfRule type="expression" dxfId="131" priority="47">
      <formula>O130&lt;K130</formula>
    </cfRule>
    <cfRule type="expression" dxfId="130" priority="48">
      <formula>O130&gt;K130</formula>
    </cfRule>
  </conditionalFormatting>
  <conditionalFormatting sqref="N134:N136">
    <cfRule type="expression" dxfId="129" priority="45">
      <formula>O134&lt;K134</formula>
    </cfRule>
    <cfRule type="expression" dxfId="128" priority="46">
      <formula>O134&gt;K134</formula>
    </cfRule>
  </conditionalFormatting>
  <conditionalFormatting sqref="N139:N141">
    <cfRule type="expression" dxfId="127" priority="43">
      <formula>O139&lt;K139</formula>
    </cfRule>
    <cfRule type="expression" dxfId="126" priority="44">
      <formula>O139&gt;K139</formula>
    </cfRule>
  </conditionalFormatting>
  <conditionalFormatting sqref="N143:N145">
    <cfRule type="expression" dxfId="125" priority="41">
      <formula>O143&lt;K143</formula>
    </cfRule>
    <cfRule type="expression" dxfId="124" priority="42">
      <formula>O143&gt;K143</formula>
    </cfRule>
  </conditionalFormatting>
  <conditionalFormatting sqref="N148:N150">
    <cfRule type="expression" dxfId="123" priority="19">
      <formula>O148&lt;K148</formula>
    </cfRule>
    <cfRule type="expression" dxfId="122" priority="20">
      <formula>O148&gt;K148</formula>
    </cfRule>
  </conditionalFormatting>
  <conditionalFormatting sqref="N152:N154">
    <cfRule type="expression" dxfId="121" priority="17">
      <formula>O152&lt;K152</formula>
    </cfRule>
    <cfRule type="expression" dxfId="120" priority="18">
      <formula>O152&gt;K152</formula>
    </cfRule>
  </conditionalFormatting>
  <conditionalFormatting sqref="R18:R20">
    <cfRule type="expression" dxfId="119" priority="3">
      <formula>S18&lt;O18</formula>
    </cfRule>
    <cfRule type="expression" dxfId="118" priority="4">
      <formula>S18&gt;O18</formula>
    </cfRule>
  </conditionalFormatting>
  <conditionalFormatting sqref="R22:R24">
    <cfRule type="expression" dxfId="117" priority="271">
      <formula>S22&lt;O22</formula>
    </cfRule>
    <cfRule type="expression" dxfId="116" priority="272">
      <formula>S22&gt;O22</formula>
    </cfRule>
  </conditionalFormatting>
  <conditionalFormatting sqref="R27:R29">
    <cfRule type="expression" dxfId="115" priority="269">
      <formula>S27&lt;O27</formula>
    </cfRule>
    <cfRule type="expression" dxfId="114" priority="270">
      <formula>S27&gt;O27</formula>
    </cfRule>
  </conditionalFormatting>
  <conditionalFormatting sqref="R31:R33">
    <cfRule type="expression" dxfId="113" priority="249">
      <formula>S31&lt;O31</formula>
    </cfRule>
    <cfRule type="expression" dxfId="112" priority="250">
      <formula>S31&gt;O31</formula>
    </cfRule>
  </conditionalFormatting>
  <conditionalFormatting sqref="R36:R38">
    <cfRule type="expression" dxfId="111" priority="247">
      <formula>S36&lt;O36</formula>
    </cfRule>
    <cfRule type="expression" dxfId="110" priority="248">
      <formula>S36&gt;O36</formula>
    </cfRule>
  </conditionalFormatting>
  <conditionalFormatting sqref="R40:R42">
    <cfRule type="expression" dxfId="109" priority="245">
      <formula>S40&lt;O40</formula>
    </cfRule>
    <cfRule type="expression" dxfId="108" priority="246">
      <formula>S40&gt;O40</formula>
    </cfRule>
  </conditionalFormatting>
  <conditionalFormatting sqref="R46:R48">
    <cfRule type="expression" dxfId="107" priority="223">
      <formula>S46&lt;O46</formula>
    </cfRule>
    <cfRule type="expression" dxfId="106" priority="224">
      <formula>S46&gt;O46</formula>
    </cfRule>
  </conditionalFormatting>
  <conditionalFormatting sqref="R50:R52">
    <cfRule type="expression" dxfId="105" priority="221">
      <formula>S50&lt;O50</formula>
    </cfRule>
    <cfRule type="expression" dxfId="104" priority="222">
      <formula>S50&gt;O50</formula>
    </cfRule>
  </conditionalFormatting>
  <conditionalFormatting sqref="R55:R57">
    <cfRule type="expression" dxfId="103" priority="219">
      <formula>S55&lt;O55</formula>
    </cfRule>
    <cfRule type="expression" dxfId="102" priority="220">
      <formula>S55&gt;O55</formula>
    </cfRule>
  </conditionalFormatting>
  <conditionalFormatting sqref="R59:R61">
    <cfRule type="expression" dxfId="101" priority="217">
      <formula>S59&lt;O59</formula>
    </cfRule>
    <cfRule type="expression" dxfId="100" priority="218">
      <formula>S59&gt;O59</formula>
    </cfRule>
  </conditionalFormatting>
  <conditionalFormatting sqref="R64:R66">
    <cfRule type="expression" dxfId="99" priority="199">
      <formula>S64&lt;O64</formula>
    </cfRule>
    <cfRule type="expression" dxfId="98" priority="200">
      <formula>S64&gt;O64</formula>
    </cfRule>
  </conditionalFormatting>
  <conditionalFormatting sqref="R68:R70">
    <cfRule type="expression" dxfId="97" priority="197">
      <formula>S68&lt;O68</formula>
    </cfRule>
    <cfRule type="expression" dxfId="96" priority="198">
      <formula>S68&gt;O68</formula>
    </cfRule>
  </conditionalFormatting>
  <conditionalFormatting sqref="R74:R76">
    <cfRule type="expression" dxfId="95" priority="131">
      <formula>S74&lt;O74</formula>
    </cfRule>
    <cfRule type="expression" dxfId="94" priority="132">
      <formula>S74&gt;O74</formula>
    </cfRule>
  </conditionalFormatting>
  <conditionalFormatting sqref="R78:R80">
    <cfRule type="expression" dxfId="93" priority="129">
      <formula>S78&lt;O78</formula>
    </cfRule>
    <cfRule type="expression" dxfId="92" priority="130">
      <formula>S78&gt;O78</formula>
    </cfRule>
  </conditionalFormatting>
  <conditionalFormatting sqref="R83:R85">
    <cfRule type="expression" dxfId="91" priority="127">
      <formula>S83&lt;O83</formula>
    </cfRule>
    <cfRule type="expression" dxfId="90" priority="128">
      <formula>S83&gt;O83</formula>
    </cfRule>
  </conditionalFormatting>
  <conditionalFormatting sqref="R87:R89">
    <cfRule type="expression" dxfId="89" priority="125">
      <formula>S87&lt;O87</formula>
    </cfRule>
    <cfRule type="expression" dxfId="88" priority="126">
      <formula>S87&gt;O87</formula>
    </cfRule>
  </conditionalFormatting>
  <conditionalFormatting sqref="R92:R94">
    <cfRule type="expression" dxfId="87" priority="107">
      <formula>S92&lt;O92</formula>
    </cfRule>
    <cfRule type="expression" dxfId="86" priority="108">
      <formula>S92&gt;O92</formula>
    </cfRule>
  </conditionalFormatting>
  <conditionalFormatting sqref="R96:R98">
    <cfRule type="expression" dxfId="85" priority="105">
      <formula>S96&lt;O96</formula>
    </cfRule>
    <cfRule type="expression" dxfId="84" priority="106">
      <formula>S96&gt;O96</formula>
    </cfRule>
  </conditionalFormatting>
  <conditionalFormatting sqref="R102:R104">
    <cfRule type="expression" dxfId="83" priority="85">
      <formula>S102&gt;O102</formula>
    </cfRule>
    <cfRule type="expression" dxfId="82" priority="86">
      <formula>S102&lt;O102</formula>
    </cfRule>
  </conditionalFormatting>
  <conditionalFormatting sqref="R106:R108">
    <cfRule type="expression" dxfId="81" priority="83">
      <formula>S106&gt;O106</formula>
    </cfRule>
    <cfRule type="expression" dxfId="80" priority="84">
      <formula>S106&lt;O106</formula>
    </cfRule>
  </conditionalFormatting>
  <conditionalFormatting sqref="R111:R113">
    <cfRule type="expression" dxfId="79" priority="81">
      <formula>S111&gt;O111</formula>
    </cfRule>
    <cfRule type="expression" dxfId="78" priority="82">
      <formula>S111&lt;O111</formula>
    </cfRule>
  </conditionalFormatting>
  <conditionalFormatting sqref="R115:R117">
    <cfRule type="expression" dxfId="77" priority="79">
      <formula>S115&gt;O115</formula>
    </cfRule>
    <cfRule type="expression" dxfId="76" priority="80">
      <formula>S115&lt;O115</formula>
    </cfRule>
  </conditionalFormatting>
  <conditionalFormatting sqref="R120:R122">
    <cfRule type="expression" dxfId="75" priority="61">
      <formula>S120&gt;O120</formula>
    </cfRule>
    <cfRule type="expression" dxfId="74" priority="62">
      <formula>S120&lt;O120</formula>
    </cfRule>
  </conditionalFormatting>
  <conditionalFormatting sqref="R124:R126">
    <cfRule type="expression" dxfId="73" priority="59">
      <formula>S124&gt;O124</formula>
    </cfRule>
    <cfRule type="expression" dxfId="72" priority="60">
      <formula>S124&lt;O124</formula>
    </cfRule>
  </conditionalFormatting>
  <conditionalFormatting sqref="R130:R132">
    <cfRule type="expression" dxfId="71" priority="39">
      <formula>S130&lt;O130</formula>
    </cfRule>
    <cfRule type="expression" dxfId="70" priority="40">
      <formula>S130&gt;O130</formula>
    </cfRule>
  </conditionalFormatting>
  <conditionalFormatting sqref="R134:R136">
    <cfRule type="expression" dxfId="69" priority="37">
      <formula>S134&lt;O134</formula>
    </cfRule>
    <cfRule type="expression" dxfId="68" priority="38">
      <formula>S134&gt;O134</formula>
    </cfRule>
  </conditionalFormatting>
  <conditionalFormatting sqref="R139:R141">
    <cfRule type="expression" dxfId="67" priority="35">
      <formula>S139&lt;O139</formula>
    </cfRule>
    <cfRule type="expression" dxfId="66" priority="36">
      <formula>S139&gt;O139</formula>
    </cfRule>
  </conditionalFormatting>
  <conditionalFormatting sqref="R143:R145">
    <cfRule type="expression" dxfId="65" priority="33">
      <formula>S143&lt;O143</formula>
    </cfRule>
    <cfRule type="expression" dxfId="64" priority="34">
      <formula>S143&gt;O143</formula>
    </cfRule>
  </conditionalFormatting>
  <conditionalFormatting sqref="R148:R150">
    <cfRule type="expression" dxfId="63" priority="15">
      <formula>S148&lt;O148</formula>
    </cfRule>
    <cfRule type="expression" dxfId="62" priority="16">
      <formula>S148&gt;O148</formula>
    </cfRule>
  </conditionalFormatting>
  <conditionalFormatting sqref="R152:R154">
    <cfRule type="expression" dxfId="61" priority="13">
      <formula>S152&lt;O152</formula>
    </cfRule>
    <cfRule type="expression" dxfId="60" priority="14">
      <formula>S152&gt;O152</formula>
    </cfRule>
  </conditionalFormatting>
  <conditionalFormatting sqref="V18:V20">
    <cfRule type="expression" dxfId="59" priority="1">
      <formula>W18&lt;S18</formula>
    </cfRule>
    <cfRule type="expression" dxfId="58" priority="2">
      <formula>W18&gt;S18</formula>
    </cfRule>
  </conditionalFormatting>
  <conditionalFormatting sqref="V22:V24">
    <cfRule type="expression" dxfId="57" priority="265">
      <formula>W22&lt;S22</formula>
    </cfRule>
    <cfRule type="expression" dxfId="56" priority="266">
      <formula>W22&gt;S22</formula>
    </cfRule>
  </conditionalFormatting>
  <conditionalFormatting sqref="V27:V29">
    <cfRule type="expression" dxfId="55" priority="263">
      <formula>W27&lt;S27</formula>
    </cfRule>
    <cfRule type="expression" dxfId="54" priority="264">
      <formula>W27&gt;S27</formula>
    </cfRule>
  </conditionalFormatting>
  <conditionalFormatting sqref="V31:V33">
    <cfRule type="expression" dxfId="53" priority="243">
      <formula>W31&lt;S31</formula>
    </cfRule>
    <cfRule type="expression" dxfId="52" priority="244">
      <formula>W31&gt;S31</formula>
    </cfRule>
  </conditionalFormatting>
  <conditionalFormatting sqref="V36:V38">
    <cfRule type="expression" dxfId="51" priority="241">
      <formula>W36&lt;S36</formula>
    </cfRule>
    <cfRule type="expression" dxfId="50" priority="242">
      <formula>W36&gt;S36</formula>
    </cfRule>
  </conditionalFormatting>
  <conditionalFormatting sqref="V40:V42">
    <cfRule type="expression" dxfId="49" priority="239">
      <formula>W40&lt;S40</formula>
    </cfRule>
    <cfRule type="expression" dxfId="48" priority="240">
      <formula>W40&gt;S40</formula>
    </cfRule>
  </conditionalFormatting>
  <conditionalFormatting sqref="V46:V48">
    <cfRule type="expression" dxfId="47" priority="215">
      <formula>W46&lt;S46</formula>
    </cfRule>
    <cfRule type="expression" dxfId="46" priority="216">
      <formula>W46&gt;S46</formula>
    </cfRule>
  </conditionalFormatting>
  <conditionalFormatting sqref="V50:V52">
    <cfRule type="expression" dxfId="45" priority="213">
      <formula>W50&lt;S50</formula>
    </cfRule>
    <cfRule type="expression" dxfId="44" priority="214">
      <formula>W50&gt;S50</formula>
    </cfRule>
  </conditionalFormatting>
  <conditionalFormatting sqref="V55:V57">
    <cfRule type="expression" dxfId="43" priority="211">
      <formula>W55&lt;S55</formula>
    </cfRule>
    <cfRule type="expression" dxfId="42" priority="212">
      <formula>W55&gt;S55</formula>
    </cfRule>
  </conditionalFormatting>
  <conditionalFormatting sqref="V59:V61">
    <cfRule type="expression" dxfId="41" priority="209">
      <formula>W59&lt;S59</formula>
    </cfRule>
    <cfRule type="expression" dxfId="40" priority="210">
      <formula>W59&gt;S59</formula>
    </cfRule>
  </conditionalFormatting>
  <conditionalFormatting sqref="V64:V66">
    <cfRule type="expression" dxfId="39" priority="195">
      <formula>W64&lt;S64</formula>
    </cfRule>
    <cfRule type="expression" dxfId="38" priority="196">
      <formula>W64&gt;S64</formula>
    </cfRule>
  </conditionalFormatting>
  <conditionalFormatting sqref="V68:V70">
    <cfRule type="expression" dxfId="37" priority="193">
      <formula>W68&lt;S68</formula>
    </cfRule>
    <cfRule type="expression" dxfId="36" priority="194">
      <formula>W68&gt;S68</formula>
    </cfRule>
  </conditionalFormatting>
  <conditionalFormatting sqref="V74:V76">
    <cfRule type="expression" dxfId="35" priority="123">
      <formula>W74&lt;S74</formula>
    </cfRule>
    <cfRule type="expression" dxfId="34" priority="124">
      <formula>W74&gt;S74</formula>
    </cfRule>
  </conditionalFormatting>
  <conditionalFormatting sqref="V78:V80">
    <cfRule type="expression" dxfId="33" priority="121">
      <formula>W78&lt;S78</formula>
    </cfRule>
    <cfRule type="expression" dxfId="32" priority="122">
      <formula>W78&gt;S78</formula>
    </cfRule>
  </conditionalFormatting>
  <conditionalFormatting sqref="V83:V85">
    <cfRule type="expression" dxfId="31" priority="119">
      <formula>W83&lt;S83</formula>
    </cfRule>
    <cfRule type="expression" dxfId="30" priority="120">
      <formula>W83&gt;S83</formula>
    </cfRule>
  </conditionalFormatting>
  <conditionalFormatting sqref="V87:V89">
    <cfRule type="expression" dxfId="29" priority="117">
      <formula>W87&lt;S87</formula>
    </cfRule>
    <cfRule type="expression" dxfId="28" priority="118">
      <formula>W87&gt;S87</formula>
    </cfRule>
  </conditionalFormatting>
  <conditionalFormatting sqref="V92:V94">
    <cfRule type="expression" dxfId="27" priority="103">
      <formula>W92&lt;S92</formula>
    </cfRule>
    <cfRule type="expression" dxfId="26" priority="104">
      <formula>W92&gt;S92</formula>
    </cfRule>
  </conditionalFormatting>
  <conditionalFormatting sqref="V96:V98">
    <cfRule type="expression" dxfId="25" priority="101">
      <formula>W96&lt;S96</formula>
    </cfRule>
    <cfRule type="expression" dxfId="24" priority="102">
      <formula>W96&gt;S96</formula>
    </cfRule>
  </conditionalFormatting>
  <conditionalFormatting sqref="V102:V104">
    <cfRule type="expression" dxfId="23" priority="77">
      <formula>W102&gt;S102</formula>
    </cfRule>
    <cfRule type="expression" dxfId="22" priority="78">
      <formula>W102&lt;S102</formula>
    </cfRule>
  </conditionalFormatting>
  <conditionalFormatting sqref="V106:V108">
    <cfRule type="expression" dxfId="21" priority="75">
      <formula>W106&gt;S106</formula>
    </cfRule>
    <cfRule type="expression" dxfId="20" priority="76">
      <formula>W106&lt;S106</formula>
    </cfRule>
  </conditionalFormatting>
  <conditionalFormatting sqref="V111:V113">
    <cfRule type="expression" dxfId="19" priority="73">
      <formula>W111&gt;S111</formula>
    </cfRule>
    <cfRule type="expression" dxfId="18" priority="74">
      <formula>W111&lt;S111</formula>
    </cfRule>
  </conditionalFormatting>
  <conditionalFormatting sqref="V115:V117">
    <cfRule type="expression" dxfId="17" priority="71">
      <formula>W115&gt;S115</formula>
    </cfRule>
    <cfRule type="expression" dxfId="16" priority="72">
      <formula>W115&lt;S115</formula>
    </cfRule>
  </conditionalFormatting>
  <conditionalFormatting sqref="V120:V122">
    <cfRule type="expression" dxfId="15" priority="57">
      <formula>W120&gt;S120</formula>
    </cfRule>
    <cfRule type="expression" dxfId="14" priority="58">
      <formula>W120&lt;S120</formula>
    </cfRule>
  </conditionalFormatting>
  <conditionalFormatting sqref="V124:V126">
    <cfRule type="expression" dxfId="13" priority="55">
      <formula>W124&gt;S124</formula>
    </cfRule>
    <cfRule type="expression" dxfId="12" priority="56">
      <formula>W124&lt;S124</formula>
    </cfRule>
  </conditionalFormatting>
  <conditionalFormatting sqref="V130:V132">
    <cfRule type="expression" dxfId="11" priority="31">
      <formula>W130&lt;S130</formula>
    </cfRule>
    <cfRule type="expression" dxfId="10" priority="32">
      <formula>W130&gt;S130</formula>
    </cfRule>
  </conditionalFormatting>
  <conditionalFormatting sqref="V134:V136">
    <cfRule type="expression" dxfId="9" priority="29">
      <formula>W134&lt;S134</formula>
    </cfRule>
    <cfRule type="expression" dxfId="8" priority="30">
      <formula>W134&gt;S134</formula>
    </cfRule>
  </conditionalFormatting>
  <conditionalFormatting sqref="V139:V141">
    <cfRule type="expression" dxfId="7" priority="27">
      <formula>W139&lt;S139</formula>
    </cfRule>
    <cfRule type="expression" dxfId="6" priority="28">
      <formula>W139&gt;S139</formula>
    </cfRule>
  </conditionalFormatting>
  <conditionalFormatting sqref="V143:V145">
    <cfRule type="expression" dxfId="5" priority="25">
      <formula>W143&lt;S143</formula>
    </cfRule>
    <cfRule type="expression" dxfId="4" priority="26">
      <formula>W143&gt;S143</formula>
    </cfRule>
  </conditionalFormatting>
  <conditionalFormatting sqref="V148:V150">
    <cfRule type="expression" dxfId="3" priority="11">
      <formula>W148&lt;S148</formula>
    </cfRule>
    <cfRule type="expression" dxfId="2" priority="12">
      <formula>W148&gt;S148</formula>
    </cfRule>
  </conditionalFormatting>
  <conditionalFormatting sqref="V152:V154">
    <cfRule type="expression" dxfId="1" priority="9">
      <formula>W152&lt;S152</formula>
    </cfRule>
    <cfRule type="expression" dxfId="0" priority="10">
      <formula>W152&gt;S152</formula>
    </cfRule>
  </conditionalFormatting>
  <dataValidations count="114">
    <dataValidation type="list" showInputMessage="1" showErrorMessage="1" sqref="F22 J22 N22 V22 R22" xr:uid="{00000000-0002-0000-0400-000000000000}">
      <formula1>G_SM_B_1_1</formula1>
    </dataValidation>
    <dataValidation type="list" showInputMessage="1" showErrorMessage="1" sqref="F23 J23 N23 V23 R23" xr:uid="{00000000-0002-0000-0400-000001000000}">
      <formula1>G_SM_B_2_1</formula1>
    </dataValidation>
    <dataValidation type="list" showInputMessage="1" showErrorMessage="1" sqref="F24 J24 N24 R24 V24" xr:uid="{00000000-0002-0000-0400-000002000000}">
      <formula1>G_SM_B_3_1</formula1>
    </dataValidation>
    <dataValidation type="list" showInputMessage="1" showErrorMessage="1" sqref="F27 J27 N27 R27 V27" xr:uid="{00000000-0002-0000-0400-000003000000}">
      <formula1>G_PC_A_1_1</formula1>
    </dataValidation>
    <dataValidation type="list" showInputMessage="1" showErrorMessage="1" sqref="F28 J28 N28 R28 V28" xr:uid="{00000000-0002-0000-0400-000004000000}">
      <formula1>G_PC_A_2_1</formula1>
    </dataValidation>
    <dataValidation type="list" showInputMessage="1" showErrorMessage="1" sqref="F29 J29 N29 R29 V29" xr:uid="{00000000-0002-0000-0400-000005000000}">
      <formula1>G_PC_A_3_1</formula1>
    </dataValidation>
    <dataValidation type="list" showInputMessage="1" showErrorMessage="1" sqref="F31 J31 N31 R31 V31" xr:uid="{00000000-0002-0000-0400-000006000000}">
      <formula1>G_PC_B_1_1</formula1>
    </dataValidation>
    <dataValidation type="list" showInputMessage="1" showErrorMessage="1" sqref="F32 J32 N32 R32 V32" xr:uid="{00000000-0002-0000-0400-000007000000}">
      <formula1>G_PC_B_2_1</formula1>
    </dataValidation>
    <dataValidation type="list" showInputMessage="1" showErrorMessage="1" sqref="F33 J33 N33 R33 V33" xr:uid="{00000000-0002-0000-0400-000008000000}">
      <formula1>G_PC_B_3_1</formula1>
    </dataValidation>
    <dataValidation type="list" showInputMessage="1" showErrorMessage="1" sqref="F36 J36 N36 R36 V36" xr:uid="{00000000-0002-0000-0400-000009000000}">
      <formula1>G_EG_A_1_1</formula1>
    </dataValidation>
    <dataValidation type="list" showInputMessage="1" showErrorMessage="1" sqref="F37 J37 N37 R37 V37" xr:uid="{00000000-0002-0000-0400-00000A000000}">
      <formula1>G_EG_A_2_1</formula1>
    </dataValidation>
    <dataValidation type="list" showInputMessage="1" showErrorMessage="1" sqref="F38 J38 N38 R38 V38" xr:uid="{00000000-0002-0000-0400-00000B000000}">
      <formula1>G_EG_A_3_1</formula1>
    </dataValidation>
    <dataValidation type="list" showInputMessage="1" showErrorMessage="1" sqref="F40 J40 N40 R40 V40" xr:uid="{00000000-0002-0000-0400-00000C000000}">
      <formula1>G_EG_B_1_1</formula1>
    </dataValidation>
    <dataValidation type="list" showInputMessage="1" showErrorMessage="1" sqref="F41 J41 N41 R41 V41" xr:uid="{00000000-0002-0000-0400-00000D000000}">
      <formula1>G_EG_B_2_1</formula1>
    </dataValidation>
    <dataValidation type="list" showInputMessage="1" showErrorMessage="1" sqref="F42 J42 N42 R42 V42" xr:uid="{00000000-0002-0000-0400-00000E000000}">
      <formula1>G_EG_B_3_1</formula1>
    </dataValidation>
    <dataValidation type="list" showInputMessage="1" showErrorMessage="1" sqref="F46 J46 N46 R46 V46" xr:uid="{00000000-0002-0000-0400-00000F000000}">
      <formula1>D_TA_A_1_1</formula1>
    </dataValidation>
    <dataValidation type="list" showInputMessage="1" showErrorMessage="1" sqref="F47 J47 N47 R47 V47" xr:uid="{00000000-0002-0000-0400-000010000000}">
      <formula1>D_TA_A_2_1</formula1>
    </dataValidation>
    <dataValidation type="list" showInputMessage="1" showErrorMessage="1" sqref="F48 J48 N48 R48 V48" xr:uid="{00000000-0002-0000-0400-000011000000}">
      <formula1>D_TA_A_3_1</formula1>
    </dataValidation>
    <dataValidation type="list" showInputMessage="1" showErrorMessage="1" sqref="F50 J50 N50 R50 V50" xr:uid="{00000000-0002-0000-0400-000012000000}">
      <formula1>D_TA_B_1_1</formula1>
    </dataValidation>
    <dataValidation type="list" showInputMessage="1" showErrorMessage="1" sqref="F51 J51 N51 R51 V51" xr:uid="{00000000-0002-0000-0400-000013000000}">
      <formula1>D_TA_B_2_1</formula1>
    </dataValidation>
    <dataValidation type="list" showInputMessage="1" showErrorMessage="1" sqref="F52 J52 N52 R52 V52" xr:uid="{00000000-0002-0000-0400-000014000000}">
      <formula1>D_TA_B_3_1</formula1>
    </dataValidation>
    <dataValidation type="list" showInputMessage="1" showErrorMessage="1" sqref="F55 J55 N55 R55 V55" xr:uid="{00000000-0002-0000-0400-000015000000}">
      <formula1>D_SR_A_1_1</formula1>
    </dataValidation>
    <dataValidation type="list" showInputMessage="1" showErrorMessage="1" sqref="F56 J56 N56 R56 V56" xr:uid="{00000000-0002-0000-0400-000016000000}">
      <formula1>D_SR_A_2_1</formula1>
    </dataValidation>
    <dataValidation type="list" showInputMessage="1" showErrorMessage="1" sqref="F57 J57 N57 R57 V57" xr:uid="{00000000-0002-0000-0400-000017000000}">
      <formula1>D_SR_A_3_1</formula1>
    </dataValidation>
    <dataValidation type="list" showInputMessage="1" showErrorMessage="1" sqref="F59 J59 N59 R59 V59" xr:uid="{00000000-0002-0000-0400-000018000000}">
      <formula1>D_SR_B_1_1</formula1>
    </dataValidation>
    <dataValidation type="list" showInputMessage="1" showErrorMessage="1" sqref="F60 J60 N60 R60 V60" xr:uid="{00000000-0002-0000-0400-000019000000}">
      <formula1>D_SR_B_2_1</formula1>
    </dataValidation>
    <dataValidation type="list" showInputMessage="1" showErrorMessage="1" sqref="F61 J61 N61 R61 V61" xr:uid="{00000000-0002-0000-0400-00001A000000}">
      <formula1>D_SR_B_3_1</formula1>
    </dataValidation>
    <dataValidation type="list" showInputMessage="1" showErrorMessage="1" sqref="F64 J64 N64 R64 V64" xr:uid="{00000000-0002-0000-0400-00001B000000}">
      <formula1>D_SA_A_1_1</formula1>
    </dataValidation>
    <dataValidation type="list" showInputMessage="1" showErrorMessage="1" sqref="F65 J65 N65 R65 V65" xr:uid="{00000000-0002-0000-0400-00001C000000}">
      <formula1>D_SA_A_2_1</formula1>
    </dataValidation>
    <dataValidation type="list" showInputMessage="1" showErrorMessage="1" sqref="F66 J66 N66 R66 V66" xr:uid="{00000000-0002-0000-0400-00001D000000}">
      <formula1>D_SA_A_3_1</formula1>
    </dataValidation>
    <dataValidation type="list" showInputMessage="1" showErrorMessage="1" sqref="F68 J68 N68 R68 V68" xr:uid="{00000000-0002-0000-0400-00001E000000}">
      <formula1>D_SA_B_1_1</formula1>
    </dataValidation>
    <dataValidation type="list" showInputMessage="1" showErrorMessage="1" sqref="F69 J69 N69 R69 V69" xr:uid="{00000000-0002-0000-0400-00001F000000}">
      <formula1>D_SA_B_2_1</formula1>
    </dataValidation>
    <dataValidation type="list" showInputMessage="1" showErrorMessage="1" sqref="F70 J70 N70 R70 V70" xr:uid="{00000000-0002-0000-0400-000020000000}">
      <formula1>D_SA_B_3_1</formula1>
    </dataValidation>
    <dataValidation type="list" showInputMessage="1" showErrorMessage="1" sqref="V74 R74 N74" xr:uid="{00000000-0002-0000-0400-000021000000}">
      <formula1>I_SB_A_1_1</formula1>
    </dataValidation>
    <dataValidation type="list" showInputMessage="1" showErrorMessage="1" sqref="R75 V75 N75" xr:uid="{00000000-0002-0000-0400-000022000000}">
      <formula1>I_SB_A_2_1</formula1>
    </dataValidation>
    <dataValidation type="list" showInputMessage="1" showErrorMessage="1" sqref="V76 R76 N76" xr:uid="{00000000-0002-0000-0400-000023000000}">
      <formula1>I_SB_A_3_1</formula1>
    </dataValidation>
    <dataValidation type="list" showInputMessage="1" showErrorMessage="1" sqref="V78 R78 N78" xr:uid="{00000000-0002-0000-0400-000024000000}">
      <formula1>I_SB_B_1_1</formula1>
    </dataValidation>
    <dataValidation type="list" showInputMessage="1" showErrorMessage="1" sqref="V79 R79 N79" xr:uid="{00000000-0002-0000-0400-000025000000}">
      <formula1>I_SB_B_2_1</formula1>
    </dataValidation>
    <dataValidation type="list" showInputMessage="1" showErrorMessage="1" sqref="V80 R80 N80" xr:uid="{00000000-0002-0000-0400-000026000000}">
      <formula1>I_SB_B_3_1</formula1>
    </dataValidation>
    <dataValidation type="list" showInputMessage="1" showErrorMessage="1" sqref="F83 J83 N83 R83 V83" xr:uid="{00000000-0002-0000-0400-000027000000}">
      <formula1>I_SD_A_1_1</formula1>
    </dataValidation>
    <dataValidation type="list" showInputMessage="1" showErrorMessage="1" sqref="F84 J84 N84 R84 V84" xr:uid="{00000000-0002-0000-0400-000028000000}">
      <formula1>I_SD_A_2_1</formula1>
    </dataValidation>
    <dataValidation type="list" showInputMessage="1" showErrorMessage="1" sqref="F85 J85 N85 R85 V85" xr:uid="{00000000-0002-0000-0400-000029000000}">
      <formula1>I_SD_A_3_1</formula1>
    </dataValidation>
    <dataValidation type="list" showInputMessage="1" showErrorMessage="1" sqref="F87 J87 N87 R87 V87" xr:uid="{00000000-0002-0000-0400-00002A000000}">
      <formula1>I_SD_B_1_1</formula1>
    </dataValidation>
    <dataValidation type="list" showInputMessage="1" showErrorMessage="1" sqref="F88 J88 N88 R88 V88" xr:uid="{00000000-0002-0000-0400-00002B000000}">
      <formula1>I_SD_B_2_1</formula1>
    </dataValidation>
    <dataValidation type="list" showInputMessage="1" showErrorMessage="1" sqref="F89 J89 N89 R89 V89" xr:uid="{00000000-0002-0000-0400-00002C000000}">
      <formula1>I_SD_B_3_1</formula1>
    </dataValidation>
    <dataValidation type="list" showInputMessage="1" showErrorMessage="1" sqref="F92 J92 N92 R92 V92" xr:uid="{00000000-0002-0000-0400-00002D000000}">
      <formula1>I_DM_A_1_1</formula1>
    </dataValidation>
    <dataValidation type="list" showInputMessage="1" showErrorMessage="1" sqref="F93 J93 N93 R93 V93" xr:uid="{00000000-0002-0000-0400-00002E000000}">
      <formula1>I_DM_A_2_1</formula1>
    </dataValidation>
    <dataValidation type="list" showInputMessage="1" showErrorMessage="1" sqref="F94 J94 N94 R94 V94" xr:uid="{00000000-0002-0000-0400-00002F000000}">
      <formula1>I_DM_A_3_1</formula1>
    </dataValidation>
    <dataValidation type="list" showInputMessage="1" showErrorMessage="1" sqref="F96 J96 N96 R96 V96" xr:uid="{00000000-0002-0000-0400-000030000000}">
      <formula1>I_DM_B_1_1</formula1>
    </dataValidation>
    <dataValidation type="list" showInputMessage="1" showErrorMessage="1" sqref="F97 J97 N97 R97 V97" xr:uid="{00000000-0002-0000-0400-000031000000}">
      <formula1>I_DM_B_2_1</formula1>
    </dataValidation>
    <dataValidation type="list" showInputMessage="1" showErrorMessage="1" sqref="F98 J98 N98 R98 V98" xr:uid="{00000000-0002-0000-0400-000032000000}">
      <formula1>I_DM_B_3_1</formula1>
    </dataValidation>
    <dataValidation type="list" showInputMessage="1" showErrorMessage="1" sqref="V102" xr:uid="{00000000-0002-0000-0400-000033000000}">
      <formula1>V_AA_A_1_1</formula1>
    </dataValidation>
    <dataValidation type="list" showInputMessage="1" showErrorMessage="1" sqref="F103 V103" xr:uid="{00000000-0002-0000-0400-000034000000}">
      <formula1>V_AA_A_2_1</formula1>
    </dataValidation>
    <dataValidation type="list" showInputMessage="1" showErrorMessage="1" sqref="F104 V104" xr:uid="{00000000-0002-0000-0400-000035000000}">
      <formula1>V_AA_A_3_1</formula1>
    </dataValidation>
    <dataValidation type="list" showInputMessage="1" showErrorMessage="1" sqref="V106" xr:uid="{00000000-0002-0000-0400-000036000000}">
      <formula1>V_AA_B_1_1</formula1>
    </dataValidation>
    <dataValidation type="list" showInputMessage="1" showErrorMessage="1" sqref="V107" xr:uid="{00000000-0002-0000-0400-000037000000}">
      <formula1>V_AA_B_2_1</formula1>
    </dataValidation>
    <dataValidation type="list" showInputMessage="1" showErrorMessage="1" sqref="V108" xr:uid="{00000000-0002-0000-0400-000038000000}">
      <formula1>V_AA_B_3_1</formula1>
    </dataValidation>
    <dataValidation type="list" showInputMessage="1" showErrorMessage="1" sqref="V111" xr:uid="{00000000-0002-0000-0400-000039000000}">
      <formula1>V_RT_A_1_1</formula1>
    </dataValidation>
    <dataValidation type="list" showInputMessage="1" showErrorMessage="1" sqref="V112" xr:uid="{00000000-0002-0000-0400-00003A000000}">
      <formula1>V_RT_A_2_1</formula1>
    </dataValidation>
    <dataValidation type="list" showInputMessage="1" showErrorMessage="1" sqref="V113" xr:uid="{00000000-0002-0000-0400-00003B000000}">
      <formula1>V_RT_A_3_1</formula1>
    </dataValidation>
    <dataValidation type="list" showInputMessage="1" showErrorMessage="1" sqref="V115" xr:uid="{00000000-0002-0000-0400-00003C000000}">
      <formula1>V_RT_B_1_1</formula1>
    </dataValidation>
    <dataValidation type="list" showInputMessage="1" showErrorMessage="1" sqref="V116" xr:uid="{00000000-0002-0000-0400-00003D000000}">
      <formula1>V_RT_B_2_1</formula1>
    </dataValidation>
    <dataValidation type="list" showInputMessage="1" showErrorMessage="1" sqref="V117" xr:uid="{00000000-0002-0000-0400-00003E000000}">
      <formula1>V_RT_B_3_1</formula1>
    </dataValidation>
    <dataValidation type="list" showInputMessage="1" showErrorMessage="1" sqref="V120" xr:uid="{00000000-0002-0000-0400-00003F000000}">
      <formula1>V_ST_A_1_1</formula1>
    </dataValidation>
    <dataValidation type="list" showInputMessage="1" showErrorMessage="1" sqref="V121" xr:uid="{00000000-0002-0000-0400-000040000000}">
      <formula1>V_ST_A_2_1</formula1>
    </dataValidation>
    <dataValidation type="list" showInputMessage="1" showErrorMessage="1" sqref="V122" xr:uid="{00000000-0002-0000-0400-000041000000}">
      <formula1>V_ST_A_3_1</formula1>
    </dataValidation>
    <dataValidation type="list" showInputMessage="1" showErrorMessage="1" sqref="V124" xr:uid="{00000000-0002-0000-0400-000042000000}">
      <formula1>V_ST_B_1_1</formula1>
    </dataValidation>
    <dataValidation type="list" showInputMessage="1" showErrorMessage="1" sqref="V125" xr:uid="{00000000-0002-0000-0400-000043000000}">
      <formula1>V_ST_B_2_1</formula1>
    </dataValidation>
    <dataValidation type="list" showInputMessage="1" showErrorMessage="1" sqref="V126" xr:uid="{00000000-0002-0000-0400-000044000000}">
      <formula1>V_ST_B_3_1</formula1>
    </dataValidation>
    <dataValidation type="list" showInputMessage="1" showErrorMessage="1" sqref="F130 J130 N130 R130 V130" xr:uid="{00000000-0002-0000-0400-000045000000}">
      <formula1>O_IM_A_1_1</formula1>
    </dataValidation>
    <dataValidation type="list" showInputMessage="1" showErrorMessage="1" sqref="F131 J131 N131 R131 V131" xr:uid="{00000000-0002-0000-0400-000046000000}">
      <formula1>O_IM_A_2_1</formula1>
    </dataValidation>
    <dataValidation type="list" showInputMessage="1" showErrorMessage="1" sqref="F132 J132 N132 R132 V132" xr:uid="{00000000-0002-0000-0400-000047000000}">
      <formula1>O_IM_A_3_1</formula1>
    </dataValidation>
    <dataValidation type="list" showInputMessage="1" showErrorMessage="1" sqref="F134 J134 N134 R134 V134" xr:uid="{00000000-0002-0000-0400-000048000000}">
      <formula1>O_IM_B_1_1</formula1>
    </dataValidation>
    <dataValidation type="list" showInputMessage="1" showErrorMessage="1" sqref="F135 J135 N135 R135 V135" xr:uid="{00000000-0002-0000-0400-000049000000}">
      <formula1>O_IM_B_2_1</formula1>
    </dataValidation>
    <dataValidation type="list" showInputMessage="1" showErrorMessage="1" sqref="F136 J136 N136 R136 V136" xr:uid="{00000000-0002-0000-0400-00004A000000}">
      <formula1>O_IM_B_3_1</formula1>
    </dataValidation>
    <dataValidation type="list" showInputMessage="1" showErrorMessage="1" sqref="F139 J139 N139 R139 V139" xr:uid="{00000000-0002-0000-0400-00004B000000}">
      <formula1>O_EM_A_1_1</formula1>
    </dataValidation>
    <dataValidation type="list" showInputMessage="1" showErrorMessage="1" sqref="F140 J140 N140 R140 V140" xr:uid="{00000000-0002-0000-0400-00004C000000}">
      <formula1>O_EM_A_2_1</formula1>
    </dataValidation>
    <dataValidation type="list" showInputMessage="1" showErrorMessage="1" sqref="F141 J141 N141 R141 V141" xr:uid="{00000000-0002-0000-0400-00004D000000}">
      <formula1>O_EM_A_3_1</formula1>
    </dataValidation>
    <dataValidation type="list" showInputMessage="1" showErrorMessage="1" sqref="F143 J143 N143 R143 V143" xr:uid="{00000000-0002-0000-0400-00004E000000}">
      <formula1>O_EM_B_1_1</formula1>
    </dataValidation>
    <dataValidation type="list" showInputMessage="1" showErrorMessage="1" sqref="F144 J144 N144 R144 V144" xr:uid="{00000000-0002-0000-0400-00004F000000}">
      <formula1>O_EM_B_2_1</formula1>
    </dataValidation>
    <dataValidation type="list" showInputMessage="1" showErrorMessage="1" sqref="F145 J145 N145 R145 V145" xr:uid="{00000000-0002-0000-0400-000050000000}">
      <formula1>O_EM_B_3_1</formula1>
    </dataValidation>
    <dataValidation type="list" showInputMessage="1" showErrorMessage="1" sqref="F148 J148 N148 R148 V148" xr:uid="{00000000-0002-0000-0400-000051000000}">
      <formula1>O_OM_A_1_1</formula1>
    </dataValidation>
    <dataValidation type="list" showInputMessage="1" showErrorMessage="1" sqref="F149 J149 N149 R149 V149" xr:uid="{00000000-0002-0000-0400-000052000000}">
      <formula1>O_OM_A_2_1</formula1>
    </dataValidation>
    <dataValidation type="list" showInputMessage="1" showErrorMessage="1" sqref="F150 J150 N150 R150 V150" xr:uid="{00000000-0002-0000-0400-000053000000}">
      <formula1>O_OM_A_3_1</formula1>
    </dataValidation>
    <dataValidation type="list" showInputMessage="1" showErrorMessage="1" sqref="F152 J152 N152 R152 V152" xr:uid="{00000000-0002-0000-0400-000054000000}">
      <formula1>O_OM_B_1_1</formula1>
    </dataValidation>
    <dataValidation type="list" showInputMessage="1" showErrorMessage="1" sqref="F153 J153 N153 R153 V153" xr:uid="{00000000-0002-0000-0400-000055000000}">
      <formula1>O_OM_B_2_1</formula1>
    </dataValidation>
    <dataValidation type="list" showInputMessage="1" showErrorMessage="1" sqref="F154 J154 N154 R154 V154" xr:uid="{00000000-0002-0000-0400-000056000000}">
      <formula1>O_OM_B_3_1</formula1>
    </dataValidation>
    <dataValidation type="list" showInputMessage="1" showErrorMessage="1" sqref="N18 J18 F18 R18 V18" xr:uid="{00000000-0002-0000-0400-000057000000}">
      <formula1>G_SM_A_1_1</formula1>
    </dataValidation>
    <dataValidation type="list" showInputMessage="1" showErrorMessage="1" sqref="F19 J19 N19 R19 V19" xr:uid="{00000000-0002-0000-0400-000058000000}">
      <formula1>G_SM_A_2_1</formula1>
    </dataValidation>
    <dataValidation type="list" showInputMessage="1" showErrorMessage="1" sqref="F20 J20 N20 R20 V20" xr:uid="{00000000-0002-0000-0400-000059000000}">
      <formula1>G_SM_A_3_1</formula1>
    </dataValidation>
    <dataValidation type="list" allowBlank="1" showInputMessage="1" showErrorMessage="1" sqref="F74 J74" xr:uid="{D8908966-FA2B-C346-B94B-6C83BED0521E}">
      <formula1>I_SB_A_1_1</formula1>
    </dataValidation>
    <dataValidation type="list" allowBlank="1" showInputMessage="1" showErrorMessage="1" sqref="F75 J75" xr:uid="{CE281F3B-76CB-1D46-88D3-ABA908EACA2A}">
      <formula1>I_SB_A_2_1</formula1>
    </dataValidation>
    <dataValidation type="list" allowBlank="1" showInputMessage="1" showErrorMessage="1" sqref="F76 J76" xr:uid="{715C100F-E9B5-B94C-A07A-BA9117D291AB}">
      <formula1>I_SB_A_3_1</formula1>
    </dataValidation>
    <dataValidation type="list" allowBlank="1" showInputMessage="1" showErrorMessage="1" sqref="F78 J78" xr:uid="{00EE55CC-14AB-1642-885B-B36562492AE3}">
      <formula1>I_SB_B_1_1</formula1>
    </dataValidation>
    <dataValidation type="list" allowBlank="1" showInputMessage="1" showErrorMessage="1" sqref="F79 J79" xr:uid="{E14AECF3-0AB2-C64F-8084-9B9422A6FAF3}">
      <formula1>I_SB_B_2_1</formula1>
    </dataValidation>
    <dataValidation type="list" allowBlank="1" showInputMessage="1" showErrorMessage="1" sqref="F80 J80" xr:uid="{2394AE7E-A80A-844B-A631-8611874FEE58}">
      <formula1>I_SB_B_3_1</formula1>
    </dataValidation>
    <dataValidation type="list" allowBlank="1" showInputMessage="1" showErrorMessage="1" sqref="F102 J102 N102 R102" xr:uid="{76D6630B-9193-9542-A16A-1267E363E673}">
      <formula1>V_AA_A_1_1</formula1>
    </dataValidation>
    <dataValidation type="list" allowBlank="1" showInputMessage="1" showErrorMessage="1" sqref="F106 J106 N106 R106" xr:uid="{8F5E6D23-36F8-3F44-AFB2-8E919886280E}">
      <formula1>V_AA_B_1_1</formula1>
    </dataValidation>
    <dataValidation type="list" allowBlank="1" showInputMessage="1" showErrorMessage="1" sqref="F107 J107 N107 R107" xr:uid="{0BE37B34-ACCD-A64E-B0EC-632364B1CD65}">
      <formula1>V_AA_B_2_1</formula1>
    </dataValidation>
    <dataValidation type="list" allowBlank="1" showInputMessage="1" showErrorMessage="1" sqref="F108 J108 N108 R108" xr:uid="{B70B46C1-8209-E448-8875-798CB084B21D}">
      <formula1>V_AA_B_3_1</formula1>
    </dataValidation>
    <dataValidation type="list" allowBlank="1" showInputMessage="1" showErrorMessage="1" sqref="F111 J111 N111 R111" xr:uid="{A81AC044-E829-8240-A53C-80542D98A79D}">
      <formula1>V_RT_A_1_1</formula1>
    </dataValidation>
    <dataValidation type="list" allowBlank="1" showInputMessage="1" showErrorMessage="1" sqref="F112 J112 N112 R112" xr:uid="{32476853-EB47-CE49-81C3-B021040231D5}">
      <formula1>V_RT_A_2_1</formula1>
    </dataValidation>
    <dataValidation type="list" allowBlank="1" showInputMessage="1" showErrorMessage="1" sqref="F113 J113 N113 R113" xr:uid="{6B26B473-D417-5548-87F6-B762FF6E71CD}">
      <formula1>V_RT_A_3_1</formula1>
    </dataValidation>
    <dataValidation type="list" allowBlank="1" showInputMessage="1" showErrorMessage="1" sqref="F115 J115 N115 R115" xr:uid="{410FE7E5-9615-BF41-90CF-1AE826DB912E}">
      <formula1>V_RT_B_1_1</formula1>
    </dataValidation>
    <dataValidation type="list" allowBlank="1" showInputMessage="1" showErrorMessage="1" sqref="F116 J116 N116 R116" xr:uid="{5BA8BA85-FE18-8143-847A-B57DAF27287E}">
      <formula1>V_RT_B_2_1</formula1>
    </dataValidation>
    <dataValidation type="list" allowBlank="1" showInputMessage="1" showErrorMessage="1" sqref="F117 J117 N117 R117" xr:uid="{F4DA6F8A-A73C-D841-A98B-8CCF1D5F691F}">
      <formula1>V_RT_B_3_1</formula1>
    </dataValidation>
    <dataValidation type="list" allowBlank="1" showInputMessage="1" showErrorMessage="1" sqref="F120 J120 N120 R120" xr:uid="{66575525-9A11-4742-A9C8-0B58CEAEF62E}">
      <formula1>V_ST_A_1_1</formula1>
    </dataValidation>
    <dataValidation type="list" allowBlank="1" showInputMessage="1" showErrorMessage="1" sqref="F121 J121 N121 R121" xr:uid="{67A33160-274E-CE47-9CDC-43CE04B961AA}">
      <formula1>V_ST_A_2_1</formula1>
    </dataValidation>
    <dataValidation type="list" allowBlank="1" showInputMessage="1" showErrorMessage="1" sqref="F122 J122 N122 R122" xr:uid="{EA651D3E-A1FE-0241-BFB0-ED81135D4D66}">
      <formula1>V_ST_A_3_1</formula1>
    </dataValidation>
    <dataValidation type="list" allowBlank="1" showInputMessage="1" showErrorMessage="1" sqref="F124 J124 N124 R124" xr:uid="{F3CD0518-A948-8A44-9BFD-870D1E27DD6C}">
      <formula1>V_ST_B_1_1</formula1>
    </dataValidation>
    <dataValidation type="list" allowBlank="1" showInputMessage="1" showErrorMessage="1" sqref="F125 J125 N125 R125" xr:uid="{02536921-245D-8F45-880D-52DBED47093D}">
      <formula1>V_ST_B_2_1</formula1>
    </dataValidation>
    <dataValidation type="list" allowBlank="1" showInputMessage="1" showErrorMessage="1" sqref="F126 J126 N126 R126" xr:uid="{E29AF0A8-8A6F-E84C-91A3-5583A3AE67F1}">
      <formula1>V_ST_B_3_1</formula1>
    </dataValidation>
    <dataValidation type="list" allowBlank="1" showInputMessage="1" showErrorMessage="1" sqref="J103 N103 R103" xr:uid="{8F3FB5A1-DCC1-2F49-AD6E-7BEE0F9D66B6}">
      <formula1>V_AA_A_2_1</formula1>
    </dataValidation>
    <dataValidation type="list" allowBlank="1" showInputMessage="1" showErrorMessage="1" sqref="J104 N104 R104" xr:uid="{438819F7-97BD-6947-922F-A909ECBFAD1B}">
      <formula1>V_AA_A_3_1</formula1>
    </dataValidation>
  </dataValidations>
  <pageMargins left="0.75" right="0.75" top="1" bottom="1" header="0.5" footer="0.5"/>
  <pageSetup paperSize="9" scale="10" firstPageNumber="0" fitToWidth="0"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AE132"/>
  <sheetViews>
    <sheetView topLeftCell="A5" zoomScaleNormal="100" workbookViewId="0">
      <selection activeCell="K12" sqref="K12"/>
    </sheetView>
  </sheetViews>
  <sheetFormatPr defaultColWidth="8.796875" defaultRowHeight="15" x14ac:dyDescent="0.55000000000000004"/>
  <cols>
    <col min="1" max="1" width="26.1328125" style="39" customWidth="1"/>
    <col min="2" max="2" width="11" style="39" customWidth="1"/>
    <col min="3" max="3" width="9.46484375" style="39" customWidth="1"/>
    <col min="4" max="4" width="1.796875" style="39" customWidth="1"/>
    <col min="5" max="5" width="8.796875" style="39" customWidth="1"/>
    <col min="6" max="6" width="1.46484375" style="39" customWidth="1"/>
    <col min="7" max="7" width="8.796875" style="39" customWidth="1"/>
    <col min="8" max="8" width="1.46484375" style="39" customWidth="1"/>
    <col min="9" max="9" width="8.796875" style="39" customWidth="1"/>
    <col min="10" max="10" width="1.46484375" style="39" customWidth="1"/>
    <col min="11" max="11" width="21.46484375" style="39" customWidth="1"/>
    <col min="12" max="12" width="22.1328125" style="39" customWidth="1"/>
    <col min="13" max="13" width="3.796875" style="39" customWidth="1"/>
    <col min="14" max="14" width="4.46484375" style="39" customWidth="1"/>
    <col min="15" max="22" width="9.46484375" style="39" customWidth="1"/>
    <col min="23" max="25" width="8.796875" style="39" customWidth="1"/>
    <col min="26" max="26" width="24.6640625" style="39" customWidth="1"/>
    <col min="27" max="28" width="8.796875" style="39" customWidth="1"/>
    <col min="29" max="16384" width="8.796875" style="39"/>
  </cols>
  <sheetData>
    <row r="1" spans="1:31" ht="69" customHeight="1" x14ac:dyDescent="0.55000000000000004">
      <c r="A1" s="628" t="s">
        <v>236</v>
      </c>
      <c r="B1" s="544"/>
      <c r="C1" s="544"/>
      <c r="D1" s="544"/>
      <c r="E1" s="544"/>
      <c r="F1" s="544"/>
      <c r="G1" s="544"/>
      <c r="H1" s="544"/>
      <c r="I1" s="544"/>
      <c r="J1" s="544"/>
      <c r="K1" s="614"/>
    </row>
    <row r="3" spans="1:31" ht="25.05" customHeight="1" x14ac:dyDescent="1.05">
      <c r="A3" s="40" t="s">
        <v>254</v>
      </c>
      <c r="L3" s="40" t="str">
        <f>A3</f>
        <v>Software Assurance Maturity Model (SAMM) Roadmap</v>
      </c>
    </row>
    <row r="4" spans="1:31" s="41" customFormat="1" ht="14" customHeight="1" x14ac:dyDescent="0.55000000000000004">
      <c r="A4" s="41" t="s">
        <v>6</v>
      </c>
      <c r="B4" s="630" t="str">
        <f>IF(ISBLANK(Interview!D10),"",Interview!D10)</f>
        <v/>
      </c>
      <c r="C4" s="631"/>
      <c r="L4" s="41" t="str">
        <f>B4</f>
        <v/>
      </c>
    </row>
    <row r="5" spans="1:31" s="41" customFormat="1" ht="14" customHeight="1" x14ac:dyDescent="0.55000000000000004">
      <c r="A5" s="41" t="s">
        <v>7</v>
      </c>
      <c r="B5" s="630" t="str">
        <f>IF(ISBLANK(Interview!D11),"",Interview!D11)</f>
        <v/>
      </c>
      <c r="C5" s="631"/>
      <c r="L5" s="41" t="str">
        <f>B5</f>
        <v/>
      </c>
    </row>
    <row r="6" spans="1:31" s="41" customFormat="1" ht="14" customHeight="1" x14ac:dyDescent="0.55000000000000004">
      <c r="A6" s="41" t="s">
        <v>255</v>
      </c>
      <c r="B6" s="632" t="str">
        <f>IF(ISBLANK(Interview!D12),"",Interview!D12)</f>
        <v/>
      </c>
      <c r="C6" s="631"/>
      <c r="L6" s="42" t="str">
        <f>B6</f>
        <v/>
      </c>
    </row>
    <row r="7" spans="1:31" s="41" customFormat="1" ht="14" customHeight="1" x14ac:dyDescent="0.55000000000000004">
      <c r="A7" s="41" t="s">
        <v>256</v>
      </c>
      <c r="B7" s="632" t="str">
        <f>IF(ISBLANK(Interview!D13),"",Interview!D13)</f>
        <v/>
      </c>
      <c r="C7" s="631"/>
    </row>
    <row r="8" spans="1:31" s="41" customFormat="1" ht="14" customHeight="1" x14ac:dyDescent="0.55000000000000004">
      <c r="A8" s="41" t="s">
        <v>10</v>
      </c>
      <c r="B8" s="632" t="str">
        <f>IF(ISBLANK(Interview!D14),"",Interview!D14)</f>
        <v/>
      </c>
      <c r="C8" s="631"/>
      <c r="L8" s="43"/>
      <c r="M8" s="43"/>
      <c r="N8" s="43"/>
      <c r="O8" s="635"/>
      <c r="P8" s="631"/>
      <c r="Q8" s="631"/>
      <c r="R8" s="631"/>
      <c r="S8" s="635"/>
      <c r="T8" s="631"/>
      <c r="U8" s="631"/>
      <c r="V8" s="631"/>
      <c r="W8" s="52"/>
    </row>
    <row r="9" spans="1:31" s="41" customFormat="1" ht="14" customHeight="1" x14ac:dyDescent="0.55000000000000004">
      <c r="L9" s="43"/>
      <c r="M9" s="43"/>
      <c r="N9" s="43"/>
      <c r="O9" s="635"/>
      <c r="P9" s="631"/>
      <c r="Q9" s="635"/>
      <c r="R9" s="631"/>
      <c r="S9" s="635"/>
      <c r="T9" s="631"/>
      <c r="U9" s="635"/>
      <c r="V9" s="631"/>
      <c r="W9" s="52"/>
    </row>
    <row r="10" spans="1:31" s="41" customFormat="1" ht="15" customHeight="1" thickBot="1" x14ac:dyDescent="0.6">
      <c r="A10" s="41" t="s">
        <v>257</v>
      </c>
      <c r="B10" s="44" t="s">
        <v>258</v>
      </c>
      <c r="I10" s="44" t="s">
        <v>259</v>
      </c>
      <c r="L10" s="45" t="s">
        <v>260</v>
      </c>
      <c r="M10" s="45"/>
      <c r="N10" s="45"/>
      <c r="O10" s="629"/>
      <c r="P10" s="522"/>
      <c r="Q10" s="629"/>
      <c r="R10" s="522"/>
      <c r="S10" s="629"/>
      <c r="T10" s="522"/>
      <c r="U10" s="629"/>
      <c r="V10" s="522"/>
      <c r="W10" s="52"/>
    </row>
    <row r="11" spans="1:31" ht="14" customHeight="1" thickBot="1" x14ac:dyDescent="0.6">
      <c r="A11" s="46" t="s">
        <v>261</v>
      </c>
      <c r="B11" s="47" t="s">
        <v>262</v>
      </c>
      <c r="C11" s="47" t="s">
        <v>249</v>
      </c>
      <c r="D11" s="48" t="s">
        <v>263</v>
      </c>
      <c r="E11" s="47" t="s">
        <v>250</v>
      </c>
      <c r="F11" s="48" t="s">
        <v>264</v>
      </c>
      <c r="G11" s="47" t="s">
        <v>251</v>
      </c>
      <c r="H11" s="48" t="s">
        <v>265</v>
      </c>
      <c r="I11" s="47" t="s">
        <v>252</v>
      </c>
      <c r="J11" s="49" t="s">
        <v>266</v>
      </c>
      <c r="K11" s="50" t="s">
        <v>267</v>
      </c>
      <c r="L11" s="51"/>
      <c r="M11" s="52"/>
      <c r="N11" s="52"/>
      <c r="O11" s="633" t="str">
        <f>C11</f>
        <v>Phase 1</v>
      </c>
      <c r="P11" s="634"/>
      <c r="Q11" s="633" t="str">
        <f>E11</f>
        <v>Phase 2</v>
      </c>
      <c r="R11" s="634"/>
      <c r="S11" s="633" t="str">
        <f>G11</f>
        <v>Phase 3</v>
      </c>
      <c r="T11" s="634"/>
      <c r="U11" s="633" t="str">
        <f>I11</f>
        <v>Phase 4</v>
      </c>
      <c r="V11" s="634"/>
      <c r="W11" s="52"/>
      <c r="AA11" s="50" t="str">
        <f t="shared" ref="AA11:AA26" si="0">I11</f>
        <v>Phase 4</v>
      </c>
      <c r="AB11" s="50" t="str">
        <f t="shared" ref="AB11:AB26" si="1">G11</f>
        <v>Phase 3</v>
      </c>
      <c r="AC11" s="50" t="str">
        <f t="shared" ref="AC11:AC26" si="2">E11</f>
        <v>Phase 2</v>
      </c>
      <c r="AD11" s="50" t="str">
        <f t="shared" ref="AD11:AD26" si="3">C11</f>
        <v>Phase 1</v>
      </c>
      <c r="AE11" s="50" t="str">
        <f t="shared" ref="AE11:AE26" si="4">B11</f>
        <v>Start</v>
      </c>
    </row>
    <row r="12" spans="1:31" ht="15" customHeight="1" x14ac:dyDescent="0.55000000000000004">
      <c r="A12" s="53" t="s">
        <v>14</v>
      </c>
      <c r="B12" s="54">
        <f ca="1">IF(ISNUMBER(Interview!$J$18),Interview!$J$18,SUM(LEFT(Interview!$J$18),".5"))</f>
        <v>0</v>
      </c>
      <c r="C12" s="55">
        <f ca="1">Roadmap!M18</f>
        <v>0</v>
      </c>
      <c r="D12" s="56">
        <f t="shared" ref="D12:D26" ca="1" si="5">C12</f>
        <v>0</v>
      </c>
      <c r="E12" s="55">
        <f ca="1">Roadmap!Q18</f>
        <v>0</v>
      </c>
      <c r="F12" s="56">
        <f t="shared" ref="F12:F26" ca="1" si="6">E12</f>
        <v>0</v>
      </c>
      <c r="G12" s="55">
        <f ca="1">Roadmap!U18</f>
        <v>0</v>
      </c>
      <c r="H12" s="57">
        <f t="shared" ref="H12:H26" ca="1" si="7">G12</f>
        <v>0</v>
      </c>
      <c r="I12" s="55">
        <f ca="1">Roadmap!Y18</f>
        <v>0</v>
      </c>
      <c r="J12" s="57">
        <f t="shared" ref="J12:J26" ca="1" si="8">I12</f>
        <v>0</v>
      </c>
      <c r="K12" s="58">
        <f t="shared" ref="K12:K26" ca="1" si="9">IFERROR(I12-B12,I12-LEFT(B12,1))</f>
        <v>0</v>
      </c>
      <c r="L12" s="52"/>
      <c r="M12" s="52"/>
      <c r="N12" s="52"/>
      <c r="O12" s="52"/>
      <c r="P12" s="52"/>
      <c r="Q12" s="52"/>
      <c r="R12" s="52"/>
      <c r="S12" s="52"/>
      <c r="T12" s="52"/>
      <c r="U12" s="52"/>
      <c r="V12" s="52"/>
      <c r="W12" s="52"/>
      <c r="Z12" s="39" t="str">
        <f t="shared" ref="Z12:Z26" si="10">A12</f>
        <v>Strategy &amp; Metrics</v>
      </c>
      <c r="AA12" s="59">
        <f t="shared" ca="1" si="0"/>
        <v>0</v>
      </c>
      <c r="AB12" s="59">
        <f t="shared" ca="1" si="1"/>
        <v>0</v>
      </c>
      <c r="AC12" s="59">
        <f t="shared" ca="1" si="2"/>
        <v>0</v>
      </c>
      <c r="AD12" s="59">
        <f t="shared" ca="1" si="3"/>
        <v>0</v>
      </c>
      <c r="AE12" s="59">
        <f t="shared" ca="1" si="4"/>
        <v>0</v>
      </c>
    </row>
    <row r="13" spans="1:31" ht="15" customHeight="1" x14ac:dyDescent="0.55000000000000004">
      <c r="A13" s="60" t="s">
        <v>24</v>
      </c>
      <c r="B13" s="54">
        <f ca="1">IF(ISNUMBER(Interview!$J$32),Interview!$J$32,SUM(LEFT(Interview!$J$32),".5"))</f>
        <v>0</v>
      </c>
      <c r="C13" s="61">
        <f ca="1">Roadmap!M27</f>
        <v>0</v>
      </c>
      <c r="D13" s="56">
        <f t="shared" ca="1" si="5"/>
        <v>0</v>
      </c>
      <c r="E13" s="61">
        <f ca="1">Roadmap!Q27</f>
        <v>0</v>
      </c>
      <c r="F13" s="56">
        <f t="shared" ca="1" si="6"/>
        <v>0</v>
      </c>
      <c r="G13" s="61">
        <f ca="1">Roadmap!U27</f>
        <v>0</v>
      </c>
      <c r="H13" s="56">
        <f t="shared" ca="1" si="7"/>
        <v>0</v>
      </c>
      <c r="I13" s="61">
        <f ca="1">Roadmap!Y27</f>
        <v>0</v>
      </c>
      <c r="J13" s="56">
        <f t="shared" ca="1" si="8"/>
        <v>0</v>
      </c>
      <c r="K13" s="58">
        <f t="shared" ca="1" si="9"/>
        <v>0</v>
      </c>
      <c r="L13" s="52"/>
      <c r="M13" s="52"/>
      <c r="N13" s="52"/>
      <c r="O13" s="52"/>
      <c r="P13" s="52"/>
      <c r="Q13" s="52"/>
      <c r="R13" s="52"/>
      <c r="S13" s="52"/>
      <c r="T13" s="52"/>
      <c r="U13" s="52"/>
      <c r="V13" s="52"/>
      <c r="W13" s="52"/>
      <c r="Z13" s="39" t="str">
        <f t="shared" si="10"/>
        <v>Policy &amp; Compliance</v>
      </c>
      <c r="AA13" s="59">
        <f t="shared" ca="1" si="0"/>
        <v>0</v>
      </c>
      <c r="AB13" s="59">
        <f t="shared" ca="1" si="1"/>
        <v>0</v>
      </c>
      <c r="AC13" s="59">
        <f t="shared" ca="1" si="2"/>
        <v>0</v>
      </c>
      <c r="AD13" s="59">
        <f t="shared" ca="1" si="3"/>
        <v>0</v>
      </c>
      <c r="AE13" s="59">
        <f t="shared" ca="1" si="4"/>
        <v>0</v>
      </c>
    </row>
    <row r="14" spans="1:31" ht="15" customHeight="1" x14ac:dyDescent="0.55000000000000004">
      <c r="A14" s="62" t="s">
        <v>31</v>
      </c>
      <c r="B14" s="63">
        <f ca="1">IF(ISNUMBER(Interview!$J$46),Interview!$J$46,SUM(LEFT(Interview!$J$46),".5"))</f>
        <v>0</v>
      </c>
      <c r="C14" s="61">
        <f ca="1">Roadmap!M36</f>
        <v>0</v>
      </c>
      <c r="D14" s="64">
        <f t="shared" ca="1" si="5"/>
        <v>0</v>
      </c>
      <c r="E14" s="61">
        <f ca="1">Roadmap!Q36</f>
        <v>0</v>
      </c>
      <c r="F14" s="64">
        <f t="shared" ca="1" si="6"/>
        <v>0</v>
      </c>
      <c r="G14" s="61">
        <f ca="1">Roadmap!U36</f>
        <v>0</v>
      </c>
      <c r="H14" s="64">
        <f t="shared" ca="1" si="7"/>
        <v>0</v>
      </c>
      <c r="I14" s="61">
        <f ca="1">Roadmap!Y36</f>
        <v>0</v>
      </c>
      <c r="J14" s="64">
        <f t="shared" ca="1" si="8"/>
        <v>0</v>
      </c>
      <c r="K14" s="58">
        <f t="shared" ca="1" si="9"/>
        <v>0</v>
      </c>
      <c r="L14" s="52"/>
      <c r="M14" s="52"/>
      <c r="N14" s="52"/>
      <c r="O14" s="52"/>
      <c r="P14" s="52"/>
      <c r="Q14" s="52"/>
      <c r="R14" s="52"/>
      <c r="S14" s="52"/>
      <c r="T14" s="52"/>
      <c r="U14" s="52"/>
      <c r="V14" s="52"/>
      <c r="W14" s="52"/>
      <c r="Z14" s="39" t="str">
        <f t="shared" si="10"/>
        <v>Education &amp; Guidance</v>
      </c>
      <c r="AA14" s="59">
        <f t="shared" ca="1" si="0"/>
        <v>0</v>
      </c>
      <c r="AB14" s="59">
        <f t="shared" ca="1" si="1"/>
        <v>0</v>
      </c>
      <c r="AC14" s="59">
        <f t="shared" ca="1" si="2"/>
        <v>0</v>
      </c>
      <c r="AD14" s="59">
        <f t="shared" ca="1" si="3"/>
        <v>0</v>
      </c>
      <c r="AE14" s="59">
        <f t="shared" ca="1" si="4"/>
        <v>0</v>
      </c>
    </row>
    <row r="15" spans="1:31" ht="15" customHeight="1" x14ac:dyDescent="0.55000000000000004">
      <c r="A15" s="65" t="s">
        <v>39</v>
      </c>
      <c r="B15" s="54">
        <f ca="1">IF(ISNUMBER(Interview!$J$61),Interview!$J$61,SUM(LEFT(Interview!$J$61),".5"))</f>
        <v>0</v>
      </c>
      <c r="C15" s="66">
        <f ca="1">Roadmap!M46</f>
        <v>0</v>
      </c>
      <c r="D15" s="67">
        <f t="shared" ca="1" si="5"/>
        <v>0</v>
      </c>
      <c r="E15" s="71">
        <f ca="1">Roadmap!Q46</f>
        <v>0</v>
      </c>
      <c r="F15" s="67">
        <f t="shared" ca="1" si="6"/>
        <v>0</v>
      </c>
      <c r="G15" s="71">
        <f ca="1">Roadmap!U46</f>
        <v>0</v>
      </c>
      <c r="H15" s="56">
        <f t="shared" ca="1" si="7"/>
        <v>0</v>
      </c>
      <c r="I15" s="71">
        <f ca="1">Roadmap!Y46</f>
        <v>0</v>
      </c>
      <c r="J15" s="67">
        <f t="shared" ca="1" si="8"/>
        <v>0</v>
      </c>
      <c r="K15" s="58">
        <f t="shared" ca="1" si="9"/>
        <v>0</v>
      </c>
      <c r="L15" s="52" t="str">
        <f>A12</f>
        <v>Strategy &amp; Metrics</v>
      </c>
      <c r="M15" s="52"/>
      <c r="N15" s="52"/>
      <c r="O15" s="52"/>
      <c r="P15" s="52"/>
      <c r="Q15" s="52"/>
      <c r="R15" s="52"/>
      <c r="S15" s="52"/>
      <c r="T15" s="52"/>
      <c r="U15" s="52"/>
      <c r="V15" s="52"/>
      <c r="W15" s="52"/>
      <c r="Z15" s="39" t="str">
        <f t="shared" si="10"/>
        <v>Threat Assessment</v>
      </c>
      <c r="AA15" s="59">
        <f t="shared" ca="1" si="0"/>
        <v>0</v>
      </c>
      <c r="AB15" s="59">
        <f t="shared" ca="1" si="1"/>
        <v>0</v>
      </c>
      <c r="AC15" s="59">
        <f t="shared" ca="1" si="2"/>
        <v>0</v>
      </c>
      <c r="AD15" s="59">
        <f t="shared" ca="1" si="3"/>
        <v>0</v>
      </c>
      <c r="AE15" s="59">
        <f t="shared" ca="1" si="4"/>
        <v>0</v>
      </c>
    </row>
    <row r="16" spans="1:31" ht="15" customHeight="1" x14ac:dyDescent="0.55000000000000004">
      <c r="A16" s="68" t="s">
        <v>46</v>
      </c>
      <c r="B16" s="54">
        <f ca="1">IF(ISNUMBER(Interview!$J75),Interview!$J$75,SUM(LEFT(Interview!$J$75),".5"))</f>
        <v>0</v>
      </c>
      <c r="C16" s="61">
        <f ca="1">Roadmap!M55</f>
        <v>0</v>
      </c>
      <c r="D16" s="56">
        <f t="shared" ca="1" si="5"/>
        <v>0</v>
      </c>
      <c r="E16" s="61">
        <f ca="1">Roadmap!Q55</f>
        <v>0</v>
      </c>
      <c r="F16" s="56">
        <f t="shared" ca="1" si="6"/>
        <v>0</v>
      </c>
      <c r="G16" s="61">
        <f ca="1">Roadmap!U55</f>
        <v>0</v>
      </c>
      <c r="H16" s="56">
        <f t="shared" ca="1" si="7"/>
        <v>0</v>
      </c>
      <c r="I16" s="61">
        <f ca="1">Roadmap!Y55</f>
        <v>0</v>
      </c>
      <c r="J16" s="56">
        <f t="shared" ca="1" si="8"/>
        <v>0</v>
      </c>
      <c r="K16" s="58">
        <f t="shared" ca="1" si="9"/>
        <v>0</v>
      </c>
      <c r="L16" s="52"/>
      <c r="M16" s="52"/>
      <c r="N16" s="52"/>
      <c r="O16" s="52"/>
      <c r="P16" s="52"/>
      <c r="Q16" s="52"/>
      <c r="R16" s="52"/>
      <c r="S16" s="52"/>
      <c r="T16" s="52"/>
      <c r="U16" s="52"/>
      <c r="V16" s="52"/>
      <c r="W16" s="52"/>
      <c r="Z16" s="39" t="str">
        <f t="shared" si="10"/>
        <v>Security Requirements</v>
      </c>
      <c r="AA16" s="59">
        <f t="shared" ca="1" si="0"/>
        <v>0</v>
      </c>
      <c r="AB16" s="59">
        <f t="shared" ca="1" si="1"/>
        <v>0</v>
      </c>
      <c r="AC16" s="59">
        <f t="shared" ca="1" si="2"/>
        <v>0</v>
      </c>
      <c r="AD16" s="59">
        <f t="shared" ca="1" si="3"/>
        <v>0</v>
      </c>
      <c r="AE16" s="59">
        <f t="shared" ca="1" si="4"/>
        <v>0</v>
      </c>
    </row>
    <row r="17" spans="1:31" x14ac:dyDescent="0.55000000000000004">
      <c r="A17" s="69" t="s">
        <v>53</v>
      </c>
      <c r="B17" s="63">
        <f ca="1">IF(ISNUMBER(Interview!$J$89),Interview!$J$89,SUM(LEFT(Interview!$J$89),".5"))</f>
        <v>0</v>
      </c>
      <c r="C17" s="61">
        <f ca="1">Roadmap!M64</f>
        <v>0</v>
      </c>
      <c r="D17" s="64">
        <f t="shared" ca="1" si="5"/>
        <v>0</v>
      </c>
      <c r="E17" s="61">
        <f ca="1">Roadmap!Q64</f>
        <v>0</v>
      </c>
      <c r="F17" s="64">
        <f t="shared" ca="1" si="6"/>
        <v>0</v>
      </c>
      <c r="G17" s="61">
        <f ca="1">Roadmap!U64</f>
        <v>0</v>
      </c>
      <c r="H17" s="64">
        <f t="shared" ca="1" si="7"/>
        <v>0</v>
      </c>
      <c r="I17" s="61">
        <f ca="1">Roadmap!Y64</f>
        <v>0</v>
      </c>
      <c r="J17" s="64">
        <f t="shared" ca="1" si="8"/>
        <v>0</v>
      </c>
      <c r="K17" s="58">
        <f t="shared" ca="1" si="9"/>
        <v>0</v>
      </c>
      <c r="L17" s="52"/>
      <c r="M17" s="52"/>
      <c r="N17" s="52"/>
      <c r="O17" s="52"/>
      <c r="P17" s="52"/>
      <c r="Q17" s="52"/>
      <c r="R17" s="52"/>
      <c r="S17" s="52"/>
      <c r="T17" s="52"/>
      <c r="U17" s="52"/>
      <c r="V17" s="52"/>
      <c r="W17" s="52"/>
      <c r="Z17" s="39" t="str">
        <f t="shared" si="10"/>
        <v>Secure Architecture</v>
      </c>
      <c r="AA17" s="59">
        <f t="shared" ca="1" si="0"/>
        <v>0</v>
      </c>
      <c r="AB17" s="59">
        <f t="shared" ca="1" si="1"/>
        <v>0</v>
      </c>
      <c r="AC17" s="59">
        <f t="shared" ca="1" si="2"/>
        <v>0</v>
      </c>
      <c r="AD17" s="59">
        <f t="shared" ca="1" si="3"/>
        <v>0</v>
      </c>
      <c r="AE17" s="59">
        <f t="shared" ca="1" si="4"/>
        <v>0</v>
      </c>
    </row>
    <row r="18" spans="1:31" x14ac:dyDescent="0.55000000000000004">
      <c r="A18" s="70" t="s">
        <v>61</v>
      </c>
      <c r="B18" s="54">
        <f ca="1">IF(ISNUMBER(Interview!$J$104),Interview!$J$104,SUM(LEFT(Interview!$J$104),".5"))</f>
        <v>0</v>
      </c>
      <c r="C18" s="71">
        <f ca="1">Roadmap!M74</f>
        <v>0</v>
      </c>
      <c r="D18" s="67">
        <f t="shared" ca="1" si="5"/>
        <v>0</v>
      </c>
      <c r="E18" s="71">
        <f ca="1">Roadmap!Q74</f>
        <v>0</v>
      </c>
      <c r="F18" s="56">
        <f t="shared" ca="1" si="6"/>
        <v>0</v>
      </c>
      <c r="G18" s="71">
        <f ca="1">Roadmap!U74</f>
        <v>0</v>
      </c>
      <c r="H18" s="56">
        <f t="shared" ca="1" si="7"/>
        <v>0</v>
      </c>
      <c r="I18" s="71">
        <f ca="1">Roadmap!Y74</f>
        <v>0</v>
      </c>
      <c r="J18" s="56">
        <f t="shared" ca="1" si="8"/>
        <v>0</v>
      </c>
      <c r="K18" s="58">
        <f t="shared" ca="1" si="9"/>
        <v>0</v>
      </c>
      <c r="L18" s="52"/>
      <c r="M18" s="52"/>
      <c r="N18" s="52"/>
      <c r="O18" s="52"/>
      <c r="P18" s="52"/>
      <c r="Q18" s="52"/>
      <c r="R18" s="52"/>
      <c r="S18" s="52"/>
      <c r="T18" s="52"/>
      <c r="U18" s="52"/>
      <c r="V18" s="52"/>
      <c r="W18" s="52"/>
      <c r="Z18" s="39" t="str">
        <f t="shared" si="10"/>
        <v>Secure Build</v>
      </c>
      <c r="AA18" s="59">
        <f t="shared" ca="1" si="0"/>
        <v>0</v>
      </c>
      <c r="AB18" s="59">
        <f t="shared" ca="1" si="1"/>
        <v>0</v>
      </c>
      <c r="AC18" s="59">
        <f t="shared" ca="1" si="2"/>
        <v>0</v>
      </c>
      <c r="AD18" s="59">
        <f t="shared" ca="1" si="3"/>
        <v>0</v>
      </c>
      <c r="AE18" s="59">
        <f t="shared" ca="1" si="4"/>
        <v>0</v>
      </c>
    </row>
    <row r="19" spans="1:31" x14ac:dyDescent="0.55000000000000004">
      <c r="A19" s="70" t="s">
        <v>68</v>
      </c>
      <c r="B19" s="54">
        <f ca="1">IF(ISNUMBER(Interview!$J$118),Interview!$J$118,SUM(LEFT(Interview!$J$118),".5"))</f>
        <v>0</v>
      </c>
      <c r="C19" s="61">
        <f ca="1">Roadmap!M83</f>
        <v>0</v>
      </c>
      <c r="D19" s="56">
        <f t="shared" ca="1" si="5"/>
        <v>0</v>
      </c>
      <c r="E19" s="61">
        <f ca="1">Roadmap!Q83</f>
        <v>0</v>
      </c>
      <c r="F19" s="56">
        <f t="shared" ca="1" si="6"/>
        <v>0</v>
      </c>
      <c r="G19" s="61">
        <f ca="1">Roadmap!U83</f>
        <v>0</v>
      </c>
      <c r="H19" s="56">
        <f t="shared" ca="1" si="7"/>
        <v>0</v>
      </c>
      <c r="I19" s="61">
        <f ca="1">Roadmap!Y83</f>
        <v>0</v>
      </c>
      <c r="J19" s="56">
        <f t="shared" ca="1" si="8"/>
        <v>0</v>
      </c>
      <c r="K19" s="58">
        <f t="shared" ca="1" si="9"/>
        <v>0</v>
      </c>
      <c r="L19" s="52"/>
      <c r="M19" s="52"/>
      <c r="N19" s="52"/>
      <c r="O19" s="52"/>
      <c r="P19" s="52"/>
      <c r="Q19" s="52"/>
      <c r="R19" s="52"/>
      <c r="S19" s="52"/>
      <c r="T19" s="52"/>
      <c r="U19" s="52"/>
      <c r="V19" s="52"/>
      <c r="W19" s="52"/>
      <c r="Z19" s="39" t="str">
        <f t="shared" si="10"/>
        <v>Secure Deployment</v>
      </c>
      <c r="AA19" s="59">
        <f t="shared" ca="1" si="0"/>
        <v>0</v>
      </c>
      <c r="AB19" s="59">
        <f t="shared" ca="1" si="1"/>
        <v>0</v>
      </c>
      <c r="AC19" s="59">
        <f t="shared" ca="1" si="2"/>
        <v>0</v>
      </c>
      <c r="AD19" s="59">
        <f t="shared" ca="1" si="3"/>
        <v>0</v>
      </c>
      <c r="AE19" s="59">
        <f t="shared" ca="1" si="4"/>
        <v>0</v>
      </c>
    </row>
    <row r="20" spans="1:31" x14ac:dyDescent="0.55000000000000004">
      <c r="A20" s="70" t="s">
        <v>75</v>
      </c>
      <c r="B20" s="63">
        <f ca="1">IF(ISNUMBER(Interview!$J$132),Interview!$J$132,SUM(LEFT(Interview!$J$132),".5"))</f>
        <v>0</v>
      </c>
      <c r="C20" s="61">
        <f ca="1">Roadmap!M92</f>
        <v>0</v>
      </c>
      <c r="D20" s="56">
        <f t="shared" ca="1" si="5"/>
        <v>0</v>
      </c>
      <c r="E20" s="61">
        <f ca="1">Roadmap!Q92</f>
        <v>0</v>
      </c>
      <c r="F20" s="56">
        <f t="shared" ca="1" si="6"/>
        <v>0</v>
      </c>
      <c r="G20" s="61">
        <f ca="1">Roadmap!U92</f>
        <v>0</v>
      </c>
      <c r="H20" s="56">
        <f t="shared" ca="1" si="7"/>
        <v>0</v>
      </c>
      <c r="I20" s="61">
        <f ca="1">Roadmap!Y92</f>
        <v>0</v>
      </c>
      <c r="J20" s="56">
        <f t="shared" ca="1" si="8"/>
        <v>0</v>
      </c>
      <c r="K20" s="58">
        <f t="shared" ca="1" si="9"/>
        <v>0</v>
      </c>
      <c r="L20" s="52"/>
      <c r="M20" s="52"/>
      <c r="N20" s="52"/>
      <c r="O20" s="52"/>
      <c r="P20" s="52"/>
      <c r="Q20" s="52"/>
      <c r="R20" s="52"/>
      <c r="S20" s="52"/>
      <c r="T20" s="52"/>
      <c r="U20" s="52"/>
      <c r="V20" s="52"/>
      <c r="W20" s="52"/>
      <c r="Z20" s="39" t="str">
        <f t="shared" si="10"/>
        <v>Defect Management</v>
      </c>
      <c r="AA20" s="59">
        <f t="shared" ca="1" si="0"/>
        <v>0</v>
      </c>
      <c r="AB20" s="59">
        <f t="shared" ca="1" si="1"/>
        <v>0</v>
      </c>
      <c r="AC20" s="59">
        <f t="shared" ca="1" si="2"/>
        <v>0</v>
      </c>
      <c r="AD20" s="59">
        <f t="shared" ca="1" si="3"/>
        <v>0</v>
      </c>
      <c r="AE20" s="59">
        <f t="shared" ca="1" si="4"/>
        <v>0</v>
      </c>
    </row>
    <row r="21" spans="1:31" x14ac:dyDescent="0.55000000000000004">
      <c r="A21" s="72" t="s">
        <v>83</v>
      </c>
      <c r="B21" s="54">
        <f ca="1">IF(ISNUMBER(Interview!$J$147),Interview!$J$147,SUM(LEFT(Interview!$J$147),".5"))</f>
        <v>0</v>
      </c>
      <c r="C21" s="71">
        <f ca="1">Roadmap!M102</f>
        <v>0</v>
      </c>
      <c r="D21" s="67">
        <f t="shared" ca="1" si="5"/>
        <v>0</v>
      </c>
      <c r="E21" s="71">
        <f ca="1">Roadmap!Q102</f>
        <v>0</v>
      </c>
      <c r="F21" s="67">
        <f t="shared" ca="1" si="6"/>
        <v>0</v>
      </c>
      <c r="G21" s="71">
        <f ca="1">Roadmap!U102</f>
        <v>0</v>
      </c>
      <c r="H21" s="67">
        <f t="shared" ca="1" si="7"/>
        <v>0</v>
      </c>
      <c r="I21" s="71">
        <f ca="1">Roadmap!Y102</f>
        <v>0</v>
      </c>
      <c r="J21" s="67">
        <f t="shared" ca="1" si="8"/>
        <v>0</v>
      </c>
      <c r="K21" s="58">
        <f t="shared" ca="1" si="9"/>
        <v>0</v>
      </c>
      <c r="L21" s="52"/>
      <c r="M21" s="52"/>
      <c r="N21" s="52"/>
      <c r="O21" s="52"/>
      <c r="P21" s="52"/>
      <c r="Q21" s="52"/>
      <c r="R21" s="52"/>
      <c r="S21" s="52"/>
      <c r="T21" s="52"/>
      <c r="U21" s="52"/>
      <c r="V21" s="52"/>
      <c r="W21" s="52"/>
      <c r="Z21" s="39" t="str">
        <f t="shared" si="10"/>
        <v>Architecture Assessment</v>
      </c>
      <c r="AA21" s="59">
        <f t="shared" ca="1" si="0"/>
        <v>0</v>
      </c>
      <c r="AB21" s="59">
        <f t="shared" ca="1" si="1"/>
        <v>0</v>
      </c>
      <c r="AC21" s="59">
        <f t="shared" ca="1" si="2"/>
        <v>0</v>
      </c>
      <c r="AD21" s="59">
        <f t="shared" ca="1" si="3"/>
        <v>0</v>
      </c>
      <c r="AE21" s="59">
        <f t="shared" ca="1" si="4"/>
        <v>0</v>
      </c>
    </row>
    <row r="22" spans="1:31" x14ac:dyDescent="0.55000000000000004">
      <c r="A22" s="73" t="s">
        <v>90</v>
      </c>
      <c r="B22" s="54">
        <f ca="1">IF(ISNUMBER(Interview!$J$161),Interview!$J$161,SUM(LEFT(Interview!$J$161),".5"))</f>
        <v>0</v>
      </c>
      <c r="C22" s="61">
        <f ca="1">Roadmap!M111</f>
        <v>0</v>
      </c>
      <c r="D22" s="56">
        <f t="shared" ca="1" si="5"/>
        <v>0</v>
      </c>
      <c r="E22" s="61">
        <f ca="1">Roadmap!Q111</f>
        <v>0</v>
      </c>
      <c r="F22" s="56">
        <f t="shared" ca="1" si="6"/>
        <v>0</v>
      </c>
      <c r="G22" s="61">
        <f ca="1">Roadmap!U111</f>
        <v>0</v>
      </c>
      <c r="H22" s="56">
        <f t="shared" ca="1" si="7"/>
        <v>0</v>
      </c>
      <c r="I22" s="61">
        <f ca="1">Roadmap!Y111</f>
        <v>0</v>
      </c>
      <c r="J22" s="56">
        <f t="shared" ca="1" si="8"/>
        <v>0</v>
      </c>
      <c r="K22" s="58">
        <f t="shared" ca="1" si="9"/>
        <v>0</v>
      </c>
      <c r="L22" s="52" t="str">
        <f>A13</f>
        <v>Policy &amp; Compliance</v>
      </c>
      <c r="M22" s="52"/>
      <c r="N22" s="52"/>
      <c r="O22" s="52"/>
      <c r="P22" s="52"/>
      <c r="Q22" s="52"/>
      <c r="R22" s="52"/>
      <c r="S22" s="52"/>
      <c r="T22" s="52"/>
      <c r="U22" s="52"/>
      <c r="V22" s="52"/>
      <c r="W22" s="52"/>
      <c r="Z22" s="39" t="str">
        <f t="shared" si="10"/>
        <v>Requirements Testing</v>
      </c>
      <c r="AA22" s="59">
        <f t="shared" ca="1" si="0"/>
        <v>0</v>
      </c>
      <c r="AB22" s="59">
        <f t="shared" ca="1" si="1"/>
        <v>0</v>
      </c>
      <c r="AC22" s="59">
        <f t="shared" ca="1" si="2"/>
        <v>0</v>
      </c>
      <c r="AD22" s="59">
        <f t="shared" ca="1" si="3"/>
        <v>0</v>
      </c>
      <c r="AE22" s="59">
        <f t="shared" ca="1" si="4"/>
        <v>0</v>
      </c>
    </row>
    <row r="23" spans="1:31" x14ac:dyDescent="0.55000000000000004">
      <c r="A23" s="74" t="s">
        <v>97</v>
      </c>
      <c r="B23" s="63">
        <f ca="1">IF(ISNUMBER(Interview!$J$175),Interview!$J$175,SUM(LEFT(Interview!$J$175),".5"))</f>
        <v>0</v>
      </c>
      <c r="C23" s="61">
        <f ca="1">Roadmap!M120</f>
        <v>0</v>
      </c>
      <c r="D23" s="64">
        <f t="shared" ca="1" si="5"/>
        <v>0</v>
      </c>
      <c r="E23" s="61">
        <f ca="1">Roadmap!Q120</f>
        <v>0</v>
      </c>
      <c r="F23" s="64">
        <f t="shared" ca="1" si="6"/>
        <v>0</v>
      </c>
      <c r="G23" s="61">
        <f ca="1">Roadmap!U120</f>
        <v>0</v>
      </c>
      <c r="H23" s="64">
        <f t="shared" ca="1" si="7"/>
        <v>0</v>
      </c>
      <c r="I23" s="61">
        <f ca="1">Roadmap!Y120</f>
        <v>0</v>
      </c>
      <c r="J23" s="64">
        <f t="shared" ca="1" si="8"/>
        <v>0</v>
      </c>
      <c r="K23" s="58">
        <f t="shared" ca="1" si="9"/>
        <v>0</v>
      </c>
      <c r="L23" s="52"/>
      <c r="M23" s="52"/>
      <c r="N23" s="52"/>
      <c r="O23" s="52"/>
      <c r="P23" s="52"/>
      <c r="Q23" s="52"/>
      <c r="R23" s="52"/>
      <c r="S23" s="52"/>
      <c r="T23" s="52"/>
      <c r="U23" s="52"/>
      <c r="V23" s="52"/>
      <c r="W23" s="52"/>
      <c r="Z23" s="39" t="str">
        <f t="shared" si="10"/>
        <v>Security Testing</v>
      </c>
      <c r="AA23" s="59">
        <f t="shared" ca="1" si="0"/>
        <v>0</v>
      </c>
      <c r="AB23" s="59">
        <f t="shared" ca="1" si="1"/>
        <v>0</v>
      </c>
      <c r="AC23" s="59">
        <f t="shared" ca="1" si="2"/>
        <v>0</v>
      </c>
      <c r="AD23" s="59">
        <f t="shared" ca="1" si="3"/>
        <v>0</v>
      </c>
      <c r="AE23" s="59">
        <f t="shared" ca="1" si="4"/>
        <v>0</v>
      </c>
    </row>
    <row r="24" spans="1:31" x14ac:dyDescent="0.55000000000000004">
      <c r="A24" s="75" t="s">
        <v>105</v>
      </c>
      <c r="B24" s="54">
        <f ca="1">IF(ISNUMBER(Interview!$J$190),Interview!$J$190,SUM(LEFT(Interview!$J$190),".5"))</f>
        <v>0</v>
      </c>
      <c r="C24" s="66">
        <f ca="1">Roadmap!M130</f>
        <v>0</v>
      </c>
      <c r="D24" s="67">
        <f t="shared" ca="1" si="5"/>
        <v>0</v>
      </c>
      <c r="E24" s="71">
        <f ca="1">Roadmap!Q130</f>
        <v>0</v>
      </c>
      <c r="F24" s="67">
        <f t="shared" ca="1" si="6"/>
        <v>0</v>
      </c>
      <c r="G24" s="71">
        <f ca="1">Roadmap!U130</f>
        <v>0</v>
      </c>
      <c r="H24" s="67">
        <f t="shared" ca="1" si="7"/>
        <v>0</v>
      </c>
      <c r="I24" s="71">
        <f ca="1">Roadmap!Y130</f>
        <v>0</v>
      </c>
      <c r="J24" s="67">
        <f t="shared" ca="1" si="8"/>
        <v>0</v>
      </c>
      <c r="K24" s="58">
        <f t="shared" ca="1" si="9"/>
        <v>0</v>
      </c>
      <c r="L24" s="52"/>
      <c r="M24" s="52"/>
      <c r="N24" s="52"/>
      <c r="O24" s="52"/>
      <c r="P24" s="52"/>
      <c r="Q24" s="52"/>
      <c r="R24" s="52"/>
      <c r="S24" s="52"/>
      <c r="T24" s="52"/>
      <c r="U24" s="52"/>
      <c r="V24" s="52"/>
      <c r="W24" s="52"/>
      <c r="Z24" s="39" t="str">
        <f t="shared" si="10"/>
        <v>Incident Management</v>
      </c>
      <c r="AA24" s="59">
        <f t="shared" ca="1" si="0"/>
        <v>0</v>
      </c>
      <c r="AB24" s="59">
        <f t="shared" ca="1" si="1"/>
        <v>0</v>
      </c>
      <c r="AC24" s="59">
        <f t="shared" ca="1" si="2"/>
        <v>0</v>
      </c>
      <c r="AD24" s="59">
        <f t="shared" ca="1" si="3"/>
        <v>0</v>
      </c>
      <c r="AE24" s="59">
        <f t="shared" ca="1" si="4"/>
        <v>0</v>
      </c>
    </row>
    <row r="25" spans="1:31" x14ac:dyDescent="0.55000000000000004">
      <c r="A25" s="76" t="s">
        <v>112</v>
      </c>
      <c r="B25" s="54">
        <f ca="1">IF(ISNUMBER(Interview!$J$204),Interview!$J$204,SUM(LEFT(Interview!$J$204),".5"))</f>
        <v>0</v>
      </c>
      <c r="C25" s="61">
        <f ca="1">Roadmap!M139</f>
        <v>0</v>
      </c>
      <c r="D25" s="56">
        <f t="shared" ca="1" si="5"/>
        <v>0</v>
      </c>
      <c r="E25" s="61">
        <f ca="1">Roadmap!Q139</f>
        <v>0</v>
      </c>
      <c r="F25" s="56">
        <f t="shared" ca="1" si="6"/>
        <v>0</v>
      </c>
      <c r="G25" s="61">
        <f ca="1">Roadmap!U139</f>
        <v>0</v>
      </c>
      <c r="H25" s="56">
        <f t="shared" ca="1" si="7"/>
        <v>0</v>
      </c>
      <c r="I25" s="61">
        <f ca="1">Roadmap!Y139</f>
        <v>0</v>
      </c>
      <c r="J25" s="56">
        <f t="shared" ca="1" si="8"/>
        <v>0</v>
      </c>
      <c r="K25" s="58">
        <f t="shared" ca="1" si="9"/>
        <v>0</v>
      </c>
      <c r="L25" s="52"/>
      <c r="M25" s="52"/>
      <c r="N25" s="52"/>
      <c r="O25" s="52"/>
      <c r="P25" s="52"/>
      <c r="Q25" s="52"/>
      <c r="R25" s="52"/>
      <c r="S25" s="52"/>
      <c r="T25" s="52"/>
      <c r="U25" s="52"/>
      <c r="V25" s="52"/>
      <c r="W25" s="52"/>
      <c r="Z25" s="39" t="str">
        <f t="shared" si="10"/>
        <v>Environment Management</v>
      </c>
      <c r="AA25" s="59">
        <f t="shared" ca="1" si="0"/>
        <v>0</v>
      </c>
      <c r="AB25" s="59">
        <f t="shared" ca="1" si="1"/>
        <v>0</v>
      </c>
      <c r="AC25" s="59">
        <f t="shared" ca="1" si="2"/>
        <v>0</v>
      </c>
      <c r="AD25" s="59">
        <f t="shared" ca="1" si="3"/>
        <v>0</v>
      </c>
      <c r="AE25" s="59">
        <f t="shared" ca="1" si="4"/>
        <v>0</v>
      </c>
    </row>
    <row r="26" spans="1:31" ht="14" customHeight="1" thickBot="1" x14ac:dyDescent="0.6">
      <c r="A26" s="77" t="s">
        <v>119</v>
      </c>
      <c r="B26" s="78">
        <f ca="1">IF(ISNUMBER(Interview!$J$218),Interview!$J$218,SUM(LEFT(Interview!$J$218),".5"))</f>
        <v>0</v>
      </c>
      <c r="C26" s="226">
        <f ca="1">Roadmap!M148</f>
        <v>0</v>
      </c>
      <c r="D26" s="79">
        <f t="shared" ca="1" si="5"/>
        <v>0</v>
      </c>
      <c r="E26" s="227">
        <f ca="1">Roadmap!Q148</f>
        <v>0</v>
      </c>
      <c r="F26" s="79">
        <f t="shared" ca="1" si="6"/>
        <v>0</v>
      </c>
      <c r="G26" s="227">
        <f ca="1">Roadmap!U148</f>
        <v>0</v>
      </c>
      <c r="H26" s="79">
        <f t="shared" ca="1" si="7"/>
        <v>0</v>
      </c>
      <c r="I26" s="227">
        <f ca="1">Roadmap!Y148</f>
        <v>0</v>
      </c>
      <c r="J26" s="79">
        <f t="shared" ca="1" si="8"/>
        <v>0</v>
      </c>
      <c r="K26" s="58">
        <f t="shared" ca="1" si="9"/>
        <v>0</v>
      </c>
      <c r="L26" s="52"/>
      <c r="M26" s="52"/>
      <c r="N26" s="52"/>
      <c r="O26" s="52"/>
      <c r="P26" s="52"/>
      <c r="Q26" s="52"/>
      <c r="R26" s="52"/>
      <c r="S26" s="52"/>
      <c r="T26" s="52"/>
      <c r="U26" s="52"/>
      <c r="V26" s="52"/>
      <c r="W26" s="52"/>
      <c r="Z26" s="39" t="str">
        <f t="shared" si="10"/>
        <v>Operational Management</v>
      </c>
      <c r="AA26" s="59">
        <f t="shared" ca="1" si="0"/>
        <v>0</v>
      </c>
      <c r="AB26" s="59">
        <f t="shared" ca="1" si="1"/>
        <v>0</v>
      </c>
      <c r="AC26" s="59">
        <f t="shared" ca="1" si="2"/>
        <v>0</v>
      </c>
      <c r="AD26" s="59">
        <f t="shared" ca="1" si="3"/>
        <v>0</v>
      </c>
      <c r="AE26" s="59">
        <f t="shared" ca="1" si="4"/>
        <v>0</v>
      </c>
    </row>
    <row r="27" spans="1:31" x14ac:dyDescent="0.55000000000000004">
      <c r="L27" s="52"/>
      <c r="M27" s="52"/>
      <c r="N27" s="52"/>
      <c r="O27" s="52"/>
      <c r="P27" s="52"/>
      <c r="Q27" s="52"/>
      <c r="R27" s="52"/>
      <c r="S27" s="52"/>
      <c r="T27" s="52"/>
      <c r="U27" s="52"/>
      <c r="V27" s="52"/>
      <c r="W27" s="52"/>
    </row>
    <row r="28" spans="1:31" x14ac:dyDescent="0.55000000000000004">
      <c r="B28" s="80" t="s">
        <v>268</v>
      </c>
      <c r="C28" s="59">
        <f ca="1">SUM(C12:C26)-SUM(B12:B26)</f>
        <v>0</v>
      </c>
      <c r="D28" s="59"/>
      <c r="E28" s="59">
        <f ca="1">SUM(E12:E26)-SUM(C12:C26)</f>
        <v>0</v>
      </c>
      <c r="F28" s="59"/>
      <c r="G28" s="59">
        <f ca="1">SUM(G12:G26)-SUM(E12:E26)</f>
        <v>0</v>
      </c>
      <c r="H28" s="59"/>
      <c r="I28" s="59">
        <f ca="1">SUM(I12:I26)-SUM(G12:G26)</f>
        <v>0</v>
      </c>
      <c r="J28" s="59"/>
      <c r="K28" s="58">
        <f ca="1">SUM(K12:K26)</f>
        <v>0</v>
      </c>
      <c r="L28" s="52"/>
      <c r="M28" s="52"/>
      <c r="N28" s="52"/>
      <c r="O28" s="52"/>
      <c r="P28" s="52"/>
      <c r="Q28" s="52"/>
      <c r="R28" s="52"/>
      <c r="S28" s="52"/>
      <c r="T28" s="52"/>
      <c r="U28" s="52"/>
      <c r="V28" s="52"/>
      <c r="W28" s="52"/>
    </row>
    <row r="29" spans="1:31" x14ac:dyDescent="0.55000000000000004">
      <c r="B29" s="80"/>
      <c r="C29" s="81">
        <f ca="1">IFERROR(C28/$K$28,0)</f>
        <v>0</v>
      </c>
      <c r="E29" s="81">
        <f ca="1">IFERROR(E28/$K$28,0)</f>
        <v>0</v>
      </c>
      <c r="G29" s="81">
        <f ca="1">IFERROR(G28/$K$28,0)</f>
        <v>0</v>
      </c>
      <c r="I29" s="81">
        <f ca="1">IFERROR(I28/$K$28,0)</f>
        <v>0</v>
      </c>
      <c r="K29" s="82">
        <f ca="1">1-K28/24</f>
        <v>1</v>
      </c>
      <c r="L29" s="52"/>
      <c r="M29" s="52"/>
      <c r="N29" s="52"/>
      <c r="O29" s="52"/>
      <c r="P29" s="52"/>
      <c r="Q29" s="52"/>
      <c r="R29" s="52"/>
      <c r="S29" s="52"/>
      <c r="T29" s="52"/>
      <c r="U29" s="52"/>
      <c r="V29" s="52"/>
      <c r="W29" s="52"/>
    </row>
    <row r="30" spans="1:31" x14ac:dyDescent="0.55000000000000004">
      <c r="B30" s="80"/>
      <c r="L30" s="52" t="str">
        <f>A14</f>
        <v>Education &amp; Guidance</v>
      </c>
      <c r="M30" s="52"/>
      <c r="N30" s="52"/>
      <c r="O30" s="52"/>
      <c r="P30" s="52"/>
      <c r="Q30" s="52"/>
      <c r="R30" s="52"/>
      <c r="S30" s="52"/>
      <c r="T30" s="52"/>
      <c r="U30" s="52"/>
      <c r="V30" s="52"/>
      <c r="W30" s="52"/>
    </row>
    <row r="31" spans="1:31" ht="14" customHeight="1" thickBot="1" x14ac:dyDescent="0.6">
      <c r="L31" s="52"/>
      <c r="M31" s="52"/>
      <c r="N31" s="52"/>
      <c r="O31" s="52"/>
      <c r="P31" s="52"/>
      <c r="Q31" s="52"/>
      <c r="R31" s="52"/>
      <c r="S31" s="52"/>
      <c r="T31" s="52"/>
      <c r="U31" s="52"/>
      <c r="V31" s="52"/>
      <c r="W31" s="52"/>
    </row>
    <row r="32" spans="1:31" x14ac:dyDescent="0.55000000000000004">
      <c r="A32" s="83" t="s">
        <v>269</v>
      </c>
      <c r="B32" s="84">
        <v>0</v>
      </c>
      <c r="L32" s="52"/>
      <c r="M32" s="52"/>
      <c r="N32" s="52"/>
      <c r="O32" s="52"/>
      <c r="P32" s="52"/>
      <c r="Q32" s="52"/>
      <c r="R32" s="52"/>
      <c r="S32" s="52"/>
      <c r="T32" s="52"/>
      <c r="U32" s="52"/>
      <c r="V32" s="52"/>
      <c r="W32" s="52"/>
    </row>
    <row r="33" spans="1:23" x14ac:dyDescent="0.55000000000000004">
      <c r="B33" s="50">
        <v>0.5</v>
      </c>
      <c r="L33" s="52"/>
      <c r="M33" s="52"/>
      <c r="N33" s="52"/>
      <c r="O33" s="52"/>
      <c r="P33" s="52"/>
      <c r="Q33" s="52"/>
      <c r="R33" s="52"/>
      <c r="S33" s="52"/>
      <c r="T33" s="52"/>
      <c r="U33" s="52"/>
      <c r="V33" s="52"/>
      <c r="W33" s="52"/>
    </row>
    <row r="34" spans="1:23" x14ac:dyDescent="0.55000000000000004">
      <c r="B34" s="50">
        <v>1</v>
      </c>
      <c r="L34" s="52"/>
      <c r="M34" s="52"/>
      <c r="N34" s="52"/>
      <c r="O34" s="52"/>
      <c r="P34" s="52"/>
      <c r="Q34" s="52"/>
      <c r="R34" s="52"/>
      <c r="S34" s="52"/>
      <c r="T34" s="52"/>
      <c r="U34" s="52"/>
      <c r="V34" s="52"/>
      <c r="W34" s="52"/>
    </row>
    <row r="35" spans="1:23" x14ac:dyDescent="0.55000000000000004">
      <c r="B35" s="50">
        <v>1.5</v>
      </c>
      <c r="L35" s="52"/>
      <c r="M35" s="52"/>
      <c r="N35" s="52"/>
      <c r="O35" s="52"/>
      <c r="P35" s="52"/>
      <c r="Q35" s="52"/>
      <c r="R35" s="52"/>
      <c r="S35" s="52"/>
      <c r="T35" s="52"/>
      <c r="U35" s="52"/>
      <c r="V35" s="52"/>
      <c r="W35" s="52"/>
    </row>
    <row r="36" spans="1:23" x14ac:dyDescent="0.55000000000000004">
      <c r="B36" s="50">
        <v>2</v>
      </c>
      <c r="L36" s="52"/>
      <c r="M36" s="52"/>
      <c r="N36" s="52"/>
      <c r="O36" s="52"/>
      <c r="P36" s="52"/>
      <c r="Q36" s="52"/>
      <c r="R36" s="52"/>
      <c r="S36" s="52"/>
      <c r="T36" s="52"/>
      <c r="U36" s="52"/>
      <c r="V36" s="52"/>
      <c r="W36" s="52"/>
    </row>
    <row r="37" spans="1:23" x14ac:dyDescent="0.55000000000000004">
      <c r="B37" s="50">
        <v>2.5</v>
      </c>
      <c r="L37" s="52"/>
      <c r="M37" s="52"/>
      <c r="N37" s="52"/>
      <c r="O37" s="52"/>
      <c r="P37" s="52"/>
      <c r="Q37" s="52"/>
      <c r="R37" s="52"/>
      <c r="S37" s="52"/>
      <c r="T37" s="52"/>
      <c r="U37" s="52"/>
      <c r="V37" s="52"/>
      <c r="W37" s="52"/>
    </row>
    <row r="38" spans="1:23" ht="14" customHeight="1" thickBot="1" x14ac:dyDescent="0.6">
      <c r="A38" s="85"/>
      <c r="B38" s="86">
        <v>3</v>
      </c>
      <c r="L38" s="52" t="str">
        <f>A15</f>
        <v>Threat Assessment</v>
      </c>
      <c r="M38" s="52"/>
      <c r="N38" s="52"/>
      <c r="O38" s="52"/>
      <c r="P38" s="52"/>
      <c r="Q38" s="52"/>
      <c r="R38" s="52"/>
      <c r="S38" s="52"/>
      <c r="T38" s="52"/>
      <c r="U38" s="52"/>
      <c r="V38" s="52"/>
      <c r="W38" s="52"/>
    </row>
    <row r="39" spans="1:23" x14ac:dyDescent="0.55000000000000004">
      <c r="L39" s="52"/>
      <c r="M39" s="52"/>
      <c r="N39" s="52"/>
      <c r="O39" s="52"/>
      <c r="P39" s="52"/>
      <c r="Q39" s="52"/>
      <c r="R39" s="52"/>
      <c r="S39" s="52"/>
      <c r="T39" s="52"/>
      <c r="U39" s="52"/>
      <c r="V39" s="52"/>
      <c r="W39" s="52"/>
    </row>
    <row r="40" spans="1:23" x14ac:dyDescent="0.55000000000000004">
      <c r="L40" s="52"/>
      <c r="M40" s="52"/>
      <c r="N40" s="52"/>
      <c r="O40" s="52"/>
      <c r="P40" s="52"/>
      <c r="Q40" s="52"/>
      <c r="R40" s="52"/>
      <c r="S40" s="52"/>
      <c r="T40" s="52"/>
      <c r="U40" s="52"/>
      <c r="V40" s="52"/>
      <c r="W40" s="52"/>
    </row>
    <row r="41" spans="1:23" x14ac:dyDescent="0.55000000000000004">
      <c r="L41" s="52"/>
      <c r="M41" s="52"/>
      <c r="N41" s="52"/>
      <c r="O41" s="52"/>
      <c r="P41" s="52"/>
      <c r="Q41" s="52"/>
      <c r="R41" s="52"/>
      <c r="S41" s="52"/>
      <c r="T41" s="52"/>
      <c r="U41" s="52"/>
      <c r="V41" s="52"/>
      <c r="W41" s="52"/>
    </row>
    <row r="42" spans="1:23" x14ac:dyDescent="0.55000000000000004">
      <c r="L42" s="52"/>
      <c r="M42" s="52"/>
      <c r="N42" s="52"/>
      <c r="O42" s="52"/>
      <c r="P42" s="52"/>
      <c r="Q42" s="52"/>
      <c r="R42" s="52"/>
      <c r="S42" s="52"/>
      <c r="T42" s="52"/>
      <c r="U42" s="52"/>
      <c r="V42" s="52"/>
      <c r="W42" s="52"/>
    </row>
    <row r="43" spans="1:23" x14ac:dyDescent="0.55000000000000004">
      <c r="L43" s="52"/>
      <c r="M43" s="52"/>
      <c r="N43" s="52"/>
      <c r="O43" s="52"/>
      <c r="P43" s="52"/>
      <c r="Q43" s="52"/>
      <c r="R43" s="52"/>
      <c r="S43" s="52"/>
      <c r="T43" s="52"/>
      <c r="U43" s="52"/>
      <c r="V43" s="52"/>
      <c r="W43" s="52"/>
    </row>
    <row r="44" spans="1:23" x14ac:dyDescent="0.55000000000000004">
      <c r="L44" s="52"/>
      <c r="M44" s="52"/>
      <c r="N44" s="52"/>
      <c r="O44" s="52"/>
      <c r="P44" s="52"/>
      <c r="Q44" s="52"/>
      <c r="R44" s="52"/>
      <c r="S44" s="52"/>
      <c r="T44" s="52"/>
      <c r="U44" s="52"/>
      <c r="V44" s="52"/>
      <c r="W44" s="52"/>
    </row>
    <row r="45" spans="1:23" x14ac:dyDescent="0.55000000000000004">
      <c r="L45" s="52"/>
      <c r="M45" s="52"/>
      <c r="N45" s="52"/>
      <c r="O45" s="52"/>
      <c r="P45" s="52"/>
      <c r="Q45" s="52"/>
      <c r="R45" s="52"/>
      <c r="S45" s="52"/>
      <c r="T45" s="52"/>
      <c r="U45" s="52"/>
      <c r="V45" s="52"/>
      <c r="W45" s="52"/>
    </row>
    <row r="46" spans="1:23" x14ac:dyDescent="0.55000000000000004">
      <c r="L46" s="52" t="str">
        <f>A16</f>
        <v>Security Requirements</v>
      </c>
      <c r="M46" s="52"/>
      <c r="N46" s="52"/>
      <c r="O46" s="52"/>
      <c r="P46" s="52"/>
      <c r="Q46" s="52"/>
      <c r="R46" s="52"/>
      <c r="S46" s="52"/>
      <c r="T46" s="52"/>
      <c r="U46" s="52"/>
      <c r="V46" s="52"/>
      <c r="W46" s="52"/>
    </row>
    <row r="47" spans="1:23" x14ac:dyDescent="0.55000000000000004">
      <c r="L47" s="52"/>
      <c r="M47" s="52"/>
      <c r="N47" s="52"/>
      <c r="O47" s="52"/>
      <c r="P47" s="52"/>
      <c r="Q47" s="52"/>
      <c r="R47" s="52"/>
      <c r="S47" s="52"/>
      <c r="T47" s="52"/>
      <c r="U47" s="52"/>
      <c r="V47" s="52"/>
      <c r="W47" s="52"/>
    </row>
    <row r="48" spans="1:23" x14ac:dyDescent="0.55000000000000004">
      <c r="L48" s="52"/>
      <c r="M48" s="52"/>
      <c r="N48" s="52"/>
      <c r="O48" s="52"/>
      <c r="P48" s="52"/>
      <c r="Q48" s="52"/>
      <c r="R48" s="52"/>
      <c r="S48" s="52"/>
      <c r="T48" s="52"/>
      <c r="U48" s="52"/>
      <c r="V48" s="52"/>
      <c r="W48" s="52"/>
    </row>
    <row r="49" spans="12:23" x14ac:dyDescent="0.55000000000000004">
      <c r="L49" s="52"/>
      <c r="M49" s="52"/>
      <c r="N49" s="52"/>
      <c r="O49" s="52"/>
      <c r="P49" s="52"/>
      <c r="Q49" s="52"/>
      <c r="R49" s="52"/>
      <c r="S49" s="52"/>
      <c r="T49" s="52"/>
      <c r="U49" s="52"/>
      <c r="V49" s="52"/>
      <c r="W49" s="52"/>
    </row>
    <row r="50" spans="12:23" x14ac:dyDescent="0.55000000000000004">
      <c r="L50" s="52"/>
      <c r="M50" s="52"/>
      <c r="N50" s="52"/>
      <c r="O50" s="52"/>
      <c r="P50" s="52"/>
      <c r="Q50" s="52"/>
      <c r="R50" s="52"/>
      <c r="S50" s="52"/>
      <c r="T50" s="52"/>
      <c r="U50" s="52"/>
      <c r="V50" s="52"/>
      <c r="W50" s="52"/>
    </row>
    <row r="51" spans="12:23" x14ac:dyDescent="0.55000000000000004">
      <c r="L51" s="52"/>
      <c r="M51" s="52"/>
      <c r="N51" s="52"/>
      <c r="O51" s="52"/>
      <c r="P51" s="52"/>
      <c r="Q51" s="52"/>
      <c r="R51" s="52"/>
      <c r="S51" s="52"/>
      <c r="T51" s="52"/>
      <c r="U51" s="52"/>
      <c r="V51" s="52"/>
      <c r="W51" s="52"/>
    </row>
    <row r="52" spans="12:23" x14ac:dyDescent="0.55000000000000004">
      <c r="L52" s="52"/>
      <c r="M52" s="52"/>
      <c r="N52" s="52"/>
      <c r="O52" s="52"/>
      <c r="P52" s="52"/>
      <c r="Q52" s="52"/>
      <c r="R52" s="52"/>
      <c r="S52" s="52"/>
      <c r="T52" s="52"/>
      <c r="U52" s="52"/>
      <c r="V52" s="52"/>
      <c r="W52" s="52"/>
    </row>
    <row r="53" spans="12:23" x14ac:dyDescent="0.55000000000000004">
      <c r="L53" s="52"/>
      <c r="M53" s="52"/>
      <c r="N53" s="52"/>
      <c r="O53" s="52"/>
      <c r="P53" s="52"/>
      <c r="Q53" s="52"/>
      <c r="R53" s="52"/>
      <c r="S53" s="52"/>
      <c r="T53" s="52"/>
      <c r="U53" s="52"/>
      <c r="V53" s="52"/>
      <c r="W53" s="52"/>
    </row>
    <row r="54" spans="12:23" x14ac:dyDescent="0.55000000000000004">
      <c r="L54" s="52" t="str">
        <f>A17</f>
        <v>Secure Architecture</v>
      </c>
      <c r="M54" s="52"/>
      <c r="N54" s="52"/>
      <c r="O54" s="52"/>
      <c r="P54" s="52"/>
      <c r="Q54" s="52"/>
      <c r="R54" s="52"/>
      <c r="S54" s="52"/>
      <c r="T54" s="52"/>
      <c r="U54" s="52"/>
      <c r="V54" s="52"/>
      <c r="W54" s="52"/>
    </row>
    <row r="55" spans="12:23" x14ac:dyDescent="0.55000000000000004">
      <c r="L55" s="52"/>
      <c r="M55" s="52"/>
      <c r="N55" s="52"/>
      <c r="O55" s="52"/>
      <c r="P55" s="52"/>
      <c r="Q55" s="52"/>
      <c r="R55" s="52"/>
      <c r="S55" s="52"/>
      <c r="T55" s="52"/>
      <c r="U55" s="52"/>
      <c r="V55" s="52"/>
      <c r="W55" s="52"/>
    </row>
    <row r="56" spans="12:23" x14ac:dyDescent="0.55000000000000004">
      <c r="L56" s="52"/>
      <c r="M56" s="52"/>
      <c r="W56" s="52"/>
    </row>
    <row r="57" spans="12:23" x14ac:dyDescent="0.55000000000000004">
      <c r="L57" s="52"/>
      <c r="M57" s="52"/>
      <c r="W57" s="52"/>
    </row>
    <row r="58" spans="12:23" x14ac:dyDescent="0.55000000000000004">
      <c r="L58" s="52"/>
      <c r="M58" s="52"/>
      <c r="W58" s="52"/>
    </row>
    <row r="59" spans="12:23" x14ac:dyDescent="0.55000000000000004">
      <c r="L59" s="52"/>
      <c r="M59" s="52"/>
      <c r="W59" s="52"/>
    </row>
    <row r="60" spans="12:23" x14ac:dyDescent="0.55000000000000004">
      <c r="L60" s="52"/>
      <c r="M60" s="52"/>
      <c r="W60" s="52"/>
    </row>
    <row r="61" spans="12:23" x14ac:dyDescent="0.55000000000000004">
      <c r="L61" s="52"/>
      <c r="M61" s="52"/>
      <c r="W61" s="52"/>
    </row>
    <row r="62" spans="12:23" x14ac:dyDescent="0.55000000000000004">
      <c r="L62" s="52" t="str">
        <f>A18</f>
        <v>Secure Build</v>
      </c>
      <c r="M62" s="52"/>
      <c r="W62" s="52"/>
    </row>
    <row r="63" spans="12:23" x14ac:dyDescent="0.55000000000000004">
      <c r="L63" s="52"/>
      <c r="M63" s="52"/>
      <c r="W63" s="52"/>
    </row>
    <row r="64" spans="12:23" x14ac:dyDescent="0.55000000000000004">
      <c r="L64" s="52"/>
      <c r="M64" s="52"/>
      <c r="W64" s="52"/>
    </row>
    <row r="65" spans="12:23" x14ac:dyDescent="0.55000000000000004">
      <c r="L65" s="52"/>
      <c r="M65" s="52"/>
      <c r="W65" s="52"/>
    </row>
    <row r="66" spans="12:23" x14ac:dyDescent="0.55000000000000004">
      <c r="L66" s="52"/>
      <c r="M66" s="52"/>
      <c r="W66" s="52"/>
    </row>
    <row r="67" spans="12:23" x14ac:dyDescent="0.55000000000000004">
      <c r="L67" s="52"/>
      <c r="M67" s="52"/>
      <c r="W67" s="52"/>
    </row>
    <row r="68" spans="12:23" x14ac:dyDescent="0.55000000000000004">
      <c r="L68" s="52"/>
      <c r="M68" s="52"/>
      <c r="W68" s="52"/>
    </row>
    <row r="69" spans="12:23" x14ac:dyDescent="0.55000000000000004">
      <c r="L69" s="52"/>
      <c r="M69" s="52"/>
      <c r="W69" s="52"/>
    </row>
    <row r="70" spans="12:23" x14ac:dyDescent="0.55000000000000004">
      <c r="L70" s="52" t="str">
        <f>A19</f>
        <v>Secure Deployment</v>
      </c>
      <c r="M70" s="52"/>
      <c r="W70" s="52"/>
    </row>
    <row r="71" spans="12:23" x14ac:dyDescent="0.55000000000000004">
      <c r="L71" s="52"/>
      <c r="M71" s="52"/>
      <c r="W71" s="52"/>
    </row>
    <row r="72" spans="12:23" x14ac:dyDescent="0.55000000000000004">
      <c r="L72" s="52"/>
      <c r="M72" s="52"/>
      <c r="W72" s="52"/>
    </row>
    <row r="73" spans="12:23" x14ac:dyDescent="0.55000000000000004">
      <c r="L73" s="52"/>
      <c r="M73" s="52"/>
      <c r="W73" s="52"/>
    </row>
    <row r="74" spans="12:23" x14ac:dyDescent="0.55000000000000004">
      <c r="L74" s="52"/>
      <c r="M74" s="52"/>
      <c r="W74" s="52"/>
    </row>
    <row r="75" spans="12:23" x14ac:dyDescent="0.55000000000000004">
      <c r="L75" s="52"/>
      <c r="M75" s="52"/>
      <c r="W75" s="52"/>
    </row>
    <row r="76" spans="12:23" x14ac:dyDescent="0.55000000000000004">
      <c r="L76" s="52"/>
      <c r="M76" s="52"/>
      <c r="W76" s="52"/>
    </row>
    <row r="77" spans="12:23" x14ac:dyDescent="0.55000000000000004">
      <c r="L77" s="52"/>
      <c r="M77" s="52"/>
      <c r="W77" s="52"/>
    </row>
    <row r="78" spans="12:23" x14ac:dyDescent="0.55000000000000004">
      <c r="L78" s="52" t="str">
        <f>A20</f>
        <v>Defect Management</v>
      </c>
      <c r="M78" s="52"/>
      <c r="W78" s="52"/>
    </row>
    <row r="79" spans="12:23" x14ac:dyDescent="0.55000000000000004">
      <c r="L79" s="52"/>
      <c r="M79" s="52"/>
      <c r="W79" s="52"/>
    </row>
    <row r="80" spans="12:23" x14ac:dyDescent="0.55000000000000004">
      <c r="L80" s="52"/>
      <c r="M80" s="52"/>
      <c r="N80" s="52"/>
      <c r="O80" s="52"/>
      <c r="P80" s="52"/>
      <c r="Q80" s="52"/>
      <c r="R80" s="52"/>
      <c r="S80" s="52"/>
      <c r="T80" s="52"/>
      <c r="U80" s="52"/>
      <c r="V80" s="52"/>
      <c r="W80" s="52"/>
    </row>
    <row r="81" spans="12:23" x14ac:dyDescent="0.55000000000000004">
      <c r="L81" s="52"/>
      <c r="M81" s="52"/>
      <c r="N81" s="52"/>
      <c r="O81" s="52"/>
      <c r="P81" s="52"/>
      <c r="Q81" s="52"/>
      <c r="R81" s="52"/>
      <c r="S81" s="52"/>
      <c r="T81" s="52"/>
      <c r="U81" s="52"/>
      <c r="V81" s="52"/>
      <c r="W81" s="52"/>
    </row>
    <row r="82" spans="12:23" x14ac:dyDescent="0.55000000000000004">
      <c r="L82" s="52"/>
      <c r="M82" s="52"/>
      <c r="N82" s="52"/>
      <c r="O82" s="52"/>
      <c r="P82" s="52"/>
      <c r="Q82" s="52"/>
      <c r="R82" s="52"/>
      <c r="S82" s="52"/>
      <c r="T82" s="52"/>
      <c r="U82" s="52"/>
      <c r="V82" s="52"/>
      <c r="W82" s="52"/>
    </row>
    <row r="83" spans="12:23" x14ac:dyDescent="0.55000000000000004">
      <c r="L83" s="52"/>
      <c r="M83" s="52"/>
      <c r="N83" s="52"/>
      <c r="O83" s="52"/>
      <c r="P83" s="52"/>
      <c r="Q83" s="52"/>
      <c r="R83" s="52"/>
      <c r="S83" s="52"/>
      <c r="T83" s="52"/>
      <c r="U83" s="52"/>
      <c r="V83" s="52"/>
      <c r="W83" s="52"/>
    </row>
    <row r="84" spans="12:23" x14ac:dyDescent="0.55000000000000004">
      <c r="L84" s="52"/>
      <c r="M84" s="52"/>
      <c r="N84" s="52"/>
      <c r="O84" s="52"/>
      <c r="P84" s="52"/>
      <c r="Q84" s="52"/>
      <c r="R84" s="52"/>
      <c r="S84" s="52"/>
      <c r="T84" s="52"/>
      <c r="U84" s="52"/>
      <c r="V84" s="52"/>
      <c r="W84" s="52"/>
    </row>
    <row r="85" spans="12:23" x14ac:dyDescent="0.55000000000000004">
      <c r="L85" s="52"/>
      <c r="M85" s="52"/>
      <c r="N85" s="52"/>
      <c r="O85" s="52"/>
      <c r="P85" s="52"/>
      <c r="Q85" s="52"/>
      <c r="R85" s="52"/>
      <c r="S85" s="52"/>
      <c r="T85" s="52"/>
      <c r="U85" s="52"/>
      <c r="V85" s="52"/>
      <c r="W85" s="52"/>
    </row>
    <row r="86" spans="12:23" x14ac:dyDescent="0.55000000000000004">
      <c r="L86" s="52" t="str">
        <f>A21</f>
        <v>Architecture Assessment</v>
      </c>
      <c r="M86" s="52"/>
      <c r="N86" s="52"/>
      <c r="O86" s="52"/>
      <c r="P86" s="52"/>
      <c r="Q86" s="52"/>
      <c r="R86" s="52"/>
      <c r="S86" s="52"/>
      <c r="T86" s="52"/>
      <c r="U86" s="52"/>
      <c r="V86" s="52"/>
      <c r="W86" s="52"/>
    </row>
    <row r="87" spans="12:23" x14ac:dyDescent="0.55000000000000004">
      <c r="L87" s="52"/>
      <c r="M87" s="52"/>
      <c r="N87" s="52"/>
      <c r="O87" s="52"/>
      <c r="P87" s="52"/>
      <c r="Q87" s="52"/>
      <c r="R87" s="52"/>
      <c r="S87" s="52"/>
      <c r="T87" s="52"/>
      <c r="U87" s="52"/>
      <c r="V87" s="52"/>
      <c r="W87" s="52"/>
    </row>
    <row r="88" spans="12:23" x14ac:dyDescent="0.55000000000000004">
      <c r="L88" s="52"/>
      <c r="M88" s="52"/>
      <c r="N88" s="52"/>
      <c r="O88" s="52"/>
      <c r="P88" s="52"/>
      <c r="Q88" s="52"/>
      <c r="R88" s="52"/>
      <c r="S88" s="52"/>
      <c r="T88" s="52"/>
      <c r="U88" s="52"/>
      <c r="V88" s="52"/>
      <c r="W88" s="52"/>
    </row>
    <row r="89" spans="12:23" x14ac:dyDescent="0.55000000000000004">
      <c r="L89" s="52"/>
      <c r="M89" s="52"/>
      <c r="N89" s="52"/>
      <c r="O89" s="52"/>
      <c r="P89" s="52"/>
      <c r="Q89" s="52"/>
      <c r="R89" s="52"/>
      <c r="S89" s="52"/>
      <c r="T89" s="52"/>
      <c r="U89" s="52"/>
      <c r="V89" s="52"/>
      <c r="W89" s="52"/>
    </row>
    <row r="90" spans="12:23" x14ac:dyDescent="0.55000000000000004">
      <c r="L90" s="52"/>
      <c r="M90" s="52"/>
      <c r="N90" s="52"/>
      <c r="O90" s="52"/>
      <c r="P90" s="52"/>
      <c r="Q90" s="52"/>
      <c r="R90" s="52"/>
      <c r="S90" s="52"/>
      <c r="T90" s="52"/>
      <c r="U90" s="52"/>
      <c r="V90" s="52"/>
      <c r="W90" s="52"/>
    </row>
    <row r="91" spans="12:23" x14ac:dyDescent="0.55000000000000004">
      <c r="L91" s="52"/>
      <c r="M91" s="52"/>
      <c r="N91" s="52"/>
      <c r="O91" s="52"/>
      <c r="P91" s="52"/>
      <c r="Q91" s="52"/>
      <c r="R91" s="52"/>
      <c r="S91" s="52"/>
      <c r="T91" s="52"/>
      <c r="U91" s="52"/>
      <c r="V91" s="52"/>
      <c r="W91" s="52"/>
    </row>
    <row r="92" spans="12:23" x14ac:dyDescent="0.55000000000000004">
      <c r="L92" s="52"/>
      <c r="M92" s="52"/>
      <c r="N92" s="52"/>
      <c r="O92" s="52"/>
      <c r="P92" s="52"/>
      <c r="Q92" s="52"/>
      <c r="R92" s="52"/>
      <c r="S92" s="52"/>
      <c r="T92" s="52"/>
      <c r="U92" s="52"/>
      <c r="V92" s="52"/>
      <c r="W92" s="52"/>
    </row>
    <row r="93" spans="12:23" x14ac:dyDescent="0.55000000000000004">
      <c r="L93" s="52"/>
      <c r="M93" s="52"/>
      <c r="N93" s="52"/>
      <c r="O93" s="52"/>
      <c r="P93" s="52"/>
      <c r="Q93" s="52"/>
      <c r="R93" s="52"/>
      <c r="S93" s="52"/>
      <c r="T93" s="52"/>
      <c r="U93" s="52"/>
      <c r="V93" s="52"/>
      <c r="W93" s="52"/>
    </row>
    <row r="94" spans="12:23" x14ac:dyDescent="0.55000000000000004">
      <c r="L94" s="52" t="str">
        <f>A22</f>
        <v>Requirements Testing</v>
      </c>
      <c r="M94" s="52"/>
      <c r="N94" s="52"/>
      <c r="O94" s="52"/>
      <c r="P94" s="52"/>
      <c r="Q94" s="52"/>
      <c r="R94" s="52"/>
      <c r="S94" s="52"/>
      <c r="T94" s="52"/>
      <c r="U94" s="52"/>
      <c r="V94" s="52"/>
      <c r="W94" s="52"/>
    </row>
    <row r="95" spans="12:23" x14ac:dyDescent="0.55000000000000004">
      <c r="L95" s="52"/>
      <c r="M95" s="52"/>
      <c r="N95" s="52"/>
      <c r="O95" s="52"/>
      <c r="P95" s="52"/>
      <c r="Q95" s="52"/>
      <c r="R95" s="52"/>
      <c r="S95" s="52"/>
      <c r="T95" s="52"/>
      <c r="U95" s="52"/>
      <c r="V95" s="52"/>
      <c r="W95" s="52"/>
    </row>
    <row r="96" spans="12:23" x14ac:dyDescent="0.55000000000000004">
      <c r="L96" s="52"/>
      <c r="M96" s="52"/>
      <c r="N96" s="52"/>
      <c r="O96" s="52"/>
      <c r="P96" s="52"/>
      <c r="Q96" s="52"/>
      <c r="R96" s="52"/>
      <c r="S96" s="52"/>
      <c r="T96" s="52"/>
      <c r="U96" s="52"/>
      <c r="V96" s="52"/>
      <c r="W96" s="52"/>
    </row>
    <row r="97" spans="12:23" x14ac:dyDescent="0.55000000000000004">
      <c r="L97" s="52"/>
      <c r="M97" s="52"/>
      <c r="N97" s="52"/>
      <c r="O97" s="52"/>
      <c r="P97" s="52"/>
      <c r="Q97" s="52"/>
      <c r="R97" s="52"/>
      <c r="S97" s="52"/>
      <c r="T97" s="52"/>
      <c r="U97" s="52"/>
      <c r="V97" s="52"/>
      <c r="W97" s="52"/>
    </row>
    <row r="98" spans="12:23" x14ac:dyDescent="0.55000000000000004">
      <c r="L98" s="52"/>
      <c r="M98" s="52"/>
      <c r="N98" s="52"/>
      <c r="O98" s="52"/>
      <c r="P98" s="52"/>
      <c r="Q98" s="52"/>
      <c r="R98" s="52"/>
      <c r="S98" s="52"/>
      <c r="T98" s="52"/>
      <c r="U98" s="52"/>
      <c r="V98" s="52"/>
      <c r="W98" s="52"/>
    </row>
    <row r="99" spans="12:23" x14ac:dyDescent="0.55000000000000004">
      <c r="L99" s="52"/>
      <c r="M99" s="52"/>
      <c r="N99" s="52"/>
      <c r="O99" s="52"/>
      <c r="P99" s="52"/>
      <c r="Q99" s="52"/>
      <c r="R99" s="52"/>
      <c r="S99" s="52"/>
      <c r="T99" s="52"/>
      <c r="U99" s="52"/>
      <c r="V99" s="52"/>
      <c r="W99" s="52"/>
    </row>
    <row r="100" spans="12:23" x14ac:dyDescent="0.55000000000000004">
      <c r="L100" s="52"/>
      <c r="M100" s="52"/>
      <c r="N100" s="52"/>
      <c r="O100" s="52"/>
      <c r="P100" s="52"/>
      <c r="Q100" s="52"/>
      <c r="R100" s="52"/>
      <c r="S100" s="52"/>
      <c r="T100" s="52"/>
      <c r="U100" s="52"/>
      <c r="V100" s="52"/>
      <c r="W100" s="52"/>
    </row>
    <row r="101" spans="12:23" x14ac:dyDescent="0.55000000000000004">
      <c r="L101" s="52"/>
      <c r="M101" s="52"/>
      <c r="N101" s="52"/>
      <c r="O101" s="52"/>
      <c r="P101" s="52"/>
      <c r="Q101" s="52"/>
      <c r="R101" s="52"/>
      <c r="S101" s="52"/>
      <c r="T101" s="52"/>
      <c r="U101" s="52"/>
      <c r="V101" s="52"/>
      <c r="W101" s="52"/>
    </row>
    <row r="102" spans="12:23" x14ac:dyDescent="0.55000000000000004">
      <c r="L102" s="52" t="str">
        <f>A23</f>
        <v>Security Testing</v>
      </c>
      <c r="M102" s="52"/>
      <c r="N102" s="52"/>
      <c r="O102" s="52"/>
      <c r="P102" s="52"/>
      <c r="Q102" s="52"/>
      <c r="R102" s="52"/>
      <c r="S102" s="52"/>
      <c r="T102" s="52"/>
      <c r="U102" s="52"/>
      <c r="V102" s="52"/>
      <c r="W102" s="52"/>
    </row>
    <row r="103" spans="12:23" x14ac:dyDescent="0.55000000000000004">
      <c r="L103" s="52"/>
      <c r="M103" s="52"/>
      <c r="N103" s="52"/>
      <c r="O103" s="52"/>
      <c r="P103" s="52"/>
      <c r="Q103" s="52"/>
      <c r="R103" s="52"/>
      <c r="S103" s="52"/>
      <c r="T103" s="52"/>
      <c r="U103" s="52"/>
      <c r="V103" s="52"/>
      <c r="W103" s="52"/>
    </row>
    <row r="104" spans="12:23" x14ac:dyDescent="0.55000000000000004">
      <c r="L104" s="52"/>
      <c r="M104" s="52"/>
      <c r="N104" s="52"/>
      <c r="O104" s="52"/>
      <c r="P104" s="52"/>
      <c r="Q104" s="52"/>
      <c r="R104" s="52"/>
      <c r="S104" s="52"/>
      <c r="T104" s="52"/>
      <c r="U104" s="52"/>
      <c r="V104" s="52"/>
      <c r="W104" s="52"/>
    </row>
    <row r="105" spans="12:23" x14ac:dyDescent="0.55000000000000004">
      <c r="L105" s="52"/>
      <c r="M105" s="52"/>
      <c r="N105" s="52"/>
      <c r="O105" s="52"/>
      <c r="P105" s="52"/>
      <c r="Q105" s="52"/>
      <c r="R105" s="52"/>
      <c r="S105" s="52"/>
      <c r="T105" s="52"/>
      <c r="U105" s="52"/>
      <c r="V105" s="52"/>
      <c r="W105" s="52"/>
    </row>
    <row r="106" spans="12:23" x14ac:dyDescent="0.55000000000000004">
      <c r="L106" s="52"/>
      <c r="M106" s="52"/>
      <c r="N106" s="52"/>
      <c r="O106" s="52"/>
      <c r="P106" s="52"/>
      <c r="Q106" s="52"/>
      <c r="R106" s="52"/>
      <c r="S106" s="52"/>
      <c r="T106" s="52"/>
      <c r="U106" s="52"/>
      <c r="V106" s="52"/>
      <c r="W106" s="52"/>
    </row>
    <row r="107" spans="12:23" x14ac:dyDescent="0.55000000000000004">
      <c r="L107" s="52"/>
      <c r="M107" s="52"/>
      <c r="N107" s="52"/>
      <c r="O107" s="52"/>
      <c r="P107" s="52"/>
      <c r="Q107" s="52"/>
      <c r="R107" s="52"/>
      <c r="S107" s="52"/>
      <c r="T107" s="52"/>
      <c r="U107" s="52"/>
      <c r="V107" s="52"/>
      <c r="W107" s="52"/>
    </row>
    <row r="108" spans="12:23" x14ac:dyDescent="0.55000000000000004">
      <c r="L108" s="52"/>
      <c r="M108" s="52"/>
      <c r="N108" s="52"/>
      <c r="O108" s="52"/>
      <c r="P108" s="52"/>
      <c r="Q108" s="52"/>
      <c r="R108" s="52"/>
      <c r="S108" s="52"/>
      <c r="T108" s="52"/>
      <c r="U108" s="52"/>
      <c r="V108" s="52"/>
      <c r="W108" s="52"/>
    </row>
    <row r="109" spans="12:23" x14ac:dyDescent="0.55000000000000004">
      <c r="L109" s="52"/>
      <c r="M109" s="52"/>
      <c r="N109" s="52"/>
      <c r="O109" s="52"/>
      <c r="P109" s="52"/>
      <c r="Q109" s="52"/>
      <c r="R109" s="52"/>
      <c r="S109" s="52"/>
      <c r="T109" s="52"/>
      <c r="U109" s="52"/>
      <c r="V109" s="52"/>
      <c r="W109" s="52"/>
    </row>
    <row r="110" spans="12:23" x14ac:dyDescent="0.55000000000000004">
      <c r="L110" s="52" t="str">
        <f>A24</f>
        <v>Incident Management</v>
      </c>
      <c r="M110" s="52"/>
      <c r="N110" s="52"/>
      <c r="O110" s="52"/>
      <c r="P110" s="52"/>
      <c r="Q110" s="52"/>
      <c r="R110" s="52"/>
      <c r="S110" s="52"/>
      <c r="T110" s="52"/>
      <c r="U110" s="52"/>
      <c r="V110" s="52"/>
      <c r="W110" s="52"/>
    </row>
    <row r="111" spans="12:23" x14ac:dyDescent="0.55000000000000004">
      <c r="L111" s="52"/>
      <c r="M111" s="52"/>
      <c r="N111" s="52"/>
      <c r="O111" s="52"/>
      <c r="P111" s="52"/>
      <c r="Q111" s="52"/>
      <c r="R111" s="52"/>
      <c r="S111" s="52"/>
      <c r="T111" s="52"/>
      <c r="U111" s="52"/>
      <c r="V111" s="52"/>
      <c r="W111" s="52"/>
    </row>
    <row r="112" spans="12:23" x14ac:dyDescent="0.55000000000000004">
      <c r="L112" s="52"/>
      <c r="M112" s="52"/>
      <c r="N112" s="52"/>
      <c r="O112" s="52"/>
      <c r="P112" s="52"/>
      <c r="Q112" s="52"/>
      <c r="R112" s="52"/>
      <c r="S112" s="52"/>
      <c r="T112" s="52"/>
      <c r="U112" s="52"/>
      <c r="V112" s="52"/>
      <c r="W112" s="52"/>
    </row>
    <row r="113" spans="12:23" x14ac:dyDescent="0.55000000000000004">
      <c r="L113" s="52"/>
      <c r="M113" s="52"/>
      <c r="N113" s="52"/>
      <c r="O113" s="52"/>
      <c r="P113" s="52"/>
      <c r="Q113" s="52"/>
      <c r="R113" s="52"/>
      <c r="S113" s="52"/>
      <c r="T113" s="52"/>
      <c r="U113" s="52"/>
      <c r="V113" s="52"/>
      <c r="W113" s="52"/>
    </row>
    <row r="114" spans="12:23" x14ac:dyDescent="0.55000000000000004">
      <c r="L114" s="52"/>
      <c r="M114" s="52"/>
      <c r="N114" s="52"/>
      <c r="O114" s="52"/>
      <c r="P114" s="52"/>
      <c r="Q114" s="52"/>
      <c r="R114" s="52"/>
      <c r="S114" s="52"/>
      <c r="T114" s="52"/>
      <c r="U114" s="52"/>
      <c r="V114" s="52"/>
      <c r="W114" s="52"/>
    </row>
    <row r="115" spans="12:23" x14ac:dyDescent="0.55000000000000004">
      <c r="L115" s="52"/>
      <c r="M115" s="52"/>
      <c r="N115" s="52"/>
      <c r="O115" s="52"/>
      <c r="P115" s="52"/>
      <c r="Q115" s="52"/>
      <c r="R115" s="52"/>
      <c r="S115" s="52"/>
      <c r="T115" s="52"/>
      <c r="U115" s="52"/>
      <c r="V115" s="52"/>
      <c r="W115" s="52"/>
    </row>
    <row r="116" spans="12:23" x14ac:dyDescent="0.55000000000000004">
      <c r="L116" s="52"/>
      <c r="M116" s="52"/>
      <c r="N116" s="52"/>
      <c r="O116" s="52"/>
      <c r="P116" s="52"/>
      <c r="Q116" s="52"/>
      <c r="R116" s="52"/>
      <c r="S116" s="52"/>
      <c r="T116" s="52"/>
      <c r="U116" s="52"/>
      <c r="V116" s="52"/>
      <c r="W116" s="52"/>
    </row>
    <row r="117" spans="12:23" x14ac:dyDescent="0.55000000000000004">
      <c r="L117" s="52"/>
      <c r="M117" s="52"/>
      <c r="N117" s="52"/>
      <c r="O117" s="52"/>
      <c r="P117" s="52"/>
      <c r="Q117" s="52"/>
      <c r="R117" s="52"/>
      <c r="S117" s="52"/>
      <c r="T117" s="52"/>
      <c r="U117" s="52"/>
      <c r="V117" s="52"/>
      <c r="W117" s="52"/>
    </row>
    <row r="118" spans="12:23" x14ac:dyDescent="0.55000000000000004">
      <c r="L118" s="52" t="str">
        <f>A25</f>
        <v>Environment Management</v>
      </c>
      <c r="M118" s="52"/>
      <c r="N118" s="52"/>
      <c r="O118" s="52"/>
      <c r="P118" s="52"/>
      <c r="Q118" s="52"/>
      <c r="R118" s="52"/>
      <c r="S118" s="52"/>
      <c r="T118" s="52"/>
      <c r="U118" s="52"/>
      <c r="V118" s="52"/>
      <c r="W118" s="52"/>
    </row>
    <row r="119" spans="12:23" x14ac:dyDescent="0.55000000000000004">
      <c r="L119" s="52"/>
      <c r="M119" s="52"/>
      <c r="N119" s="52"/>
      <c r="O119" s="52"/>
      <c r="P119" s="52"/>
      <c r="Q119" s="52"/>
      <c r="R119" s="52"/>
      <c r="S119" s="52"/>
      <c r="T119" s="52"/>
      <c r="U119" s="52"/>
      <c r="V119" s="52"/>
      <c r="W119" s="52"/>
    </row>
    <row r="120" spans="12:23" x14ac:dyDescent="0.55000000000000004">
      <c r="L120" s="52"/>
      <c r="M120" s="52"/>
      <c r="N120" s="52"/>
      <c r="O120" s="52"/>
      <c r="P120" s="52"/>
      <c r="Q120" s="52"/>
      <c r="R120" s="52"/>
      <c r="S120" s="52"/>
      <c r="T120" s="52"/>
      <c r="U120" s="52"/>
      <c r="V120" s="52"/>
      <c r="W120" s="52"/>
    </row>
    <row r="121" spans="12:23" x14ac:dyDescent="0.55000000000000004">
      <c r="L121" s="52"/>
      <c r="M121" s="52"/>
      <c r="N121" s="52"/>
      <c r="O121" s="52"/>
      <c r="P121" s="52"/>
      <c r="Q121" s="52"/>
      <c r="R121" s="52"/>
      <c r="S121" s="52"/>
      <c r="T121" s="52"/>
      <c r="U121" s="52"/>
      <c r="V121" s="52"/>
      <c r="W121" s="52"/>
    </row>
    <row r="122" spans="12:23" x14ac:dyDescent="0.55000000000000004">
      <c r="L122" s="52"/>
      <c r="M122" s="52"/>
      <c r="N122" s="52"/>
      <c r="O122" s="52"/>
      <c r="P122" s="52"/>
      <c r="Q122" s="52"/>
      <c r="R122" s="52"/>
      <c r="S122" s="52"/>
      <c r="T122" s="52"/>
      <c r="U122" s="52"/>
      <c r="V122" s="52"/>
      <c r="W122" s="52"/>
    </row>
    <row r="123" spans="12:23" x14ac:dyDescent="0.55000000000000004">
      <c r="L123" s="52"/>
      <c r="M123" s="52"/>
      <c r="N123" s="52"/>
      <c r="O123" s="52"/>
      <c r="P123" s="52"/>
      <c r="Q123" s="52"/>
      <c r="R123" s="52"/>
      <c r="S123" s="52"/>
      <c r="T123" s="52"/>
      <c r="U123" s="52"/>
      <c r="V123" s="52"/>
      <c r="W123" s="52"/>
    </row>
    <row r="124" spans="12:23" x14ac:dyDescent="0.55000000000000004">
      <c r="L124" s="52"/>
      <c r="M124" s="52"/>
      <c r="N124" s="52"/>
      <c r="O124" s="52"/>
      <c r="P124" s="52"/>
      <c r="Q124" s="52"/>
      <c r="R124" s="52"/>
      <c r="S124" s="52"/>
      <c r="T124" s="52"/>
      <c r="U124" s="52"/>
      <c r="V124" s="52"/>
      <c r="W124" s="52"/>
    </row>
    <row r="125" spans="12:23" x14ac:dyDescent="0.55000000000000004">
      <c r="L125" s="52"/>
      <c r="M125" s="52"/>
      <c r="N125" s="52"/>
      <c r="O125" s="52"/>
      <c r="P125" s="52"/>
      <c r="Q125" s="52"/>
      <c r="R125" s="52"/>
      <c r="S125" s="52"/>
      <c r="T125" s="52"/>
      <c r="U125" s="52"/>
      <c r="V125" s="52"/>
      <c r="W125" s="52"/>
    </row>
    <row r="126" spans="12:23" x14ac:dyDescent="0.55000000000000004">
      <c r="L126" s="52" t="str">
        <f>A26</f>
        <v>Operational Management</v>
      </c>
      <c r="M126" s="52"/>
      <c r="N126" s="52"/>
      <c r="O126" s="52"/>
      <c r="P126" s="52"/>
      <c r="Q126" s="52"/>
      <c r="R126" s="52"/>
      <c r="S126" s="52"/>
      <c r="T126" s="52"/>
      <c r="U126" s="52"/>
      <c r="V126" s="52"/>
      <c r="W126" s="52"/>
    </row>
    <row r="127" spans="12:23" x14ac:dyDescent="0.55000000000000004">
      <c r="L127" s="52"/>
      <c r="M127" s="52"/>
      <c r="N127" s="52"/>
      <c r="O127" s="52"/>
      <c r="P127" s="52"/>
      <c r="Q127" s="52"/>
      <c r="R127" s="52"/>
      <c r="S127" s="52"/>
      <c r="T127" s="52"/>
      <c r="U127" s="52"/>
      <c r="V127" s="52"/>
      <c r="W127" s="52"/>
    </row>
    <row r="128" spans="12:23" x14ac:dyDescent="0.55000000000000004">
      <c r="L128" s="52"/>
      <c r="M128" s="52"/>
      <c r="N128" s="52"/>
      <c r="O128" s="52"/>
      <c r="P128" s="52"/>
      <c r="Q128" s="52"/>
      <c r="R128" s="52"/>
      <c r="S128" s="52"/>
      <c r="T128" s="52"/>
      <c r="U128" s="52"/>
      <c r="V128" s="52"/>
      <c r="W128" s="52"/>
    </row>
    <row r="129" spans="12:23" x14ac:dyDescent="0.55000000000000004">
      <c r="L129" s="52"/>
      <c r="M129" s="52"/>
      <c r="N129" s="52"/>
      <c r="O129" s="52"/>
      <c r="P129" s="52"/>
      <c r="Q129" s="52"/>
      <c r="R129" s="52"/>
      <c r="S129" s="52"/>
      <c r="T129" s="52"/>
      <c r="U129" s="52"/>
      <c r="V129" s="52"/>
      <c r="W129" s="52"/>
    </row>
    <row r="130" spans="12:23" x14ac:dyDescent="0.55000000000000004">
      <c r="L130" s="52"/>
      <c r="M130" s="52"/>
      <c r="N130" s="52"/>
      <c r="O130" s="52"/>
      <c r="P130" s="52"/>
      <c r="Q130" s="52"/>
      <c r="R130" s="52"/>
      <c r="S130" s="52"/>
      <c r="T130" s="52"/>
      <c r="U130" s="52"/>
      <c r="V130" s="52"/>
      <c r="W130" s="52"/>
    </row>
    <row r="131" spans="12:23" x14ac:dyDescent="0.55000000000000004">
      <c r="L131" s="52"/>
      <c r="M131" s="52"/>
      <c r="N131" s="52"/>
      <c r="O131" s="52"/>
      <c r="P131" s="52"/>
      <c r="Q131" s="52"/>
      <c r="R131" s="52"/>
      <c r="S131" s="52"/>
      <c r="T131" s="52"/>
      <c r="U131" s="52"/>
      <c r="V131" s="52"/>
      <c r="W131" s="52"/>
    </row>
    <row r="132" spans="12:23" ht="14" customHeight="1" x14ac:dyDescent="0.55000000000000004">
      <c r="L132" s="52"/>
      <c r="M132" s="52"/>
      <c r="N132" s="52"/>
      <c r="O132" s="52"/>
      <c r="P132" s="52"/>
      <c r="Q132" s="52"/>
      <c r="R132" s="52"/>
      <c r="S132" s="52"/>
      <c r="T132" s="52"/>
      <c r="U132" s="52"/>
      <c r="V132" s="52"/>
      <c r="W132" s="52"/>
    </row>
  </sheetData>
  <mergeCells count="20">
    <mergeCell ref="O11:P11"/>
    <mergeCell ref="Q11:R11"/>
    <mergeCell ref="S11:T11"/>
    <mergeCell ref="U11:V11"/>
    <mergeCell ref="O8:R8"/>
    <mergeCell ref="S8:V8"/>
    <mergeCell ref="O9:P9"/>
    <mergeCell ref="Q9:R9"/>
    <mergeCell ref="S9:T9"/>
    <mergeCell ref="U9:V9"/>
    <mergeCell ref="A1:K1"/>
    <mergeCell ref="O10:P10"/>
    <mergeCell ref="Q10:R10"/>
    <mergeCell ref="S10:T10"/>
    <mergeCell ref="U10:V10"/>
    <mergeCell ref="B4:C4"/>
    <mergeCell ref="B5:C5"/>
    <mergeCell ref="B7:C7"/>
    <mergeCell ref="B8:C8"/>
    <mergeCell ref="B6:C6"/>
  </mergeCells>
  <dataValidations count="1">
    <dataValidation showInputMessage="1" showErrorMessage="1" sqref="B12:B26" xr:uid="{00000000-0002-0000-0500-000000000000}"/>
  </dataValidations>
  <pageMargins left="0.55118110236220474" right="0.55118110236220474" top="0.39370078740157483" bottom="0.39370078740157483" header="0.51181102362204722" footer="0.51181102362204722"/>
  <pageSetup paperSize="9" scale="5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Q152"/>
  <sheetViews>
    <sheetView topLeftCell="D2" workbookViewId="0">
      <selection activeCell="I4" sqref="I4"/>
    </sheetView>
  </sheetViews>
  <sheetFormatPr defaultColWidth="8.796875" defaultRowHeight="12.75" x14ac:dyDescent="0.35"/>
  <cols>
    <col min="3" max="3" width="8.796875" customWidth="1"/>
    <col min="9" max="9" width="22.46484375" style="1" customWidth="1"/>
    <col min="10" max="10" width="35.1328125" customWidth="1"/>
    <col min="15" max="15" width="21.796875" customWidth="1"/>
    <col min="16" max="16" width="29.1328125" customWidth="1"/>
  </cols>
  <sheetData>
    <row r="1" spans="1:17" ht="66" customHeight="1" thickBot="1" x14ac:dyDescent="0.65">
      <c r="A1" s="638" t="s">
        <v>270</v>
      </c>
      <c r="B1" s="564"/>
      <c r="C1" s="564"/>
      <c r="D1" s="564"/>
      <c r="E1" s="564"/>
      <c r="F1" s="564"/>
      <c r="G1" s="564"/>
      <c r="H1" s="564"/>
      <c r="I1" s="564"/>
      <c r="J1" s="564"/>
      <c r="K1" s="565"/>
      <c r="M1" s="19" t="str">
        <f>IF(M2=M3,"OK","Problem")</f>
        <v>Problem</v>
      </c>
    </row>
    <row r="2" spans="1:17" x14ac:dyDescent="0.35">
      <c r="M2">
        <f>COUNTA(M4:M200)</f>
        <v>25</v>
      </c>
    </row>
    <row r="3" spans="1:17" ht="13.15" x14ac:dyDescent="0.4">
      <c r="A3" s="4" t="s">
        <v>15</v>
      </c>
      <c r="B3" s="3"/>
      <c r="C3" s="639" t="s">
        <v>271</v>
      </c>
      <c r="D3" s="482"/>
      <c r="E3" s="518"/>
      <c r="F3" s="3"/>
      <c r="G3" s="3"/>
      <c r="H3" s="3"/>
      <c r="I3" s="2"/>
      <c r="M3">
        <f>COUNTA('imp-answers'!A2:A200)</f>
        <v>24</v>
      </c>
    </row>
    <row r="4" spans="1:17" x14ac:dyDescent="0.35">
      <c r="A4" s="5" t="s">
        <v>272</v>
      </c>
      <c r="C4" s="6">
        <v>3</v>
      </c>
      <c r="D4" s="6">
        <v>3</v>
      </c>
      <c r="E4" s="6">
        <v>3</v>
      </c>
      <c r="F4" s="6">
        <v>6</v>
      </c>
      <c r="G4" s="20"/>
      <c r="H4" s="636" t="s">
        <v>273</v>
      </c>
      <c r="I4" s="15">
        <v>1</v>
      </c>
      <c r="J4" t="s">
        <v>274</v>
      </c>
      <c r="K4">
        <v>0</v>
      </c>
      <c r="M4" s="636" t="str">
        <f>CHAR(65+N4)</f>
        <v>A</v>
      </c>
      <c r="N4" s="636">
        <v>0</v>
      </c>
      <c r="O4" s="15"/>
      <c r="P4" s="18" t="str">
        <f>INDEX('imp-answers'!$B$2:$B$50, MATCH($N4, 'imp-answers'!$A$2:$A$50, 0))</f>
        <v>No</v>
      </c>
      <c r="Q4" s="18">
        <f>INDEX('imp-answers'!$F$2:$F$50, MATCH($N4, 'imp-answers'!$A$2:$A$50, 0))</f>
        <v>0</v>
      </c>
    </row>
    <row r="5" spans="1:17" x14ac:dyDescent="0.35">
      <c r="A5" s="5" t="s">
        <v>274</v>
      </c>
      <c r="B5" s="18"/>
      <c r="C5" s="6">
        <v>2.0099999999999998</v>
      </c>
      <c r="D5" s="6">
        <v>2.99</v>
      </c>
      <c r="E5" s="7" t="s">
        <v>275</v>
      </c>
      <c r="F5" s="8">
        <v>5</v>
      </c>
      <c r="G5" s="1"/>
      <c r="H5" s="637"/>
      <c r="I5" s="11"/>
      <c r="J5" t="s">
        <v>276</v>
      </c>
      <c r="K5">
        <v>0.2</v>
      </c>
      <c r="M5" s="637"/>
      <c r="N5" s="637"/>
      <c r="O5" s="11"/>
      <c r="P5" s="18" t="str">
        <f>INDEX('imp-answers'!$C$2:$C$50, MATCH($N4, 'imp-answers'!$A$2:$A$50, 0))</f>
        <v>Yes, for some applications</v>
      </c>
      <c r="Q5" s="18">
        <f>INDEX('imp-answers'!$G$2:$G$50, MATCH($N4, 'imp-answers'!$A$2:$A$50, 0))</f>
        <v>0.25</v>
      </c>
    </row>
    <row r="6" spans="1:17" x14ac:dyDescent="0.35">
      <c r="C6" s="6">
        <v>2</v>
      </c>
      <c r="D6" s="6">
        <v>2</v>
      </c>
      <c r="E6" s="6">
        <v>2</v>
      </c>
      <c r="F6" s="6">
        <v>4</v>
      </c>
      <c r="G6" s="20"/>
      <c r="H6" s="637"/>
      <c r="I6" s="13"/>
      <c r="J6" t="s">
        <v>277</v>
      </c>
      <c r="K6">
        <v>0.5</v>
      </c>
      <c r="M6" s="637"/>
      <c r="N6" s="637"/>
      <c r="O6" s="17"/>
      <c r="P6" s="18" t="str">
        <f>INDEX('imp-answers'!$D$2:$D$50, MATCH($N4, 'imp-answers'!$A$2:$A$50, 0))</f>
        <v>Yes, for at least half of the applications</v>
      </c>
      <c r="Q6" s="18">
        <f>INDEX('imp-answers'!$H$2:$H$50, MATCH($N4, 'imp-answers'!$A$2:$A$50, 0))</f>
        <v>0.5</v>
      </c>
    </row>
    <row r="7" spans="1:17" x14ac:dyDescent="0.35">
      <c r="C7" s="6">
        <v>1.01</v>
      </c>
      <c r="D7" s="6">
        <v>1.99</v>
      </c>
      <c r="E7" s="7" t="s">
        <v>278</v>
      </c>
      <c r="F7" s="8">
        <v>3</v>
      </c>
      <c r="G7" s="1"/>
      <c r="H7" s="637"/>
      <c r="I7" s="14">
        <v>2</v>
      </c>
      <c r="J7" t="s">
        <v>279</v>
      </c>
      <c r="K7">
        <v>1</v>
      </c>
      <c r="M7" s="637"/>
      <c r="N7" s="637"/>
      <c r="O7" s="13"/>
      <c r="P7" s="18" t="str">
        <f>INDEX('imp-answers'!$E$2:$E$50, MATCH($N4, 'imp-answers'!$A$2:$A$50, 0))</f>
        <v>Yes, for most or all of the applications</v>
      </c>
      <c r="Q7" s="18">
        <f>INDEX('imp-answers'!$I$2:$I$50, MATCH($N4, 'imp-answers'!$A$2:$A$50, 0))</f>
        <v>1</v>
      </c>
    </row>
    <row r="8" spans="1:17" x14ac:dyDescent="0.35">
      <c r="C8" s="6">
        <v>1</v>
      </c>
      <c r="D8" s="6">
        <v>1</v>
      </c>
      <c r="E8" s="6">
        <v>1</v>
      </c>
      <c r="F8" s="6">
        <v>2</v>
      </c>
      <c r="G8" s="20"/>
      <c r="M8" s="637"/>
      <c r="N8" s="637"/>
      <c r="O8" s="16"/>
    </row>
    <row r="9" spans="1:17" x14ac:dyDescent="0.35">
      <c r="C9" s="6">
        <v>0.01</v>
      </c>
      <c r="D9" s="6">
        <v>0.99</v>
      </c>
      <c r="E9" s="7" t="s">
        <v>280</v>
      </c>
      <c r="F9" s="8">
        <v>1</v>
      </c>
      <c r="G9" s="1"/>
      <c r="H9" s="636" t="s">
        <v>281</v>
      </c>
      <c r="I9" s="12" t="s">
        <v>282</v>
      </c>
      <c r="J9" t="s">
        <v>274</v>
      </c>
      <c r="K9">
        <v>0</v>
      </c>
    </row>
    <row r="10" spans="1:17" x14ac:dyDescent="0.35">
      <c r="C10" s="6">
        <v>0</v>
      </c>
      <c r="D10" s="6">
        <v>0</v>
      </c>
      <c r="E10" s="6">
        <v>0</v>
      </c>
      <c r="F10" s="6">
        <v>0</v>
      </c>
      <c r="G10" s="20"/>
      <c r="H10" s="637"/>
      <c r="I10" s="11">
        <v>5</v>
      </c>
      <c r="J10" t="s">
        <v>283</v>
      </c>
      <c r="K10">
        <v>0.2</v>
      </c>
      <c r="M10" s="636" t="str">
        <f>CHAR(65+N10)</f>
        <v>B</v>
      </c>
      <c r="N10" s="636">
        <v>1</v>
      </c>
      <c r="O10" s="15"/>
      <c r="P10" s="18" t="str">
        <f>INDEX('imp-answers'!$B$2:$B$50, MATCH($N10, 'imp-answers'!$A$2:$A$50, 0))</f>
        <v>No</v>
      </c>
      <c r="Q10" s="18">
        <f>INDEX('imp-answers'!$F$2:$F$50, MATCH($N10, 'imp-answers'!$A$2:$A$50, 0))</f>
        <v>0</v>
      </c>
    </row>
    <row r="11" spans="1:17" x14ac:dyDescent="0.35">
      <c r="H11" s="637"/>
      <c r="I11" s="13" t="s">
        <v>284</v>
      </c>
      <c r="J11" t="s">
        <v>285</v>
      </c>
      <c r="K11">
        <v>0.5</v>
      </c>
      <c r="M11" s="637"/>
      <c r="N11" s="637"/>
      <c r="O11" s="11"/>
      <c r="P11" s="18" t="str">
        <f>INDEX('imp-answers'!$C$2:$C$50, MATCH($N10, 'imp-answers'!$A$2:$A$50, 0))</f>
        <v>Yes, some of them</v>
      </c>
      <c r="Q11" s="18">
        <f>INDEX('imp-answers'!$G$2:$G$50, MATCH($N10, 'imp-answers'!$A$2:$A$50, 0))</f>
        <v>0.25</v>
      </c>
    </row>
    <row r="12" spans="1:17" x14ac:dyDescent="0.35">
      <c r="H12" s="637"/>
      <c r="I12" s="14" t="s">
        <v>286</v>
      </c>
      <c r="J12" t="s">
        <v>287</v>
      </c>
      <c r="K12">
        <v>1</v>
      </c>
      <c r="M12" s="637"/>
      <c r="N12" s="637"/>
      <c r="O12" s="17"/>
      <c r="P12" s="18" t="str">
        <f>INDEX('imp-answers'!$D$2:$D$50, MATCH($N10, 'imp-answers'!$A$2:$A$50, 0))</f>
        <v>Yes, at least half of them</v>
      </c>
      <c r="Q12" s="18">
        <f>INDEX('imp-answers'!$H$2:$H$50, MATCH($N10, 'imp-answers'!$A$2:$A$50, 0))</f>
        <v>0.5</v>
      </c>
    </row>
    <row r="13" spans="1:17" x14ac:dyDescent="0.35">
      <c r="M13" s="637"/>
      <c r="N13" s="637"/>
      <c r="O13" s="13"/>
      <c r="P13" s="18" t="str">
        <f>INDEX('imp-answers'!$E$2:$E$50, MATCH($N10, 'imp-answers'!$A$2:$A$50, 0))</f>
        <v>Yes, most or all of them</v>
      </c>
      <c r="Q13" s="18">
        <f>INDEX('imp-answers'!$I$2:$I$50, MATCH($N10, 'imp-answers'!$A$2:$A$50, 0))</f>
        <v>1</v>
      </c>
    </row>
    <row r="14" spans="1:17" x14ac:dyDescent="0.35">
      <c r="H14" s="636" t="s">
        <v>288</v>
      </c>
      <c r="I14" s="12" t="s">
        <v>289</v>
      </c>
      <c r="J14" t="s">
        <v>274</v>
      </c>
      <c r="K14">
        <v>0</v>
      </c>
      <c r="M14" s="637"/>
      <c r="N14" s="637"/>
      <c r="O14" s="16"/>
    </row>
    <row r="15" spans="1:17" x14ac:dyDescent="0.35">
      <c r="H15" s="637"/>
      <c r="I15" s="11" t="s">
        <v>290</v>
      </c>
      <c r="J15" t="s">
        <v>291</v>
      </c>
      <c r="K15">
        <v>0.2</v>
      </c>
    </row>
    <row r="16" spans="1:17" x14ac:dyDescent="0.35">
      <c r="H16" s="637"/>
      <c r="I16" s="13" t="s">
        <v>292</v>
      </c>
      <c r="J16" t="s">
        <v>293</v>
      </c>
      <c r="K16">
        <v>0.5</v>
      </c>
      <c r="M16" s="636" t="str">
        <f>CHAR(65+N16)</f>
        <v>C</v>
      </c>
      <c r="N16" s="636">
        <v>2</v>
      </c>
      <c r="O16" s="15"/>
      <c r="P16" s="18" t="str">
        <f>INDEX('imp-answers'!$B$2:$B$50, MATCH($N16, 'imp-answers'!$A$2:$A$50, 0))</f>
        <v>No</v>
      </c>
      <c r="Q16" s="18">
        <f>INDEX('imp-answers'!$F$2:$F$50, MATCH($N16, 'imp-answers'!$A$2:$A$50, 0))</f>
        <v>0</v>
      </c>
    </row>
    <row r="17" spans="8:17" x14ac:dyDescent="0.35">
      <c r="H17" s="637"/>
      <c r="I17" s="14" t="s">
        <v>294</v>
      </c>
      <c r="J17" t="s">
        <v>295</v>
      </c>
      <c r="K17">
        <v>1</v>
      </c>
      <c r="M17" s="637"/>
      <c r="N17" s="637"/>
      <c r="O17" s="11"/>
      <c r="P17" s="18" t="str">
        <f>INDEX('imp-answers'!$C$2:$C$50, MATCH($N16, 'imp-answers'!$A$2:$A$50, 0))</f>
        <v>Yes, some content</v>
      </c>
      <c r="Q17" s="18">
        <f>INDEX('imp-answers'!$G$2:$G$50, MATCH($N16, 'imp-answers'!$A$2:$A$50, 0))</f>
        <v>0.25</v>
      </c>
    </row>
    <row r="18" spans="8:17" x14ac:dyDescent="0.35">
      <c r="M18" s="637"/>
      <c r="N18" s="637"/>
      <c r="O18" s="17"/>
      <c r="P18" s="18" t="str">
        <f>INDEX('imp-answers'!$D$2:$D$50, MATCH($N16, 'imp-answers'!$A$2:$A$50, 0))</f>
        <v>Yes, at least half of the content</v>
      </c>
      <c r="Q18" s="18">
        <f>INDEX('imp-answers'!$H$2:$H$50, MATCH($N16, 'imp-answers'!$A$2:$A$50, 0))</f>
        <v>0.5</v>
      </c>
    </row>
    <row r="19" spans="8:17" x14ac:dyDescent="0.35">
      <c r="H19" s="636" t="s">
        <v>296</v>
      </c>
      <c r="I19" s="12" t="s">
        <v>297</v>
      </c>
      <c r="J19" t="s">
        <v>274</v>
      </c>
      <c r="K19">
        <v>0</v>
      </c>
      <c r="M19" s="637"/>
      <c r="N19" s="637"/>
      <c r="O19" s="13"/>
      <c r="P19" s="18" t="str">
        <f>INDEX('imp-answers'!$E$2:$E$50, MATCH($N16, 'imp-answers'!$A$2:$A$50, 0))</f>
        <v>Yes, most or all of the content</v>
      </c>
      <c r="Q19" s="18">
        <f>INDEX('imp-answers'!$I$2:$I$50, MATCH($N16, 'imp-answers'!$A$2:$A$50, 0))</f>
        <v>1</v>
      </c>
    </row>
    <row r="20" spans="8:17" x14ac:dyDescent="0.35">
      <c r="H20" s="637"/>
      <c r="I20" s="11">
        <v>13</v>
      </c>
      <c r="J20" t="s">
        <v>298</v>
      </c>
      <c r="K20">
        <v>0.2</v>
      </c>
      <c r="M20" s="637"/>
      <c r="N20" s="637"/>
      <c r="O20" s="16"/>
    </row>
    <row r="21" spans="8:17" x14ac:dyDescent="0.35">
      <c r="H21" s="637"/>
      <c r="I21" s="13"/>
      <c r="J21" t="s">
        <v>299</v>
      </c>
      <c r="K21">
        <v>0.5</v>
      </c>
    </row>
    <row r="22" spans="8:17" x14ac:dyDescent="0.35">
      <c r="H22" s="637"/>
      <c r="I22" s="14">
        <v>18</v>
      </c>
      <c r="J22" t="s">
        <v>300</v>
      </c>
      <c r="K22">
        <v>1</v>
      </c>
      <c r="M22" s="636" t="str">
        <f>CHAR(65+N22)</f>
        <v>D</v>
      </c>
      <c r="N22" s="636">
        <v>3</v>
      </c>
      <c r="O22" s="15"/>
      <c r="P22" s="18" t="str">
        <f>INDEX('imp-answers'!$B$2:$B$50, MATCH($N22, 'imp-answers'!$A$2:$A$50, 0))</f>
        <v>No</v>
      </c>
      <c r="Q22" s="18">
        <f>INDEX('imp-answers'!$F$2:$F$50, MATCH($N22, 'imp-answers'!$A$2:$A$50, 0))</f>
        <v>0</v>
      </c>
    </row>
    <row r="23" spans="8:17" x14ac:dyDescent="0.35">
      <c r="M23" s="637"/>
      <c r="N23" s="637"/>
      <c r="O23" s="11"/>
      <c r="P23" s="18" t="str">
        <f>INDEX('imp-answers'!$C$2:$C$50, MATCH($N22, 'imp-answers'!$A$2:$A$50, 0))</f>
        <v>Yes, for some of the training</v>
      </c>
      <c r="Q23" s="18">
        <f>INDEX('imp-answers'!$G$2:$G$50, MATCH($N22, 'imp-answers'!$A$2:$A$50, 0))</f>
        <v>0.25</v>
      </c>
    </row>
    <row r="24" spans="8:17" x14ac:dyDescent="0.35">
      <c r="H24" s="636" t="s">
        <v>301</v>
      </c>
      <c r="I24" s="12">
        <v>10</v>
      </c>
      <c r="J24" t="s">
        <v>274</v>
      </c>
      <c r="K24">
        <v>0</v>
      </c>
      <c r="M24" s="637"/>
      <c r="N24" s="637"/>
      <c r="O24" s="17"/>
      <c r="P24" s="18" t="str">
        <f>INDEX('imp-answers'!$D$2:$D$50, MATCH($N22, 'imp-answers'!$A$2:$A$50, 0))</f>
        <v>Yes, for at least half of the training</v>
      </c>
      <c r="Q24" s="18">
        <f>INDEX('imp-answers'!$H$2:$H$50, MATCH($N22, 'imp-answers'!$A$2:$A$50, 0))</f>
        <v>0.5</v>
      </c>
    </row>
    <row r="25" spans="8:17" x14ac:dyDescent="0.35">
      <c r="H25" s="637"/>
      <c r="I25" s="11"/>
      <c r="J25" t="s">
        <v>302</v>
      </c>
      <c r="K25">
        <v>1</v>
      </c>
      <c r="M25" s="637"/>
      <c r="N25" s="637"/>
      <c r="O25" s="13"/>
      <c r="P25" s="18" t="str">
        <f>INDEX('imp-answers'!$E$2:$E$50, MATCH($N22, 'imp-answers'!$A$2:$A$50, 0))</f>
        <v>Yes, for most or all of the training</v>
      </c>
      <c r="Q25" s="18">
        <f>INDEX('imp-answers'!$I$2:$I$50, MATCH($N22, 'imp-answers'!$A$2:$A$50, 0))</f>
        <v>1</v>
      </c>
    </row>
    <row r="26" spans="8:17" x14ac:dyDescent="0.35">
      <c r="H26" s="637"/>
      <c r="I26" s="13"/>
      <c r="J26" t="s">
        <v>303</v>
      </c>
      <c r="K26">
        <v>0.5</v>
      </c>
      <c r="M26" s="637"/>
      <c r="N26" s="637"/>
      <c r="O26" s="16"/>
    </row>
    <row r="27" spans="8:17" x14ac:dyDescent="0.35">
      <c r="H27" s="637"/>
      <c r="I27" s="14">
        <v>19</v>
      </c>
      <c r="J27" t="s">
        <v>272</v>
      </c>
      <c r="K27">
        <v>1</v>
      </c>
    </row>
    <row r="28" spans="8:17" x14ac:dyDescent="0.35">
      <c r="M28" s="636" t="str">
        <f>CHAR(65+N28)</f>
        <v>E</v>
      </c>
      <c r="N28" s="636">
        <v>4</v>
      </c>
      <c r="O28" s="15"/>
      <c r="P28" s="18" t="str">
        <f>INDEX('imp-answers'!$B$2:$B$50, MATCH($N28, 'imp-answers'!$A$2:$A$50, 0))</f>
        <v>No</v>
      </c>
      <c r="Q28" s="18">
        <f>INDEX('imp-answers'!$F$2:$F$50, MATCH($N28, 'imp-answers'!$A$2:$A$50, 0))</f>
        <v>0</v>
      </c>
    </row>
    <row r="29" spans="8:17" x14ac:dyDescent="0.35">
      <c r="H29" s="636" t="s">
        <v>304</v>
      </c>
      <c r="I29" s="12" t="s">
        <v>305</v>
      </c>
      <c r="J29" t="s">
        <v>274</v>
      </c>
      <c r="K29">
        <v>0</v>
      </c>
      <c r="M29" s="637"/>
      <c r="N29" s="637"/>
      <c r="O29" s="11"/>
      <c r="P29" s="18" t="str">
        <f>INDEX('imp-answers'!$C$2:$C$50, MATCH($N28, 'imp-answers'!$A$2:$A$50, 0))</f>
        <v>Yes, some of the time</v>
      </c>
      <c r="Q29" s="18">
        <f>INDEX('imp-answers'!$G$2:$G$50, MATCH($N28, 'imp-answers'!$A$2:$A$50, 0))</f>
        <v>0.25</v>
      </c>
    </row>
    <row r="30" spans="8:17" x14ac:dyDescent="0.35">
      <c r="H30" s="637"/>
      <c r="I30" s="11" t="s">
        <v>306</v>
      </c>
      <c r="J30" t="s">
        <v>307</v>
      </c>
      <c r="K30">
        <v>0.2</v>
      </c>
      <c r="M30" s="637"/>
      <c r="N30" s="637"/>
      <c r="O30" s="17"/>
      <c r="P30" s="18" t="str">
        <f>INDEX('imp-answers'!$D$2:$D$50, MATCH($N28, 'imp-answers'!$A$2:$A$50, 0))</f>
        <v>Yes, at least half of the time</v>
      </c>
      <c r="Q30" s="18">
        <f>INDEX('imp-answers'!$H$2:$H$50, MATCH($N28, 'imp-answers'!$A$2:$A$50, 0))</f>
        <v>0.5</v>
      </c>
    </row>
    <row r="31" spans="8:17" x14ac:dyDescent="0.35">
      <c r="H31" s="637"/>
      <c r="I31" s="13"/>
      <c r="J31" t="s">
        <v>308</v>
      </c>
      <c r="K31">
        <v>0.5</v>
      </c>
      <c r="M31" s="637"/>
      <c r="N31" s="637"/>
      <c r="O31" s="13"/>
      <c r="P31" s="18" t="str">
        <f>INDEX('imp-answers'!$E$2:$E$50, MATCH($N28, 'imp-answers'!$A$2:$A$50, 0))</f>
        <v>Yes, most or all of the time</v>
      </c>
      <c r="Q31" s="18">
        <f>INDEX('imp-answers'!$I$2:$I$50, MATCH($N28, 'imp-answers'!$A$2:$A$50, 0))</f>
        <v>1</v>
      </c>
    </row>
    <row r="32" spans="8:17" x14ac:dyDescent="0.35">
      <c r="H32" s="637"/>
      <c r="I32" s="14"/>
      <c r="J32" t="s">
        <v>309</v>
      </c>
      <c r="K32">
        <v>1</v>
      </c>
      <c r="M32" s="637"/>
      <c r="N32" s="637"/>
      <c r="O32" s="16"/>
    </row>
    <row r="34" spans="8:17" x14ac:dyDescent="0.35">
      <c r="H34" s="636" t="s">
        <v>310</v>
      </c>
      <c r="I34" s="12"/>
      <c r="J34" t="s">
        <v>274</v>
      </c>
      <c r="K34">
        <v>0</v>
      </c>
      <c r="M34" s="636" t="str">
        <f>CHAR(65+N34)</f>
        <v>F</v>
      </c>
      <c r="N34" s="636">
        <v>5</v>
      </c>
      <c r="O34" s="15"/>
      <c r="P34" s="18" t="str">
        <f>INDEX('imp-answers'!$B$2:$B$50, MATCH($N34, 'imp-answers'!$A$2:$A$50, 0))</f>
        <v>No</v>
      </c>
      <c r="Q34" s="18">
        <f>INDEX('imp-answers'!$F$2:$F$50, MATCH($N34, 'imp-answers'!$A$2:$A$50, 0))</f>
        <v>0</v>
      </c>
    </row>
    <row r="35" spans="8:17" x14ac:dyDescent="0.35">
      <c r="H35" s="637"/>
      <c r="I35" s="11" t="s">
        <v>311</v>
      </c>
      <c r="J35" t="s">
        <v>312</v>
      </c>
      <c r="K35">
        <v>0.2</v>
      </c>
      <c r="M35" s="637"/>
      <c r="N35" s="637"/>
      <c r="O35" s="11"/>
      <c r="P35" s="18" t="str">
        <f>INDEX('imp-answers'!$C$2:$C$50, MATCH($N34, 'imp-answers'!$A$2:$A$50, 0))</f>
        <v>Yes, we started implementing it</v>
      </c>
      <c r="Q35" s="18">
        <f>INDEX('imp-answers'!$G$2:$G$50, MATCH($N34, 'imp-answers'!$A$2:$A$50, 0))</f>
        <v>0.25</v>
      </c>
    </row>
    <row r="36" spans="8:17" x14ac:dyDescent="0.35">
      <c r="H36" s="637"/>
      <c r="I36" s="13" t="s">
        <v>313</v>
      </c>
      <c r="J36" t="s">
        <v>314</v>
      </c>
      <c r="K36">
        <v>0.5</v>
      </c>
      <c r="M36" s="637"/>
      <c r="N36" s="637"/>
      <c r="O36" s="17"/>
      <c r="P36" s="18" t="str">
        <f>INDEX('imp-answers'!$D$2:$D$50, MATCH($N34, 'imp-answers'!$A$2:$A$50, 0))</f>
        <v>Yes, for part of the organization</v>
      </c>
      <c r="Q36" s="18">
        <f>INDEX('imp-answers'!$H$2:$H$50, MATCH($N34, 'imp-answers'!$A$2:$A$50, 0))</f>
        <v>0.5</v>
      </c>
    </row>
    <row r="37" spans="8:17" x14ac:dyDescent="0.35">
      <c r="H37" s="637"/>
      <c r="I37" s="14" t="s">
        <v>315</v>
      </c>
      <c r="J37" t="s">
        <v>316</v>
      </c>
      <c r="K37">
        <v>1</v>
      </c>
      <c r="M37" s="637"/>
      <c r="N37" s="637"/>
      <c r="O37" s="13"/>
      <c r="P37" s="18" t="str">
        <f>INDEX('imp-answers'!$E$2:$E$50, MATCH($N34, 'imp-answers'!$A$2:$A$50, 0))</f>
        <v>Yes, for the entire organization</v>
      </c>
      <c r="Q37" s="18">
        <f>INDEX('imp-answers'!$I$2:$I$50, MATCH($N34, 'imp-answers'!$A$2:$A$50, 0))</f>
        <v>1</v>
      </c>
    </row>
    <row r="38" spans="8:17" x14ac:dyDescent="0.35">
      <c r="M38" s="637"/>
      <c r="N38" s="637"/>
      <c r="O38" s="16"/>
    </row>
    <row r="39" spans="8:17" x14ac:dyDescent="0.35">
      <c r="H39" s="636" t="s">
        <v>317</v>
      </c>
      <c r="I39" s="12"/>
    </row>
    <row r="40" spans="8:17" x14ac:dyDescent="0.35">
      <c r="H40" s="637"/>
      <c r="I40" s="11"/>
      <c r="M40" s="636" t="str">
        <f>CHAR(65+N40)</f>
        <v>G</v>
      </c>
      <c r="N40" s="636">
        <v>6</v>
      </c>
      <c r="O40" s="15"/>
      <c r="P40" s="18" t="str">
        <f>INDEX('imp-answers'!$B$2:$B$50, MATCH($N40, 'imp-answers'!$A$2:$A$50, 0))</f>
        <v>No</v>
      </c>
      <c r="Q40" s="18">
        <f>INDEX('imp-answers'!$F$2:$F$50, MATCH($N40, 'imp-answers'!$A$2:$A$50, 0))</f>
        <v>0</v>
      </c>
    </row>
    <row r="41" spans="8:17" x14ac:dyDescent="0.35">
      <c r="H41" s="637"/>
      <c r="I41" s="13"/>
      <c r="M41" s="637"/>
      <c r="N41" s="637"/>
      <c r="O41" s="11"/>
      <c r="P41" s="18" t="str">
        <f>INDEX('imp-answers'!$C$2:$C$50, MATCH($N40, 'imp-answers'!$A$2:$A$50, 0))</f>
        <v>Yes, for some components</v>
      </c>
      <c r="Q41" s="18">
        <f>INDEX('imp-answers'!$G$2:$G$50, MATCH($N40, 'imp-answers'!$A$2:$A$50, 0))</f>
        <v>0.25</v>
      </c>
    </row>
    <row r="42" spans="8:17" x14ac:dyDescent="0.35">
      <c r="H42" s="637"/>
      <c r="I42" s="14"/>
      <c r="M42" s="637"/>
      <c r="N42" s="637"/>
      <c r="O42" s="17"/>
      <c r="P42" s="18" t="str">
        <f>INDEX('imp-answers'!$D$2:$D$50, MATCH($N40, 'imp-answers'!$A$2:$A$50, 0))</f>
        <v>Yes, for at least half of the components</v>
      </c>
      <c r="Q42" s="18">
        <f>INDEX('imp-answers'!$H$2:$H$50, MATCH($N40, 'imp-answers'!$A$2:$A$50, 0))</f>
        <v>0.5</v>
      </c>
    </row>
    <row r="43" spans="8:17" x14ac:dyDescent="0.35">
      <c r="M43" s="637"/>
      <c r="N43" s="637"/>
      <c r="O43" s="13"/>
      <c r="P43" s="18" t="str">
        <f>INDEX('imp-answers'!$E$2:$E$50, MATCH($N40, 'imp-answers'!$A$2:$A$50, 0))</f>
        <v>Yes, for most or all of the components</v>
      </c>
      <c r="Q43" s="18">
        <f>INDEX('imp-answers'!$I$2:$I$50, MATCH($N40, 'imp-answers'!$A$2:$A$50, 0))</f>
        <v>1</v>
      </c>
    </row>
    <row r="44" spans="8:17" x14ac:dyDescent="0.35">
      <c r="M44" s="637"/>
      <c r="N44" s="637"/>
      <c r="O44" s="16"/>
    </row>
    <row r="46" spans="8:17" x14ac:dyDescent="0.35">
      <c r="M46" s="636" t="str">
        <f>CHAR(65+N46)</f>
        <v>H</v>
      </c>
      <c r="N46" s="636">
        <v>7</v>
      </c>
      <c r="O46" s="15"/>
      <c r="P46" s="18" t="str">
        <f>INDEX('imp-answers'!$B$2:$B$50, MATCH($N46, 'imp-answers'!$A$2:$A$50, 0))</f>
        <v>No</v>
      </c>
      <c r="Q46" s="18">
        <f>INDEX('imp-answers'!$F$2:$F$50, MATCH($N46, 'imp-answers'!$A$2:$A$50, 0))</f>
        <v>0</v>
      </c>
    </row>
    <row r="47" spans="8:17" x14ac:dyDescent="0.35">
      <c r="M47" s="637"/>
      <c r="N47" s="637"/>
      <c r="O47" s="11"/>
      <c r="P47" s="18" t="str">
        <f>INDEX('imp-answers'!$C$2:$C$50, MATCH($N46, 'imp-answers'!$A$2:$A$50, 0))</f>
        <v>Yes, for some incidents</v>
      </c>
      <c r="Q47" s="18">
        <f>INDEX('imp-answers'!$G$2:$G$50, MATCH($N46, 'imp-answers'!$A$2:$A$50, 0))</f>
        <v>0.25</v>
      </c>
    </row>
    <row r="48" spans="8:17" x14ac:dyDescent="0.35">
      <c r="M48" s="637"/>
      <c r="N48" s="637"/>
      <c r="O48" s="17"/>
      <c r="P48" s="18" t="str">
        <f>INDEX('imp-answers'!$D$2:$D$50, MATCH($N46, 'imp-answers'!$A$2:$A$50, 0))</f>
        <v>Yes, for at least half of the incidents</v>
      </c>
      <c r="Q48" s="18">
        <f>INDEX('imp-answers'!$H$2:$H$50, MATCH($N46, 'imp-answers'!$A$2:$A$50, 0))</f>
        <v>0.5</v>
      </c>
    </row>
    <row r="49" spans="13:17" x14ac:dyDescent="0.35">
      <c r="M49" s="637"/>
      <c r="N49" s="637"/>
      <c r="O49" s="13"/>
      <c r="P49" s="18" t="str">
        <f>INDEX('imp-answers'!$E$2:$E$50, MATCH($N46, 'imp-answers'!$A$2:$A$50, 0))</f>
        <v>Yes, for most or all of the incidents</v>
      </c>
      <c r="Q49" s="18">
        <f>INDEX('imp-answers'!$I$2:$I$50, MATCH($N46, 'imp-answers'!$A$2:$A$50, 0))</f>
        <v>1</v>
      </c>
    </row>
    <row r="50" spans="13:17" x14ac:dyDescent="0.35">
      <c r="M50" s="637"/>
      <c r="N50" s="637"/>
      <c r="O50" s="16"/>
    </row>
    <row r="52" spans="13:17" x14ac:dyDescent="0.35">
      <c r="M52" s="636" t="str">
        <f>CHAR(65+N52)</f>
        <v>I</v>
      </c>
      <c r="N52" s="636">
        <v>8</v>
      </c>
      <c r="O52" s="15"/>
      <c r="P52" s="18" t="str">
        <f>INDEX('imp-answers'!$B$2:$B$50, MATCH($N52, 'imp-answers'!$A$2:$A$50, 0))</f>
        <v>No</v>
      </c>
      <c r="Q52" s="18">
        <f>INDEX('imp-answers'!$F$2:$F$50, MATCH($N52, 'imp-answers'!$A$2:$A$50, 0))</f>
        <v>0</v>
      </c>
    </row>
    <row r="53" spans="13:17" x14ac:dyDescent="0.35">
      <c r="M53" s="637"/>
      <c r="N53" s="637"/>
      <c r="O53" s="11"/>
      <c r="P53" s="18" t="str">
        <f>INDEX('imp-answers'!$C$2:$C$50, MATCH($N52, 'imp-answers'!$A$2:$A$50, 0))</f>
        <v>Yes, for some incident types</v>
      </c>
      <c r="Q53" s="18">
        <f>INDEX('imp-answers'!$G$2:$G$50, MATCH($N52, 'imp-answers'!$A$2:$A$50, 0))</f>
        <v>0.25</v>
      </c>
    </row>
    <row r="54" spans="13:17" x14ac:dyDescent="0.35">
      <c r="M54" s="637"/>
      <c r="N54" s="637"/>
      <c r="O54" s="17"/>
      <c r="P54" s="18" t="str">
        <f>INDEX('imp-answers'!$D$2:$D$50, MATCH($N52, 'imp-answers'!$A$2:$A$50, 0))</f>
        <v>Yes, for at least half of the incident types</v>
      </c>
      <c r="Q54" s="18">
        <f>INDEX('imp-answers'!$H$2:$H$50, MATCH($N52, 'imp-answers'!$A$2:$A$50, 0))</f>
        <v>0.5</v>
      </c>
    </row>
    <row r="55" spans="13:17" x14ac:dyDescent="0.35">
      <c r="M55" s="637"/>
      <c r="N55" s="637"/>
      <c r="O55" s="13"/>
      <c r="P55" s="18" t="str">
        <f>INDEX('imp-answers'!$E$2:$E$50, MATCH($N52, 'imp-answers'!$A$2:$A$50, 0))</f>
        <v>Yes, for most or all of the incident types</v>
      </c>
      <c r="Q55" s="18">
        <f>INDEX('imp-answers'!$I$2:$I$50, MATCH($N52, 'imp-answers'!$A$2:$A$50, 0))</f>
        <v>1</v>
      </c>
    </row>
    <row r="56" spans="13:17" x14ac:dyDescent="0.35">
      <c r="M56" s="637"/>
      <c r="N56" s="637"/>
      <c r="O56" s="16"/>
    </row>
    <row r="58" spans="13:17" x14ac:dyDescent="0.35">
      <c r="M58" s="636" t="str">
        <f>CHAR(65+N58)</f>
        <v>J</v>
      </c>
      <c r="N58" s="636">
        <v>9</v>
      </c>
      <c r="O58" s="15"/>
      <c r="P58" s="18" t="str">
        <f>INDEX('imp-answers'!$B$2:$B$50, MATCH($N58, 'imp-answers'!$A$2:$A$50, 0))</f>
        <v>No</v>
      </c>
      <c r="Q58" s="18">
        <f>INDEX('imp-answers'!$F$2:$F$50, MATCH($N58, 'imp-answers'!$A$2:$A$50, 0))</f>
        <v>0</v>
      </c>
    </row>
    <row r="59" spans="13:17" x14ac:dyDescent="0.35">
      <c r="M59" s="637"/>
      <c r="N59" s="637"/>
      <c r="O59" s="11"/>
      <c r="P59" s="18" t="str">
        <f>INDEX('imp-answers'!$C$2:$C$50, MATCH($N58, 'imp-answers'!$A$2:$A$50, 0))</f>
        <v>Yes, for some of our data</v>
      </c>
      <c r="Q59" s="18">
        <f>INDEX('imp-answers'!$G$2:$G$50, MATCH($N58, 'imp-answers'!$A$2:$A$50, 0))</f>
        <v>0.25</v>
      </c>
    </row>
    <row r="60" spans="13:17" x14ac:dyDescent="0.35">
      <c r="M60" s="637"/>
      <c r="N60" s="637"/>
      <c r="O60" s="17"/>
      <c r="P60" s="18" t="str">
        <f>INDEX('imp-answers'!$D$2:$D$50, MATCH($N58, 'imp-answers'!$A$2:$A$50, 0))</f>
        <v>Yes, for at least half of our data</v>
      </c>
      <c r="Q60" s="18">
        <f>INDEX('imp-answers'!$H$2:$H$50, MATCH($N58, 'imp-answers'!$A$2:$A$50, 0))</f>
        <v>0.5</v>
      </c>
    </row>
    <row r="61" spans="13:17" x14ac:dyDescent="0.35">
      <c r="M61" s="637"/>
      <c r="N61" s="637"/>
      <c r="O61" s="13"/>
      <c r="P61" s="18" t="str">
        <f>INDEX('imp-answers'!$E$2:$E$50, MATCH($N58, 'imp-answers'!$A$2:$A$50, 0))</f>
        <v>Yes, for most or all of our data</v>
      </c>
      <c r="Q61" s="18">
        <f>INDEX('imp-answers'!$I$2:$I$50, MATCH($N58, 'imp-answers'!$A$2:$A$50, 0))</f>
        <v>1</v>
      </c>
    </row>
    <row r="62" spans="13:17" x14ac:dyDescent="0.35">
      <c r="M62" s="637"/>
      <c r="N62" s="637"/>
      <c r="O62" s="16"/>
    </row>
    <row r="64" spans="13:17" x14ac:dyDescent="0.35">
      <c r="M64" s="636" t="str">
        <f>CHAR(65+N64)</f>
        <v>K</v>
      </c>
      <c r="N64" s="636">
        <v>10</v>
      </c>
      <c r="O64" s="15"/>
      <c r="P64" s="18" t="str">
        <f>INDEX('imp-answers'!$B$2:$B$50, MATCH($N64, 'imp-answers'!$A$2:$A$50, 0))</f>
        <v>No</v>
      </c>
      <c r="Q64" s="18">
        <f>INDEX('imp-answers'!$F$2:$F$50, MATCH($N64, 'imp-answers'!$A$2:$A$50, 0))</f>
        <v>0</v>
      </c>
    </row>
    <row r="65" spans="13:17" x14ac:dyDescent="0.35">
      <c r="M65" s="637"/>
      <c r="N65" s="637"/>
      <c r="O65" s="11"/>
      <c r="P65" s="18" t="str">
        <f>INDEX('imp-answers'!$C$2:$C$50, MATCH($N64, 'imp-answers'!$A$2:$A$50, 0))</f>
        <v>Yes, we do it when requested</v>
      </c>
      <c r="Q65" s="18">
        <f>INDEX('imp-answers'!$G$2:$G$50, MATCH($N64, 'imp-answers'!$A$2:$A$50, 0))</f>
        <v>0.25</v>
      </c>
    </row>
    <row r="66" spans="13:17" x14ac:dyDescent="0.35">
      <c r="M66" s="637"/>
      <c r="N66" s="637"/>
      <c r="O66" s="17"/>
      <c r="P66" s="18" t="str">
        <f>INDEX('imp-answers'!$D$2:$D$50, MATCH($N64, 'imp-answers'!$A$2:$A$50, 0))</f>
        <v>Yes, we do it every few years</v>
      </c>
      <c r="Q66" s="18">
        <f>INDEX('imp-answers'!$H$2:$H$50, MATCH($N64, 'imp-answers'!$A$2:$A$50, 0))</f>
        <v>0.5</v>
      </c>
    </row>
    <row r="67" spans="13:17" x14ac:dyDescent="0.35">
      <c r="M67" s="637"/>
      <c r="N67" s="637"/>
      <c r="O67" s="13"/>
      <c r="P67" s="18" t="str">
        <f>INDEX('imp-answers'!$E$2:$E$50, MATCH($N64, 'imp-answers'!$A$2:$A$50, 0))</f>
        <v>Yes, we do it at least annually</v>
      </c>
      <c r="Q67" s="18">
        <f>INDEX('imp-answers'!$I$2:$I$50, MATCH($N64, 'imp-answers'!$A$2:$A$50, 0))</f>
        <v>1</v>
      </c>
    </row>
    <row r="68" spans="13:17" x14ac:dyDescent="0.35">
      <c r="M68" s="637"/>
      <c r="N68" s="637"/>
      <c r="O68" s="16"/>
    </row>
    <row r="70" spans="13:17" x14ac:dyDescent="0.35">
      <c r="M70" s="636" t="str">
        <f>CHAR(65+N70)</f>
        <v>L</v>
      </c>
      <c r="N70" s="636">
        <v>11</v>
      </c>
      <c r="O70" s="15"/>
      <c r="P70" s="18" t="str">
        <f>INDEX('imp-answers'!$B$2:$B$50, MATCH($N70, 'imp-answers'!$A$2:$A$50, 0))</f>
        <v>No</v>
      </c>
      <c r="Q70" s="18">
        <f>INDEX('imp-answers'!$F$2:$F$50, MATCH($N70, 'imp-answers'!$A$2:$A$50, 0))</f>
        <v>0</v>
      </c>
    </row>
    <row r="71" spans="13:17" x14ac:dyDescent="0.35">
      <c r="M71" s="637"/>
      <c r="N71" s="637"/>
      <c r="O71" s="11"/>
      <c r="P71" s="18" t="str">
        <f>INDEX('imp-answers'!$C$2:$C$50, MATCH($N70, 'imp-answers'!$A$2:$A$50, 0))</f>
        <v>Yes, for some of the assets</v>
      </c>
      <c r="Q71" s="18">
        <f>INDEX('imp-answers'!$G$2:$G$50, MATCH($N70, 'imp-answers'!$A$2:$A$50, 0))</f>
        <v>0.25</v>
      </c>
    </row>
    <row r="72" spans="13:17" x14ac:dyDescent="0.35">
      <c r="M72" s="637"/>
      <c r="N72" s="637"/>
      <c r="O72" s="17"/>
      <c r="P72" s="18" t="str">
        <f>INDEX('imp-answers'!$D$2:$D$50, MATCH($N70, 'imp-answers'!$A$2:$A$50, 0))</f>
        <v>Yes, for at least half of the assets</v>
      </c>
      <c r="Q72" s="18">
        <f>INDEX('imp-answers'!$H$2:$H$50, MATCH($N70, 'imp-answers'!$A$2:$A$50, 0))</f>
        <v>0.5</v>
      </c>
    </row>
    <row r="73" spans="13:17" x14ac:dyDescent="0.35">
      <c r="M73" s="637"/>
      <c r="N73" s="637"/>
      <c r="O73" s="13"/>
      <c r="P73" s="18" t="str">
        <f>INDEX('imp-answers'!$E$2:$E$50, MATCH($N70, 'imp-answers'!$A$2:$A$50, 0))</f>
        <v>Yes, for most or all of the assets</v>
      </c>
      <c r="Q73" s="18">
        <f>INDEX('imp-answers'!$I$2:$I$50, MATCH($N70, 'imp-answers'!$A$2:$A$50, 0))</f>
        <v>1</v>
      </c>
    </row>
    <row r="74" spans="13:17" x14ac:dyDescent="0.35">
      <c r="M74" s="637"/>
      <c r="N74" s="637"/>
      <c r="O74" s="16"/>
    </row>
    <row r="76" spans="13:17" x14ac:dyDescent="0.35">
      <c r="M76" s="636" t="str">
        <f>CHAR(65+N76)</f>
        <v>M</v>
      </c>
      <c r="N76" s="636">
        <v>12</v>
      </c>
      <c r="O76" s="15"/>
      <c r="P76" s="18" t="str">
        <f>INDEX('imp-answers'!$B$2:$B$50, MATCH($N76, 'imp-answers'!$A$2:$A$50, 0))</f>
        <v>No</v>
      </c>
      <c r="Q76" s="18">
        <f>INDEX('imp-answers'!$F$2:$F$50, MATCH($N76, 'imp-answers'!$A$2:$A$50, 0))</f>
        <v>0</v>
      </c>
    </row>
    <row r="77" spans="13:17" x14ac:dyDescent="0.35">
      <c r="M77" s="637"/>
      <c r="N77" s="637"/>
      <c r="O77" s="11"/>
      <c r="P77" s="18" t="str">
        <f>INDEX('imp-answers'!$C$2:$C$50, MATCH($N76, 'imp-answers'!$A$2:$A$50, 0))</f>
        <v>Yes, for some of the technology domains</v>
      </c>
      <c r="Q77" s="18">
        <f>INDEX('imp-answers'!$G$2:$G$50, MATCH($N76, 'imp-answers'!$A$2:$A$50, 0))</f>
        <v>0.25</v>
      </c>
    </row>
    <row r="78" spans="13:17" x14ac:dyDescent="0.35">
      <c r="M78" s="637"/>
      <c r="N78" s="637"/>
      <c r="O78" s="17"/>
      <c r="P78" s="18" t="str">
        <f>INDEX('imp-answers'!$D$2:$D$50, MATCH($N76, 'imp-answers'!$A$2:$A$50, 0))</f>
        <v>Yes, for at least half of the technology domains</v>
      </c>
      <c r="Q78" s="18">
        <f>INDEX('imp-answers'!$H$2:$H$50, MATCH($N76, 'imp-answers'!$A$2:$A$50, 0))</f>
        <v>0.5</v>
      </c>
    </row>
    <row r="79" spans="13:17" x14ac:dyDescent="0.35">
      <c r="M79" s="637"/>
      <c r="N79" s="637"/>
      <c r="O79" s="13"/>
      <c r="P79" s="18" t="str">
        <f>INDEX('imp-answers'!$E$2:$E$50, MATCH($N76, 'imp-answers'!$A$2:$A$50, 0))</f>
        <v>Yes, for most or all of the technology domains</v>
      </c>
      <c r="Q79" s="18">
        <f>INDEX('imp-answers'!$I$2:$I$50, MATCH($N76, 'imp-answers'!$A$2:$A$50, 0))</f>
        <v>1</v>
      </c>
    </row>
    <row r="80" spans="13:17" x14ac:dyDescent="0.35">
      <c r="M80" s="637"/>
      <c r="N80" s="637"/>
      <c r="O80" s="16"/>
    </row>
    <row r="82" spans="13:17" x14ac:dyDescent="0.35">
      <c r="M82" s="636" t="str">
        <f>CHAR(65+N82)</f>
        <v>N</v>
      </c>
      <c r="N82" s="636">
        <v>13</v>
      </c>
      <c r="O82" s="15"/>
      <c r="P82" s="18" t="str">
        <f>INDEX('imp-answers'!$B$2:$B$50, MATCH($N82, 'imp-answers'!$A$2:$A$50, 0))</f>
        <v>No</v>
      </c>
      <c r="Q82" s="18">
        <f>INDEX('imp-answers'!$F$2:$F$50, MATCH($N82, 'imp-answers'!$A$2:$A$50, 0))</f>
        <v>0</v>
      </c>
    </row>
    <row r="83" spans="13:17" x14ac:dyDescent="0.35">
      <c r="M83" s="637"/>
      <c r="N83" s="637"/>
      <c r="O83" s="11"/>
      <c r="P83" s="18" t="str">
        <f>INDEX('imp-answers'!$C$2:$C$50, MATCH($N82, 'imp-answers'!$A$2:$A$50, 0))</f>
        <v>Yes, it covers general risks</v>
      </c>
      <c r="Q83" s="18">
        <f>INDEX('imp-answers'!$G$2:$G$50, MATCH($N82, 'imp-answers'!$A$2:$A$50, 0))</f>
        <v>0.25</v>
      </c>
    </row>
    <row r="84" spans="13:17" x14ac:dyDescent="0.35">
      <c r="M84" s="637"/>
      <c r="N84" s="637"/>
      <c r="O84" s="17"/>
      <c r="P84" s="18" t="str">
        <f>INDEX('imp-answers'!$D$2:$D$50, MATCH($N82, 'imp-answers'!$A$2:$A$50, 0))</f>
        <v>Yes, it covers organization-specific risks</v>
      </c>
      <c r="Q84" s="18">
        <f>INDEX('imp-answers'!$H$2:$H$50, MATCH($N82, 'imp-answers'!$A$2:$A$50, 0))</f>
        <v>0.5</v>
      </c>
    </row>
    <row r="85" spans="13:17" x14ac:dyDescent="0.35">
      <c r="M85" s="637"/>
      <c r="N85" s="637"/>
      <c r="O85" s="13"/>
      <c r="P85" s="18" t="str">
        <f>INDEX('imp-answers'!$E$2:$E$50, MATCH($N82, 'imp-answers'!$A$2:$A$50, 0))</f>
        <v>Yes, it covers risks and opportunities</v>
      </c>
      <c r="Q85" s="18">
        <f>INDEX('imp-answers'!$I$2:$I$50, MATCH($N82, 'imp-answers'!$A$2:$A$50, 0))</f>
        <v>1</v>
      </c>
    </row>
    <row r="86" spans="13:17" x14ac:dyDescent="0.35">
      <c r="M86" s="637"/>
      <c r="N86" s="637"/>
      <c r="O86" s="16"/>
    </row>
    <row r="88" spans="13:17" x14ac:dyDescent="0.35">
      <c r="M88" s="636" t="str">
        <f>CHAR(65+N88)</f>
        <v>O</v>
      </c>
      <c r="N88" s="636">
        <v>14</v>
      </c>
      <c r="O88" s="15"/>
      <c r="P88" s="18" t="str">
        <f>INDEX('imp-answers'!$B$2:$B$50, MATCH($N88, 'imp-answers'!$A$2:$A$50, 0))</f>
        <v>No</v>
      </c>
      <c r="Q88" s="18">
        <f>INDEX('imp-answers'!$F$2:$F$50, MATCH($N88, 'imp-answers'!$A$2:$A$50, 0))</f>
        <v>0</v>
      </c>
    </row>
    <row r="89" spans="13:17" x14ac:dyDescent="0.35">
      <c r="M89" s="637"/>
      <c r="N89" s="637"/>
      <c r="O89" s="11"/>
      <c r="P89" s="18" t="str">
        <f>INDEX('imp-answers'!$C$2:$C$50, MATCH($N88, 'imp-answers'!$A$2:$A$50, 0))</f>
        <v>Yes, we review it annually</v>
      </c>
      <c r="Q89" s="18">
        <f>INDEX('imp-answers'!$G$2:$G$50, MATCH($N88, 'imp-answers'!$A$2:$A$50, 0))</f>
        <v>0.25</v>
      </c>
    </row>
    <row r="90" spans="13:17" x14ac:dyDescent="0.35">
      <c r="M90" s="637"/>
      <c r="N90" s="637"/>
      <c r="O90" s="17"/>
      <c r="P90" s="18" t="str">
        <f>INDEX('imp-answers'!$D$2:$D$50, MATCH($N88, 'imp-answers'!$A$2:$A$50, 0))</f>
        <v>Yes, we consult the plan before making significant decisions</v>
      </c>
      <c r="Q90" s="18">
        <f>INDEX('imp-answers'!$H$2:$H$50, MATCH($N88, 'imp-answers'!$A$2:$A$50, 0))</f>
        <v>0.5</v>
      </c>
    </row>
    <row r="91" spans="13:17" x14ac:dyDescent="0.35">
      <c r="M91" s="637"/>
      <c r="N91" s="637"/>
      <c r="O91" s="13"/>
      <c r="P91" s="18" t="str">
        <f>INDEX('imp-answers'!$E$2:$E$50, MATCH($N88, 'imp-answers'!$A$2:$A$50, 0))</f>
        <v>Yes, we consult the plan often, and it is aligned with our application security strategy</v>
      </c>
      <c r="Q91" s="18">
        <f>INDEX('imp-answers'!$I$2:$I$50, MATCH($N88, 'imp-answers'!$A$2:$A$50, 0))</f>
        <v>1</v>
      </c>
    </row>
    <row r="92" spans="13:17" x14ac:dyDescent="0.35">
      <c r="M92" s="637"/>
      <c r="N92" s="637"/>
      <c r="O92" s="16"/>
    </row>
    <row r="94" spans="13:17" x14ac:dyDescent="0.35">
      <c r="M94" s="636" t="str">
        <f>CHAR(65+N94)</f>
        <v>P</v>
      </c>
      <c r="N94" s="636">
        <v>15</v>
      </c>
      <c r="O94" s="15"/>
      <c r="P94" s="18" t="str">
        <f>INDEX('imp-answers'!$B$2:$B$50, MATCH($N94, 'imp-answers'!$A$2:$A$50, 0))</f>
        <v>No</v>
      </c>
      <c r="Q94" s="18">
        <f>INDEX('imp-answers'!$F$2:$F$50, MATCH($N94, 'imp-answers'!$A$2:$A$50, 0))</f>
        <v>0</v>
      </c>
    </row>
    <row r="95" spans="13:17" x14ac:dyDescent="0.35">
      <c r="M95" s="637"/>
      <c r="N95" s="637"/>
      <c r="O95" s="11"/>
      <c r="P95" s="18" t="str">
        <f>INDEX('imp-answers'!$C$2:$C$50, MATCH($N94, 'imp-answers'!$A$2:$A$50, 0))</f>
        <v>Yes, but review is ad-hoc</v>
      </c>
      <c r="Q95" s="18">
        <f>INDEX('imp-answers'!$G$2:$G$50, MATCH($N94, 'imp-answers'!$A$2:$A$50, 0))</f>
        <v>0.25</v>
      </c>
    </row>
    <row r="96" spans="13:17" x14ac:dyDescent="0.35">
      <c r="M96" s="637"/>
      <c r="N96" s="637"/>
      <c r="O96" s="17"/>
      <c r="P96" s="18" t="str">
        <f>INDEX('imp-answers'!$D$2:$D$50, MATCH($N94, 'imp-answers'!$A$2:$A$50, 0))</f>
        <v>Yes, we review it at regular times</v>
      </c>
      <c r="Q96" s="18">
        <f>INDEX('imp-answers'!$H$2:$H$50, MATCH($N94, 'imp-answers'!$A$2:$A$50, 0))</f>
        <v>0.5</v>
      </c>
    </row>
    <row r="97" spans="13:17" x14ac:dyDescent="0.35">
      <c r="M97" s="637"/>
      <c r="N97" s="637"/>
      <c r="O97" s="13"/>
      <c r="P97" s="18" t="str">
        <f>INDEX('imp-answers'!$E$2:$E$50, MATCH($N94, 'imp-answers'!$A$2:$A$50, 0))</f>
        <v>Yes, we review it at least annually</v>
      </c>
      <c r="Q97" s="18">
        <f>INDEX('imp-answers'!$I$2:$I$50, MATCH($N94, 'imp-answers'!$A$2:$A$50, 0))</f>
        <v>1</v>
      </c>
    </row>
    <row r="98" spans="13:17" x14ac:dyDescent="0.35">
      <c r="M98" s="637"/>
      <c r="N98" s="637"/>
      <c r="O98" s="16"/>
    </row>
    <row r="100" spans="13:17" x14ac:dyDescent="0.35">
      <c r="M100" s="636" t="str">
        <f>CHAR(65+N100)</f>
        <v>Q</v>
      </c>
      <c r="N100" s="636">
        <v>16</v>
      </c>
      <c r="O100" s="15"/>
      <c r="P100" s="18" t="str">
        <f>INDEX('imp-answers'!$B$2:$B$50, MATCH($N100, 'imp-answers'!$A$2:$A$50, 0))</f>
        <v>No</v>
      </c>
      <c r="Q100" s="18">
        <f>INDEX('imp-answers'!$F$2:$F$50, MATCH($N100, 'imp-answers'!$A$2:$A$50, 0))</f>
        <v>0</v>
      </c>
    </row>
    <row r="101" spans="13:17" x14ac:dyDescent="0.35">
      <c r="M101" s="637"/>
      <c r="N101" s="637"/>
      <c r="O101" s="11"/>
      <c r="P101" s="18" t="str">
        <f>INDEX('imp-answers'!$C$2:$C$50, MATCH($N100, 'imp-answers'!$A$2:$A$50, 0))</f>
        <v>Yes, for one metrics category</v>
      </c>
      <c r="Q101" s="18">
        <f>INDEX('imp-answers'!$G$2:$G$50, MATCH($N100, 'imp-answers'!$A$2:$A$50, 0))</f>
        <v>0.25</v>
      </c>
    </row>
    <row r="102" spans="13:17" x14ac:dyDescent="0.35">
      <c r="M102" s="637"/>
      <c r="N102" s="637"/>
      <c r="O102" s="17"/>
      <c r="P102" s="18" t="str">
        <f>INDEX('imp-answers'!$D$2:$D$50, MATCH($N100, 'imp-answers'!$A$2:$A$50, 0))</f>
        <v>Yes, for two metrics categories</v>
      </c>
      <c r="Q102" s="18">
        <f>INDEX('imp-answers'!$H$2:$H$50, MATCH($N100, 'imp-answers'!$A$2:$A$50, 0))</f>
        <v>0.5</v>
      </c>
    </row>
    <row r="103" spans="13:17" x14ac:dyDescent="0.35">
      <c r="M103" s="637"/>
      <c r="N103" s="637"/>
      <c r="O103" s="13"/>
      <c r="P103" s="18" t="str">
        <f>INDEX('imp-answers'!$E$2:$E$50, MATCH($N100, 'imp-answers'!$A$2:$A$50, 0))</f>
        <v>Yes, for all three metrics categories</v>
      </c>
      <c r="Q103" s="18">
        <f>INDEX('imp-answers'!$I$2:$I$50, MATCH($N100, 'imp-answers'!$A$2:$A$50, 0))</f>
        <v>1</v>
      </c>
    </row>
    <row r="104" spans="13:17" x14ac:dyDescent="0.35">
      <c r="M104" s="637"/>
      <c r="N104" s="637"/>
      <c r="O104" s="16"/>
    </row>
    <row r="106" spans="13:17" x14ac:dyDescent="0.35">
      <c r="M106" s="636" t="str">
        <f>CHAR(65+N106)</f>
        <v>R</v>
      </c>
      <c r="N106" s="636">
        <v>17</v>
      </c>
      <c r="O106" s="15"/>
      <c r="P106" s="18" t="str">
        <f>INDEX('imp-answers'!$B$2:$B$50, MATCH($N106, 'imp-answers'!$A$2:$A$50, 0))</f>
        <v>No</v>
      </c>
      <c r="Q106" s="18">
        <f>INDEX('imp-answers'!$F$2:$F$50, MATCH($N106, 'imp-answers'!$A$2:$A$50, 0))</f>
        <v>0</v>
      </c>
    </row>
    <row r="107" spans="13:17" x14ac:dyDescent="0.35">
      <c r="M107" s="637"/>
      <c r="N107" s="637"/>
      <c r="O107" s="11"/>
      <c r="P107" s="18" t="str">
        <f>INDEX('imp-answers'!$C$2:$C$50, MATCH($N106, 'imp-answers'!$A$2:$A$50, 0))</f>
        <v>Yes, sporadically</v>
      </c>
      <c r="Q107" s="18">
        <f>INDEX('imp-answers'!$G$2:$G$50, MATCH($N106, 'imp-answers'!$A$2:$A$50, 0))</f>
        <v>0.25</v>
      </c>
    </row>
    <row r="108" spans="13:17" x14ac:dyDescent="0.35">
      <c r="M108" s="637"/>
      <c r="N108" s="637"/>
      <c r="O108" s="17"/>
      <c r="P108" s="18" t="str">
        <f>INDEX('imp-answers'!$D$2:$D$50, MATCH($N106, 'imp-answers'!$A$2:$A$50, 0))</f>
        <v>Yes, upon change of the application</v>
      </c>
      <c r="Q108" s="18">
        <f>INDEX('imp-answers'!$H$2:$H$50, MATCH($N106, 'imp-answers'!$A$2:$A$50, 0))</f>
        <v>0.5</v>
      </c>
    </row>
    <row r="109" spans="13:17" x14ac:dyDescent="0.35">
      <c r="M109" s="637"/>
      <c r="N109" s="637"/>
      <c r="O109" s="13"/>
      <c r="P109" s="18" t="str">
        <f>INDEX('imp-answers'!$E$2:$E$50, MATCH($N106, 'imp-answers'!$A$2:$A$50, 0))</f>
        <v>Yes, at least annually</v>
      </c>
      <c r="Q109" s="18">
        <f>INDEX('imp-answers'!$I$2:$I$50, MATCH($N106, 'imp-answers'!$A$2:$A$50, 0))</f>
        <v>1</v>
      </c>
    </row>
    <row r="110" spans="13:17" x14ac:dyDescent="0.35">
      <c r="M110" s="637"/>
      <c r="N110" s="637"/>
      <c r="O110" s="16"/>
    </row>
    <row r="112" spans="13:17" x14ac:dyDescent="0.35">
      <c r="M112" s="636" t="str">
        <f>CHAR(65+N112)</f>
        <v>S</v>
      </c>
      <c r="N112" s="636">
        <v>18</v>
      </c>
      <c r="O112" s="15"/>
      <c r="P112" s="18" t="str">
        <f>INDEX('imp-answers'!$B$2:$B$50, MATCH($N112, 'imp-answers'!$A$2:$A$50, 0))</f>
        <v>No</v>
      </c>
      <c r="Q112" s="18">
        <f>INDEX('imp-answers'!$F$2:$F$50, MATCH($N112, 'imp-answers'!$A$2:$A$50, 0))</f>
        <v>0</v>
      </c>
    </row>
    <row r="113" spans="13:17" x14ac:dyDescent="0.35">
      <c r="M113" s="637"/>
      <c r="N113" s="637"/>
      <c r="O113" s="11"/>
      <c r="P113" s="18" t="str">
        <f>INDEX('imp-answers'!$C$2:$C$50, MATCH($N112, 'imp-answers'!$A$2:$A$50, 0))</f>
        <v>Yes, for some of the metrics</v>
      </c>
      <c r="Q113" s="18">
        <f>INDEX('imp-answers'!$G$2:$G$50, MATCH($N112, 'imp-answers'!$A$2:$A$50, 0))</f>
        <v>0.25</v>
      </c>
    </row>
    <row r="114" spans="13:17" x14ac:dyDescent="0.35">
      <c r="M114" s="637"/>
      <c r="N114" s="637"/>
      <c r="O114" s="17"/>
      <c r="P114" s="18" t="str">
        <f>INDEX('imp-answers'!$D$2:$D$50, MATCH($N112, 'imp-answers'!$A$2:$A$50, 0))</f>
        <v>Yes, for at least half of the metrics</v>
      </c>
      <c r="Q114" s="18">
        <f>INDEX('imp-answers'!$H$2:$H$50, MATCH($N112, 'imp-answers'!$A$2:$A$50, 0))</f>
        <v>0.5</v>
      </c>
    </row>
    <row r="115" spans="13:17" x14ac:dyDescent="0.35">
      <c r="M115" s="637"/>
      <c r="N115" s="637"/>
      <c r="O115" s="13"/>
      <c r="P115" s="18" t="str">
        <f>INDEX('imp-answers'!$E$2:$E$50, MATCH($N112, 'imp-answers'!$A$2:$A$50, 0))</f>
        <v>Yes, for most or all of the metrics</v>
      </c>
      <c r="Q115" s="18">
        <f>INDEX('imp-answers'!$I$2:$I$50, MATCH($N112, 'imp-answers'!$A$2:$A$50, 0))</f>
        <v>1</v>
      </c>
    </row>
    <row r="116" spans="13:17" x14ac:dyDescent="0.35">
      <c r="M116" s="637"/>
      <c r="N116" s="637"/>
      <c r="O116" s="16"/>
    </row>
    <row r="118" spans="13:17" x14ac:dyDescent="0.35">
      <c r="M118" s="636" t="str">
        <f>CHAR(65+N118)</f>
        <v>T</v>
      </c>
      <c r="N118" s="636">
        <v>19</v>
      </c>
      <c r="O118" s="15"/>
      <c r="P118" s="18" t="str">
        <f>INDEX('imp-answers'!$B$2:$B$50, MATCH($N118, 'imp-answers'!$A$2:$A$50, 0))</f>
        <v>No</v>
      </c>
      <c r="Q118" s="18">
        <f>INDEX('imp-answers'!$F$2:$F$50, MATCH($N118, 'imp-answers'!$A$2:$A$50, 0))</f>
        <v>0</v>
      </c>
    </row>
    <row r="119" spans="13:17" x14ac:dyDescent="0.35">
      <c r="M119" s="637"/>
      <c r="N119" s="637"/>
      <c r="O119" s="11"/>
      <c r="P119" s="18" t="str">
        <f>INDEX('imp-answers'!$C$2:$C$50, MATCH($N118, 'imp-answers'!$A$2:$A$50, 0))</f>
        <v>Yes, but reporting is ad-hoc</v>
      </c>
      <c r="Q119" s="18">
        <f>INDEX('imp-answers'!$G$2:$G$50, MATCH($N118, 'imp-answers'!$A$2:$A$50, 0))</f>
        <v>0.25</v>
      </c>
    </row>
    <row r="120" spans="13:17" x14ac:dyDescent="0.35">
      <c r="M120" s="637"/>
      <c r="N120" s="637"/>
      <c r="O120" s="17"/>
      <c r="P120" s="18" t="str">
        <f>INDEX('imp-answers'!$D$2:$D$50, MATCH($N118, 'imp-answers'!$A$2:$A$50, 0))</f>
        <v>Yes, we report at regular times</v>
      </c>
      <c r="Q120" s="18">
        <f>INDEX('imp-answers'!$H$2:$H$50, MATCH($N118, 'imp-answers'!$A$2:$A$50, 0))</f>
        <v>0.5</v>
      </c>
    </row>
    <row r="121" spans="13:17" x14ac:dyDescent="0.35">
      <c r="M121" s="637"/>
      <c r="N121" s="637"/>
      <c r="O121" s="13"/>
      <c r="P121" s="18" t="str">
        <f>INDEX('imp-answers'!$E$2:$E$50, MATCH($N118, 'imp-answers'!$A$2:$A$50, 0))</f>
        <v>Yes, we report at least annually</v>
      </c>
      <c r="Q121" s="18">
        <f>INDEX('imp-answers'!$I$2:$I$50, MATCH($N118, 'imp-answers'!$A$2:$A$50, 0))</f>
        <v>1</v>
      </c>
    </row>
    <row r="122" spans="13:17" x14ac:dyDescent="0.35">
      <c r="M122" s="637"/>
      <c r="N122" s="637"/>
      <c r="O122" s="16"/>
    </row>
    <row r="124" spans="13:17" x14ac:dyDescent="0.35">
      <c r="M124" s="636" t="str">
        <f>CHAR(65+N124)</f>
        <v>U</v>
      </c>
      <c r="N124" s="636">
        <v>20</v>
      </c>
      <c r="O124" s="15"/>
      <c r="P124" s="18" t="str">
        <f>INDEX('imp-answers'!$B$2:$B$50, MATCH($N124, 'imp-answers'!$A$2:$A$50, 0))</f>
        <v>No</v>
      </c>
      <c r="Q124" s="18">
        <f>INDEX('imp-answers'!$F$2:$F$50, MATCH($N124, 'imp-answers'!$A$2:$A$50, 0))</f>
        <v>0</v>
      </c>
    </row>
    <row r="125" spans="13:17" x14ac:dyDescent="0.35">
      <c r="M125" s="637"/>
      <c r="N125" s="637"/>
      <c r="O125" s="11"/>
      <c r="P125" s="18" t="str">
        <f>INDEX('imp-answers'!$C$2:$C$50, MATCH($N124, 'imp-answers'!$A$2:$A$50, 0))</f>
        <v>Yes, for some obligations</v>
      </c>
      <c r="Q125" s="18">
        <f>INDEX('imp-answers'!$G$2:$G$50, MATCH($N124, 'imp-answers'!$A$2:$A$50, 0))</f>
        <v>0.25</v>
      </c>
    </row>
    <row r="126" spans="13:17" x14ac:dyDescent="0.35">
      <c r="M126" s="637"/>
      <c r="N126" s="637"/>
      <c r="O126" s="17"/>
      <c r="P126" s="18" t="str">
        <f>INDEX('imp-answers'!$D$2:$D$50, MATCH($N124, 'imp-answers'!$A$2:$A$50, 0))</f>
        <v>Yes, for at least half of the obligations</v>
      </c>
      <c r="Q126" s="18">
        <f>INDEX('imp-answers'!$H$2:$H$50, MATCH($N124, 'imp-answers'!$A$2:$A$50, 0))</f>
        <v>0.5</v>
      </c>
    </row>
    <row r="127" spans="13:17" x14ac:dyDescent="0.35">
      <c r="M127" s="637"/>
      <c r="N127" s="637"/>
      <c r="O127" s="13"/>
      <c r="P127" s="18" t="str">
        <f>INDEX('imp-answers'!$E$2:$E$50, MATCH($N124, 'imp-answers'!$A$2:$A$50, 0))</f>
        <v>Yes, for most or all of the obligations</v>
      </c>
      <c r="Q127" s="18">
        <f>INDEX('imp-answers'!$I$2:$I$50, MATCH($N124, 'imp-answers'!$A$2:$A$50, 0))</f>
        <v>1</v>
      </c>
    </row>
    <row r="128" spans="13:17" x14ac:dyDescent="0.35">
      <c r="M128" s="637"/>
      <c r="N128" s="637"/>
      <c r="O128" s="16"/>
    </row>
    <row r="130" spans="13:17" x14ac:dyDescent="0.35">
      <c r="M130" s="636" t="str">
        <f>CHAR(65+N130)</f>
        <v>V</v>
      </c>
      <c r="N130" s="636">
        <v>21</v>
      </c>
      <c r="O130" s="15"/>
      <c r="P130" s="18" t="str">
        <f>INDEX('imp-answers'!$B$2:$B$50, MATCH($N130, 'imp-answers'!$A$2:$A$50, 0))</f>
        <v>No</v>
      </c>
      <c r="Q130" s="18">
        <f>INDEX('imp-answers'!$F$2:$F$50, MATCH($N130, 'imp-answers'!$A$2:$A$50, 0))</f>
        <v>0</v>
      </c>
    </row>
    <row r="131" spans="13:17" x14ac:dyDescent="0.35">
      <c r="M131" s="637"/>
      <c r="N131" s="637"/>
      <c r="O131" s="11"/>
      <c r="P131" s="18" t="str">
        <f>INDEX('imp-answers'!$C$2:$C$50, MATCH($N130, 'imp-answers'!$A$2:$A$50, 0))</f>
        <v>Yes, for some teams</v>
      </c>
      <c r="Q131" s="18">
        <f>INDEX('imp-answers'!$G$2:$G$50, MATCH($N130, 'imp-answers'!$A$2:$A$50, 0))</f>
        <v>0.25</v>
      </c>
    </row>
    <row r="132" spans="13:17" x14ac:dyDescent="0.35">
      <c r="M132" s="637"/>
      <c r="N132" s="637"/>
      <c r="O132" s="17"/>
      <c r="P132" s="18" t="str">
        <f>INDEX('imp-answers'!$D$2:$D$50, MATCH($N130, 'imp-answers'!$A$2:$A$50, 0))</f>
        <v>Yes, for at least half of the teams</v>
      </c>
      <c r="Q132" s="18">
        <f>INDEX('imp-answers'!$H$2:$H$50, MATCH($N130, 'imp-answers'!$A$2:$A$50, 0))</f>
        <v>0.5</v>
      </c>
    </row>
    <row r="133" spans="13:17" x14ac:dyDescent="0.35">
      <c r="M133" s="637"/>
      <c r="N133" s="637"/>
      <c r="O133" s="13"/>
      <c r="P133" s="18" t="str">
        <f>INDEX('imp-answers'!$E$2:$E$50, MATCH($N130, 'imp-answers'!$A$2:$A$50, 0))</f>
        <v>Yes, for most or all of the teams</v>
      </c>
      <c r="Q133" s="18">
        <f>INDEX('imp-answers'!$I$2:$I$50, MATCH($N130, 'imp-answers'!$A$2:$A$50, 0))</f>
        <v>1</v>
      </c>
    </row>
    <row r="134" spans="13:17" x14ac:dyDescent="0.35">
      <c r="M134" s="637"/>
      <c r="N134" s="637"/>
      <c r="O134" s="16"/>
    </row>
    <row r="136" spans="13:17" x14ac:dyDescent="0.35">
      <c r="M136" s="636" t="str">
        <f>CHAR(65+N136)</f>
        <v>W</v>
      </c>
      <c r="N136" s="636">
        <v>22</v>
      </c>
      <c r="O136" s="15"/>
      <c r="P136" s="18" t="str">
        <f>INDEX('imp-answers'!$B$2:$B$50, MATCH($N136, 'imp-answers'!$A$2:$A$50, 0))</f>
        <v>No</v>
      </c>
      <c r="Q136" s="18">
        <f>INDEX('imp-answers'!$F$2:$F$50, MATCH($N136, 'imp-answers'!$A$2:$A$50, 0))</f>
        <v>0</v>
      </c>
    </row>
    <row r="137" spans="13:17" x14ac:dyDescent="0.35">
      <c r="M137" s="637"/>
      <c r="N137" s="637"/>
      <c r="O137" s="11"/>
      <c r="P137" s="18" t="str">
        <f>INDEX('imp-answers'!$C$2:$C$50, MATCH($N136, 'imp-answers'!$A$2:$A$50, 0))</f>
        <v>Yes, some of it</v>
      </c>
      <c r="Q137" s="18">
        <f>INDEX('imp-answers'!$G$2:$G$50, MATCH($N136, 'imp-answers'!$A$2:$A$50, 0))</f>
        <v>0.25</v>
      </c>
    </row>
    <row r="138" spans="13:17" x14ac:dyDescent="0.35">
      <c r="M138" s="637"/>
      <c r="N138" s="637"/>
      <c r="O138" s="17"/>
      <c r="P138" s="18" t="str">
        <f>INDEX('imp-answers'!$D$2:$D$50, MATCH($N136, 'imp-answers'!$A$2:$A$50, 0))</f>
        <v>Yes, at least half of it</v>
      </c>
      <c r="Q138" s="18">
        <f>INDEX('imp-answers'!$H$2:$H$50, MATCH($N136, 'imp-answers'!$A$2:$A$50, 0))</f>
        <v>0.5</v>
      </c>
    </row>
    <row r="139" spans="13:17" x14ac:dyDescent="0.35">
      <c r="M139" s="637"/>
      <c r="N139" s="637"/>
      <c r="O139" s="13"/>
      <c r="P139" s="18" t="str">
        <f>INDEX('imp-answers'!$E$2:$E$50, MATCH($N136, 'imp-answers'!$A$2:$A$50, 0))</f>
        <v>Yes, most or all of it</v>
      </c>
      <c r="Q139" s="18">
        <f>INDEX('imp-answers'!$I$2:$I$50, MATCH($N136, 'imp-answers'!$A$2:$A$50, 0))</f>
        <v>1</v>
      </c>
    </row>
    <row r="140" spans="13:17" x14ac:dyDescent="0.35">
      <c r="M140" s="637"/>
      <c r="N140" s="637"/>
      <c r="O140" s="16"/>
    </row>
    <row r="142" spans="13:17" x14ac:dyDescent="0.35">
      <c r="M142" s="636" t="str">
        <f>CHAR(65+N142)</f>
        <v>X</v>
      </c>
      <c r="N142" s="636">
        <v>23</v>
      </c>
      <c r="O142" s="15"/>
      <c r="P142" s="18" t="str">
        <f>INDEX('imp-answers'!$B$2:$B$50, MATCH($N142, 'imp-answers'!$A$2:$A$50, 0))</f>
        <v>No</v>
      </c>
      <c r="Q142" s="18">
        <f>INDEX('imp-answers'!$F$2:$F$50, MATCH($N142, 'imp-answers'!$A$2:$A$50, 0))</f>
        <v>0</v>
      </c>
    </row>
    <row r="143" spans="13:17" x14ac:dyDescent="0.35">
      <c r="M143" s="637"/>
      <c r="N143" s="637"/>
      <c r="O143" s="11"/>
      <c r="P143" s="18" t="str">
        <f>INDEX('imp-answers'!$C$2:$C$50, MATCH($N142, 'imp-answers'!$A$2:$A$50, 0))</f>
        <v>Yes, but we improve it ad-hoc</v>
      </c>
      <c r="Q143" s="18">
        <f>INDEX('imp-answers'!$G$2:$G$50, MATCH($N142, 'imp-answers'!$A$2:$A$50, 0))</f>
        <v>0.25</v>
      </c>
    </row>
    <row r="144" spans="13:17" x14ac:dyDescent="0.35">
      <c r="M144" s="637"/>
      <c r="N144" s="637"/>
      <c r="O144" s="17"/>
      <c r="P144" s="18" t="str">
        <f>INDEX('imp-answers'!$D$2:$D$50, MATCH($N142, 'imp-answers'!$A$2:$A$50, 0))</f>
        <v>Yes, we improve it at regular times</v>
      </c>
      <c r="Q144" s="18">
        <f>INDEX('imp-answers'!$H$2:$H$50, MATCH($N142, 'imp-answers'!$A$2:$A$50, 0))</f>
        <v>0.5</v>
      </c>
    </row>
    <row r="145" spans="13:17" x14ac:dyDescent="0.35">
      <c r="M145" s="637"/>
      <c r="N145" s="637"/>
      <c r="O145" s="13"/>
      <c r="P145" s="18" t="str">
        <f>INDEX('imp-answers'!$E$2:$E$50, MATCH($N142, 'imp-answers'!$A$2:$A$50, 0))</f>
        <v>Yes, we improve it at least annually</v>
      </c>
      <c r="Q145" s="18">
        <f>INDEX('imp-answers'!$I$2:$I$50, MATCH($N142, 'imp-answers'!$A$2:$A$50, 0))</f>
        <v>1</v>
      </c>
    </row>
    <row r="146" spans="13:17" x14ac:dyDescent="0.35">
      <c r="M146" s="637"/>
      <c r="N146" s="637"/>
      <c r="O146" s="16"/>
    </row>
    <row r="148" spans="13:17" x14ac:dyDescent="0.35">
      <c r="M148" s="636" t="str">
        <f>CHAR(65+N148)</f>
        <v>Y</v>
      </c>
      <c r="N148" s="636">
        <v>24</v>
      </c>
      <c r="O148" s="15"/>
      <c r="P148" s="18" t="e">
        <f>INDEX('imp-answers'!$B$2:$B$50, MATCH($N148, 'imp-answers'!$A$2:$A$50, 0))</f>
        <v>#N/A</v>
      </c>
      <c r="Q148" s="18" t="e">
        <f>INDEX('imp-answers'!$F$2:$F$50, MATCH($N148, 'imp-answers'!$A$2:$A$50, 0))</f>
        <v>#N/A</v>
      </c>
    </row>
    <row r="149" spans="13:17" x14ac:dyDescent="0.35">
      <c r="M149" s="637"/>
      <c r="N149" s="637"/>
      <c r="O149" s="11"/>
      <c r="P149" s="18" t="e">
        <f>INDEX('imp-answers'!$C$2:$C$50, MATCH($N148, 'imp-answers'!$A$2:$A$50, 0))</f>
        <v>#N/A</v>
      </c>
      <c r="Q149" s="18" t="e">
        <f>INDEX('imp-answers'!$G$2:$G$50, MATCH($N148, 'imp-answers'!$A$2:$A$50, 0))</f>
        <v>#N/A</v>
      </c>
    </row>
    <row r="150" spans="13:17" x14ac:dyDescent="0.35">
      <c r="M150" s="637"/>
      <c r="N150" s="637"/>
      <c r="O150" s="17"/>
      <c r="P150" s="18" t="e">
        <f>INDEX('imp-answers'!$D$2:$D$50, MATCH($N148, 'imp-answers'!$A$2:$A$50, 0))</f>
        <v>#N/A</v>
      </c>
      <c r="Q150" s="18" t="e">
        <f>INDEX('imp-answers'!$H$2:$H$50, MATCH($N148, 'imp-answers'!$A$2:$A$50, 0))</f>
        <v>#N/A</v>
      </c>
    </row>
    <row r="151" spans="13:17" x14ac:dyDescent="0.35">
      <c r="M151" s="637"/>
      <c r="N151" s="637"/>
      <c r="O151" s="13"/>
      <c r="P151" s="18" t="e">
        <f>INDEX('imp-answers'!$E$2:$E$50, MATCH($N148, 'imp-answers'!$A$2:$A$50, 0))</f>
        <v>#N/A</v>
      </c>
      <c r="Q151" s="18" t="e">
        <f>INDEX('imp-answers'!$I$2:$I$50, MATCH($N148, 'imp-answers'!$A$2:$A$50, 0))</f>
        <v>#N/A</v>
      </c>
    </row>
    <row r="152" spans="13:17" x14ac:dyDescent="0.35">
      <c r="M152" s="637"/>
      <c r="N152" s="637"/>
      <c r="O152" s="16"/>
    </row>
  </sheetData>
  <mergeCells count="60">
    <mergeCell ref="M142:M146"/>
    <mergeCell ref="N142:N146"/>
    <mergeCell ref="M148:M152"/>
    <mergeCell ref="N148:N152"/>
    <mergeCell ref="M124:M128"/>
    <mergeCell ref="N124:N128"/>
    <mergeCell ref="M130:M134"/>
    <mergeCell ref="N130:N134"/>
    <mergeCell ref="M136:M140"/>
    <mergeCell ref="N136:N140"/>
    <mergeCell ref="M112:M116"/>
    <mergeCell ref="N112:N116"/>
    <mergeCell ref="M82:M86"/>
    <mergeCell ref="M88:M92"/>
    <mergeCell ref="M94:M98"/>
    <mergeCell ref="M100:M104"/>
    <mergeCell ref="M106:M110"/>
    <mergeCell ref="N94:N98"/>
    <mergeCell ref="N100:N104"/>
    <mergeCell ref="N106:N110"/>
    <mergeCell ref="N82:N86"/>
    <mergeCell ref="N88:N92"/>
    <mergeCell ref="M4:M8"/>
    <mergeCell ref="M10:M14"/>
    <mergeCell ref="M16:M20"/>
    <mergeCell ref="M22:M26"/>
    <mergeCell ref="M28:M32"/>
    <mergeCell ref="M34:M38"/>
    <mergeCell ref="M40:M44"/>
    <mergeCell ref="M46:M50"/>
    <mergeCell ref="M52:M56"/>
    <mergeCell ref="M58:M62"/>
    <mergeCell ref="N58:N62"/>
    <mergeCell ref="M64:M68"/>
    <mergeCell ref="M70:M74"/>
    <mergeCell ref="M76:M80"/>
    <mergeCell ref="N64:N68"/>
    <mergeCell ref="N70:N74"/>
    <mergeCell ref="N76:N80"/>
    <mergeCell ref="N28:N32"/>
    <mergeCell ref="N34:N38"/>
    <mergeCell ref="N40:N44"/>
    <mergeCell ref="N46:N50"/>
    <mergeCell ref="N52:N56"/>
    <mergeCell ref="M118:M122"/>
    <mergeCell ref="N118:N122"/>
    <mergeCell ref="A1:K1"/>
    <mergeCell ref="H24:H27"/>
    <mergeCell ref="H29:H32"/>
    <mergeCell ref="H34:H37"/>
    <mergeCell ref="H39:H42"/>
    <mergeCell ref="C3:E3"/>
    <mergeCell ref="H4:H7"/>
    <mergeCell ref="H9:H12"/>
    <mergeCell ref="H14:H17"/>
    <mergeCell ref="H19:H22"/>
    <mergeCell ref="N4:N8"/>
    <mergeCell ref="N10:N14"/>
    <mergeCell ref="N16:N20"/>
    <mergeCell ref="N22:N26"/>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H91"/>
  <sheetViews>
    <sheetView topLeftCell="E1" zoomScale="145" zoomScaleNormal="145" workbookViewId="0">
      <selection activeCell="A2" sqref="A2"/>
    </sheetView>
  </sheetViews>
  <sheetFormatPr defaultColWidth="11.46484375" defaultRowHeight="12.75" x14ac:dyDescent="0.35"/>
  <cols>
    <col min="4" max="4" width="19.46484375" customWidth="1"/>
    <col min="6" max="6" width="90.46484375" customWidth="1"/>
    <col min="7" max="7" width="64.46484375" customWidth="1"/>
  </cols>
  <sheetData>
    <row r="1" spans="1:8" x14ac:dyDescent="0.35">
      <c r="A1" t="s">
        <v>318</v>
      </c>
      <c r="B1" t="s">
        <v>319</v>
      </c>
      <c r="C1" t="s">
        <v>260</v>
      </c>
      <c r="D1" t="s">
        <v>320</v>
      </c>
      <c r="E1" t="s">
        <v>238</v>
      </c>
      <c r="F1" t="s">
        <v>321</v>
      </c>
      <c r="G1" t="s">
        <v>322</v>
      </c>
      <c r="H1" t="s">
        <v>323</v>
      </c>
    </row>
    <row r="2" spans="1:8" x14ac:dyDescent="0.35">
      <c r="A2" t="s">
        <v>54</v>
      </c>
      <c r="B2" t="s">
        <v>38</v>
      </c>
      <c r="C2" t="s">
        <v>53</v>
      </c>
      <c r="D2" t="s">
        <v>324</v>
      </c>
      <c r="E2">
        <v>1</v>
      </c>
      <c r="F2" t="s">
        <v>325</v>
      </c>
      <c r="G2" t="s">
        <v>326</v>
      </c>
      <c r="H2">
        <v>0</v>
      </c>
    </row>
    <row r="3" spans="1:8" x14ac:dyDescent="0.35">
      <c r="A3" t="s">
        <v>57</v>
      </c>
      <c r="B3" t="s">
        <v>38</v>
      </c>
      <c r="C3" t="s">
        <v>53</v>
      </c>
      <c r="D3" t="s">
        <v>327</v>
      </c>
      <c r="E3">
        <v>1</v>
      </c>
      <c r="F3" t="s">
        <v>328</v>
      </c>
      <c r="G3" t="s">
        <v>329</v>
      </c>
      <c r="H3">
        <v>0</v>
      </c>
    </row>
    <row r="4" spans="1:8" x14ac:dyDescent="0.35">
      <c r="A4" t="s">
        <v>55</v>
      </c>
      <c r="B4" t="s">
        <v>38</v>
      </c>
      <c r="C4" t="s">
        <v>53</v>
      </c>
      <c r="D4" t="s">
        <v>324</v>
      </c>
      <c r="E4">
        <v>2</v>
      </c>
      <c r="F4" t="s">
        <v>330</v>
      </c>
      <c r="G4" t="s">
        <v>331</v>
      </c>
      <c r="H4">
        <v>0</v>
      </c>
    </row>
    <row r="5" spans="1:8" x14ac:dyDescent="0.35">
      <c r="A5" t="s">
        <v>58</v>
      </c>
      <c r="B5" t="s">
        <v>38</v>
      </c>
      <c r="C5" t="s">
        <v>53</v>
      </c>
      <c r="D5" t="s">
        <v>327</v>
      </c>
      <c r="E5">
        <v>2</v>
      </c>
      <c r="F5" t="s">
        <v>332</v>
      </c>
      <c r="G5" t="s">
        <v>333</v>
      </c>
      <c r="H5">
        <v>12</v>
      </c>
    </row>
    <row r="6" spans="1:8" x14ac:dyDescent="0.35">
      <c r="A6" t="s">
        <v>56</v>
      </c>
      <c r="B6" t="s">
        <v>38</v>
      </c>
      <c r="C6" t="s">
        <v>53</v>
      </c>
      <c r="D6" t="s">
        <v>324</v>
      </c>
      <c r="E6">
        <v>3</v>
      </c>
      <c r="F6" t="s">
        <v>334</v>
      </c>
      <c r="G6" t="s">
        <v>335</v>
      </c>
      <c r="H6">
        <v>0</v>
      </c>
    </row>
    <row r="7" spans="1:8" x14ac:dyDescent="0.35">
      <c r="A7" t="s">
        <v>59</v>
      </c>
      <c r="B7" t="s">
        <v>38</v>
      </c>
      <c r="C7" t="s">
        <v>53</v>
      </c>
      <c r="D7" t="s">
        <v>327</v>
      </c>
      <c r="E7">
        <v>3</v>
      </c>
      <c r="F7" t="s">
        <v>336</v>
      </c>
      <c r="G7" t="s">
        <v>337</v>
      </c>
      <c r="H7">
        <v>0</v>
      </c>
    </row>
    <row r="8" spans="1:8" x14ac:dyDescent="0.35">
      <c r="A8" t="s">
        <v>47</v>
      </c>
      <c r="B8" t="s">
        <v>38</v>
      </c>
      <c r="C8" t="s">
        <v>46</v>
      </c>
      <c r="D8" t="s">
        <v>338</v>
      </c>
      <c r="E8">
        <v>1</v>
      </c>
      <c r="F8" t="s">
        <v>339</v>
      </c>
      <c r="G8" t="s">
        <v>340</v>
      </c>
      <c r="H8">
        <v>0</v>
      </c>
    </row>
    <row r="9" spans="1:8" x14ac:dyDescent="0.35">
      <c r="A9" t="s">
        <v>50</v>
      </c>
      <c r="B9" t="s">
        <v>38</v>
      </c>
      <c r="C9" t="s">
        <v>46</v>
      </c>
      <c r="D9" t="s">
        <v>341</v>
      </c>
      <c r="E9">
        <v>1</v>
      </c>
      <c r="F9" t="s">
        <v>342</v>
      </c>
      <c r="G9" t="s">
        <v>343</v>
      </c>
      <c r="H9">
        <v>4</v>
      </c>
    </row>
    <row r="10" spans="1:8" x14ac:dyDescent="0.35">
      <c r="A10" t="s">
        <v>48</v>
      </c>
      <c r="B10" t="s">
        <v>38</v>
      </c>
      <c r="C10" t="s">
        <v>46</v>
      </c>
      <c r="D10" t="s">
        <v>338</v>
      </c>
      <c r="E10">
        <v>2</v>
      </c>
      <c r="F10" t="s">
        <v>344</v>
      </c>
      <c r="G10" t="s">
        <v>345</v>
      </c>
      <c r="H10">
        <v>4</v>
      </c>
    </row>
    <row r="11" spans="1:8" x14ac:dyDescent="0.35">
      <c r="A11" t="s">
        <v>51</v>
      </c>
      <c r="B11" t="s">
        <v>38</v>
      </c>
      <c r="C11" t="s">
        <v>46</v>
      </c>
      <c r="D11" t="s">
        <v>341</v>
      </c>
      <c r="E11">
        <v>2</v>
      </c>
      <c r="F11" t="s">
        <v>346</v>
      </c>
      <c r="G11" t="s">
        <v>347</v>
      </c>
      <c r="H11">
        <v>4</v>
      </c>
    </row>
    <row r="12" spans="1:8" x14ac:dyDescent="0.35">
      <c r="A12" t="s">
        <v>49</v>
      </c>
      <c r="B12" t="s">
        <v>38</v>
      </c>
      <c r="C12" t="s">
        <v>46</v>
      </c>
      <c r="D12" t="s">
        <v>338</v>
      </c>
      <c r="E12">
        <v>3</v>
      </c>
      <c r="F12" t="s">
        <v>348</v>
      </c>
      <c r="G12" t="s">
        <v>349</v>
      </c>
      <c r="H12">
        <v>0</v>
      </c>
    </row>
    <row r="13" spans="1:8" x14ac:dyDescent="0.35">
      <c r="A13" t="s">
        <v>52</v>
      </c>
      <c r="B13" t="s">
        <v>38</v>
      </c>
      <c r="C13" t="s">
        <v>46</v>
      </c>
      <c r="D13" t="s">
        <v>341</v>
      </c>
      <c r="E13">
        <v>3</v>
      </c>
      <c r="F13" t="s">
        <v>350</v>
      </c>
      <c r="G13" t="s">
        <v>351</v>
      </c>
      <c r="H13">
        <v>4</v>
      </c>
    </row>
    <row r="14" spans="1:8" x14ac:dyDescent="0.35">
      <c r="A14" t="s">
        <v>40</v>
      </c>
      <c r="B14" t="s">
        <v>38</v>
      </c>
      <c r="C14" t="s">
        <v>39</v>
      </c>
      <c r="D14" t="s">
        <v>352</v>
      </c>
      <c r="E14">
        <v>1</v>
      </c>
      <c r="F14" t="s">
        <v>353</v>
      </c>
      <c r="G14" t="s">
        <v>354</v>
      </c>
      <c r="H14">
        <v>1</v>
      </c>
    </row>
    <row r="15" spans="1:8" x14ac:dyDescent="0.35">
      <c r="A15" t="s">
        <v>43</v>
      </c>
      <c r="B15" t="s">
        <v>38</v>
      </c>
      <c r="C15" t="s">
        <v>39</v>
      </c>
      <c r="D15" t="s">
        <v>355</v>
      </c>
      <c r="E15">
        <v>1</v>
      </c>
      <c r="F15" t="s">
        <v>356</v>
      </c>
      <c r="G15" t="s">
        <v>357</v>
      </c>
      <c r="H15">
        <v>1</v>
      </c>
    </row>
    <row r="16" spans="1:8" x14ac:dyDescent="0.35">
      <c r="A16" t="s">
        <v>41</v>
      </c>
      <c r="B16" t="s">
        <v>38</v>
      </c>
      <c r="C16" t="s">
        <v>39</v>
      </c>
      <c r="D16" t="s">
        <v>352</v>
      </c>
      <c r="E16">
        <v>2</v>
      </c>
      <c r="F16" t="s">
        <v>358</v>
      </c>
      <c r="G16" t="s">
        <v>359</v>
      </c>
      <c r="H16">
        <v>0</v>
      </c>
    </row>
    <row r="17" spans="1:8" x14ac:dyDescent="0.35">
      <c r="A17" t="s">
        <v>44</v>
      </c>
      <c r="B17" t="s">
        <v>38</v>
      </c>
      <c r="C17" t="s">
        <v>39</v>
      </c>
      <c r="D17" t="s">
        <v>355</v>
      </c>
      <c r="E17">
        <v>2</v>
      </c>
      <c r="F17" t="s">
        <v>360</v>
      </c>
      <c r="G17" t="s">
        <v>361</v>
      </c>
      <c r="H17">
        <v>0</v>
      </c>
    </row>
    <row r="18" spans="1:8" x14ac:dyDescent="0.35">
      <c r="A18" t="s">
        <v>42</v>
      </c>
      <c r="B18" t="s">
        <v>38</v>
      </c>
      <c r="C18" t="s">
        <v>39</v>
      </c>
      <c r="D18" t="s">
        <v>352</v>
      </c>
      <c r="E18">
        <v>3</v>
      </c>
      <c r="F18" t="s">
        <v>362</v>
      </c>
      <c r="G18" t="s">
        <v>363</v>
      </c>
      <c r="H18">
        <v>17</v>
      </c>
    </row>
    <row r="19" spans="1:8" x14ac:dyDescent="0.35">
      <c r="A19" t="s">
        <v>45</v>
      </c>
      <c r="B19" t="s">
        <v>38</v>
      </c>
      <c r="C19" t="s">
        <v>39</v>
      </c>
      <c r="D19" t="s">
        <v>355</v>
      </c>
      <c r="E19">
        <v>3</v>
      </c>
      <c r="F19" t="s">
        <v>364</v>
      </c>
      <c r="G19" t="s">
        <v>365</v>
      </c>
      <c r="H19">
        <v>15</v>
      </c>
    </row>
    <row r="20" spans="1:8" x14ac:dyDescent="0.35">
      <c r="A20" t="s">
        <v>32</v>
      </c>
      <c r="B20" t="s">
        <v>11</v>
      </c>
      <c r="C20" t="s">
        <v>366</v>
      </c>
      <c r="D20" t="s">
        <v>367</v>
      </c>
      <c r="E20">
        <v>1</v>
      </c>
      <c r="F20" t="s">
        <v>368</v>
      </c>
      <c r="G20" t="s">
        <v>369</v>
      </c>
      <c r="H20">
        <v>1</v>
      </c>
    </row>
    <row r="21" spans="1:8" x14ac:dyDescent="0.35">
      <c r="A21" t="s">
        <v>35</v>
      </c>
      <c r="B21" t="s">
        <v>11</v>
      </c>
      <c r="C21" t="s">
        <v>366</v>
      </c>
      <c r="D21" t="s">
        <v>370</v>
      </c>
      <c r="E21">
        <v>1</v>
      </c>
      <c r="F21" t="s">
        <v>371</v>
      </c>
      <c r="G21" t="s">
        <v>372</v>
      </c>
      <c r="H21">
        <v>21</v>
      </c>
    </row>
    <row r="22" spans="1:8" x14ac:dyDescent="0.35">
      <c r="A22" t="s">
        <v>33</v>
      </c>
      <c r="B22" t="s">
        <v>11</v>
      </c>
      <c r="C22" t="s">
        <v>366</v>
      </c>
      <c r="D22" t="s">
        <v>367</v>
      </c>
      <c r="E22">
        <v>2</v>
      </c>
      <c r="F22" t="s">
        <v>373</v>
      </c>
      <c r="G22" t="s">
        <v>374</v>
      </c>
      <c r="H22">
        <v>3</v>
      </c>
    </row>
    <row r="23" spans="1:8" x14ac:dyDescent="0.35">
      <c r="A23" t="s">
        <v>36</v>
      </c>
      <c r="B23" t="s">
        <v>11</v>
      </c>
      <c r="C23" t="s">
        <v>366</v>
      </c>
      <c r="D23" t="s">
        <v>370</v>
      </c>
      <c r="E23">
        <v>2</v>
      </c>
      <c r="F23" t="s">
        <v>375</v>
      </c>
      <c r="G23" t="s">
        <v>376</v>
      </c>
      <c r="H23">
        <v>5</v>
      </c>
    </row>
    <row r="24" spans="1:8" x14ac:dyDescent="0.35">
      <c r="A24" t="s">
        <v>34</v>
      </c>
      <c r="B24" t="s">
        <v>11</v>
      </c>
      <c r="C24" t="s">
        <v>366</v>
      </c>
      <c r="D24" t="s">
        <v>367</v>
      </c>
      <c r="E24">
        <v>3</v>
      </c>
      <c r="F24" t="s">
        <v>377</v>
      </c>
      <c r="G24" t="s">
        <v>378</v>
      </c>
      <c r="H24">
        <v>3</v>
      </c>
    </row>
    <row r="25" spans="1:8" x14ac:dyDescent="0.35">
      <c r="A25" t="s">
        <v>37</v>
      </c>
      <c r="B25" t="s">
        <v>11</v>
      </c>
      <c r="C25" t="s">
        <v>366</v>
      </c>
      <c r="D25" t="s">
        <v>370</v>
      </c>
      <c r="E25">
        <v>3</v>
      </c>
      <c r="F25" t="s">
        <v>379</v>
      </c>
      <c r="G25" t="s">
        <v>380</v>
      </c>
      <c r="H25">
        <v>5</v>
      </c>
    </row>
    <row r="26" spans="1:8" x14ac:dyDescent="0.35">
      <c r="A26" t="s">
        <v>25</v>
      </c>
      <c r="B26" t="s">
        <v>11</v>
      </c>
      <c r="C26" t="s">
        <v>381</v>
      </c>
      <c r="D26" t="s">
        <v>382</v>
      </c>
      <c r="E26">
        <v>1</v>
      </c>
      <c r="F26" t="s">
        <v>383</v>
      </c>
      <c r="G26" t="s">
        <v>384</v>
      </c>
      <c r="H26">
        <v>0</v>
      </c>
    </row>
    <row r="27" spans="1:8" x14ac:dyDescent="0.35">
      <c r="A27" t="s">
        <v>28</v>
      </c>
      <c r="B27" t="s">
        <v>11</v>
      </c>
      <c r="C27" t="s">
        <v>381</v>
      </c>
      <c r="D27" t="s">
        <v>385</v>
      </c>
      <c r="E27">
        <v>1</v>
      </c>
      <c r="F27" t="s">
        <v>386</v>
      </c>
      <c r="G27" t="s">
        <v>387</v>
      </c>
      <c r="H27">
        <v>0</v>
      </c>
    </row>
    <row r="28" spans="1:8" x14ac:dyDescent="0.35">
      <c r="A28" t="s">
        <v>26</v>
      </c>
      <c r="B28" t="s">
        <v>11</v>
      </c>
      <c r="C28" t="s">
        <v>381</v>
      </c>
      <c r="D28" t="s">
        <v>382</v>
      </c>
      <c r="E28">
        <v>2</v>
      </c>
      <c r="F28" t="s">
        <v>388</v>
      </c>
      <c r="G28" t="s">
        <v>389</v>
      </c>
      <c r="H28">
        <v>2</v>
      </c>
    </row>
    <row r="29" spans="1:8" x14ac:dyDescent="0.35">
      <c r="A29" t="s">
        <v>29</v>
      </c>
      <c r="B29" t="s">
        <v>11</v>
      </c>
      <c r="C29" t="s">
        <v>381</v>
      </c>
      <c r="D29" t="s">
        <v>385</v>
      </c>
      <c r="E29">
        <v>2</v>
      </c>
      <c r="F29" t="s">
        <v>390</v>
      </c>
      <c r="G29" t="s">
        <v>391</v>
      </c>
      <c r="H29">
        <v>20</v>
      </c>
    </row>
    <row r="30" spans="1:8" x14ac:dyDescent="0.35">
      <c r="A30" t="s">
        <v>27</v>
      </c>
      <c r="B30" t="s">
        <v>11</v>
      </c>
      <c r="C30" t="s">
        <v>381</v>
      </c>
      <c r="D30" t="s">
        <v>382</v>
      </c>
      <c r="E30">
        <v>3</v>
      </c>
      <c r="F30" t="s">
        <v>392</v>
      </c>
      <c r="G30" t="s">
        <v>393</v>
      </c>
      <c r="H30">
        <v>19</v>
      </c>
    </row>
    <row r="31" spans="1:8" x14ac:dyDescent="0.35">
      <c r="A31" t="s">
        <v>30</v>
      </c>
      <c r="B31" t="s">
        <v>11</v>
      </c>
      <c r="C31" t="s">
        <v>381</v>
      </c>
      <c r="D31" t="s">
        <v>385</v>
      </c>
      <c r="E31">
        <v>3</v>
      </c>
      <c r="F31" t="s">
        <v>394</v>
      </c>
      <c r="G31" t="s">
        <v>395</v>
      </c>
      <c r="H31">
        <v>19</v>
      </c>
    </row>
    <row r="32" spans="1:8" x14ac:dyDescent="0.35">
      <c r="A32" t="s">
        <v>18</v>
      </c>
      <c r="B32" t="s">
        <v>11</v>
      </c>
      <c r="C32" t="s">
        <v>396</v>
      </c>
      <c r="D32" t="s">
        <v>397</v>
      </c>
      <c r="E32">
        <v>1</v>
      </c>
      <c r="F32" t="s">
        <v>398</v>
      </c>
      <c r="G32" t="s">
        <v>399</v>
      </c>
      <c r="H32">
        <v>13</v>
      </c>
    </row>
    <row r="33" spans="1:8" x14ac:dyDescent="0.35">
      <c r="A33" t="s">
        <v>21</v>
      </c>
      <c r="B33" t="s">
        <v>11</v>
      </c>
      <c r="C33" t="s">
        <v>396</v>
      </c>
      <c r="D33" t="s">
        <v>400</v>
      </c>
      <c r="E33">
        <v>1</v>
      </c>
      <c r="F33" t="s">
        <v>401</v>
      </c>
      <c r="G33" t="s">
        <v>402</v>
      </c>
      <c r="H33">
        <v>16</v>
      </c>
    </row>
    <row r="34" spans="1:8" x14ac:dyDescent="0.35">
      <c r="A34" t="s">
        <v>19</v>
      </c>
      <c r="B34" t="s">
        <v>11</v>
      </c>
      <c r="C34" t="s">
        <v>396</v>
      </c>
      <c r="D34" t="s">
        <v>397</v>
      </c>
      <c r="E34">
        <v>2</v>
      </c>
      <c r="F34" t="s">
        <v>403</v>
      </c>
      <c r="G34" t="s">
        <v>404</v>
      </c>
      <c r="H34">
        <v>14</v>
      </c>
    </row>
    <row r="35" spans="1:8" x14ac:dyDescent="0.35">
      <c r="A35" t="s">
        <v>22</v>
      </c>
      <c r="B35" t="s">
        <v>11</v>
      </c>
      <c r="C35" t="s">
        <v>396</v>
      </c>
      <c r="D35" t="s">
        <v>400</v>
      </c>
      <c r="E35">
        <v>2</v>
      </c>
      <c r="F35" t="s">
        <v>405</v>
      </c>
      <c r="G35" t="s">
        <v>406</v>
      </c>
      <c r="H35">
        <v>18</v>
      </c>
    </row>
    <row r="36" spans="1:8" x14ac:dyDescent="0.35">
      <c r="A36" t="s">
        <v>20</v>
      </c>
      <c r="B36" t="s">
        <v>11</v>
      </c>
      <c r="C36" t="s">
        <v>396</v>
      </c>
      <c r="D36" t="s">
        <v>397</v>
      </c>
      <c r="E36">
        <v>3</v>
      </c>
      <c r="F36" t="s">
        <v>407</v>
      </c>
      <c r="G36" t="s">
        <v>408</v>
      </c>
      <c r="H36">
        <v>15</v>
      </c>
    </row>
    <row r="37" spans="1:8" x14ac:dyDescent="0.35">
      <c r="A37" t="s">
        <v>23</v>
      </c>
      <c r="B37" t="s">
        <v>11</v>
      </c>
      <c r="C37" t="s">
        <v>396</v>
      </c>
      <c r="D37" t="s">
        <v>400</v>
      </c>
      <c r="E37">
        <v>3</v>
      </c>
      <c r="F37" t="s">
        <v>409</v>
      </c>
      <c r="G37" t="s">
        <v>410</v>
      </c>
      <c r="H37">
        <v>15</v>
      </c>
    </row>
    <row r="38" spans="1:8" x14ac:dyDescent="0.35">
      <c r="A38" t="s">
        <v>76</v>
      </c>
      <c r="B38" t="s">
        <v>60</v>
      </c>
      <c r="C38" t="s">
        <v>75</v>
      </c>
      <c r="D38" t="s">
        <v>411</v>
      </c>
      <c r="E38">
        <v>1</v>
      </c>
      <c r="F38" t="s">
        <v>412</v>
      </c>
      <c r="G38" t="s">
        <v>413</v>
      </c>
      <c r="H38">
        <v>0</v>
      </c>
    </row>
    <row r="39" spans="1:8" x14ac:dyDescent="0.35">
      <c r="A39" t="s">
        <v>79</v>
      </c>
      <c r="B39" t="s">
        <v>60</v>
      </c>
      <c r="C39" t="s">
        <v>75</v>
      </c>
      <c r="D39" t="s">
        <v>414</v>
      </c>
      <c r="E39">
        <v>1</v>
      </c>
      <c r="F39" t="s">
        <v>415</v>
      </c>
      <c r="G39" t="s">
        <v>416</v>
      </c>
      <c r="H39">
        <v>0</v>
      </c>
    </row>
    <row r="40" spans="1:8" x14ac:dyDescent="0.35">
      <c r="A40" t="s">
        <v>77</v>
      </c>
      <c r="B40" t="s">
        <v>60</v>
      </c>
      <c r="C40" t="s">
        <v>75</v>
      </c>
      <c r="D40" t="s">
        <v>411</v>
      </c>
      <c r="E40">
        <v>2</v>
      </c>
      <c r="F40" t="s">
        <v>417</v>
      </c>
      <c r="G40" t="s">
        <v>418</v>
      </c>
      <c r="H40">
        <v>0</v>
      </c>
    </row>
    <row r="41" spans="1:8" x14ac:dyDescent="0.35">
      <c r="A41" t="s">
        <v>80</v>
      </c>
      <c r="B41" t="s">
        <v>60</v>
      </c>
      <c r="C41" t="s">
        <v>75</v>
      </c>
      <c r="D41" t="s">
        <v>414</v>
      </c>
      <c r="E41">
        <v>2</v>
      </c>
      <c r="F41" t="s">
        <v>419</v>
      </c>
      <c r="G41" t="s">
        <v>420</v>
      </c>
      <c r="H41">
        <v>0</v>
      </c>
    </row>
    <row r="42" spans="1:8" x14ac:dyDescent="0.35">
      <c r="A42" t="s">
        <v>78</v>
      </c>
      <c r="B42" t="s">
        <v>60</v>
      </c>
      <c r="C42" t="s">
        <v>75</v>
      </c>
      <c r="D42" t="s">
        <v>411</v>
      </c>
      <c r="E42">
        <v>3</v>
      </c>
      <c r="F42" t="s">
        <v>421</v>
      </c>
      <c r="G42" t="s">
        <v>422</v>
      </c>
      <c r="H42">
        <v>0</v>
      </c>
    </row>
    <row r="43" spans="1:8" x14ac:dyDescent="0.35">
      <c r="A43" t="s">
        <v>81</v>
      </c>
      <c r="B43" t="s">
        <v>60</v>
      </c>
      <c r="C43" t="s">
        <v>75</v>
      </c>
      <c r="D43" t="s">
        <v>414</v>
      </c>
      <c r="E43">
        <v>3</v>
      </c>
      <c r="F43" t="s">
        <v>423</v>
      </c>
      <c r="G43" t="s">
        <v>424</v>
      </c>
      <c r="H43">
        <v>0</v>
      </c>
    </row>
    <row r="44" spans="1:8" x14ac:dyDescent="0.35">
      <c r="A44" t="s">
        <v>62</v>
      </c>
      <c r="B44" t="s">
        <v>60</v>
      </c>
      <c r="C44" t="s">
        <v>61</v>
      </c>
      <c r="D44" t="s">
        <v>425</v>
      </c>
      <c r="E44">
        <v>1</v>
      </c>
      <c r="F44" t="s">
        <v>426</v>
      </c>
      <c r="G44" t="s">
        <v>427</v>
      </c>
      <c r="H44">
        <v>0</v>
      </c>
    </row>
    <row r="45" spans="1:8" x14ac:dyDescent="0.35">
      <c r="A45" t="s">
        <v>65</v>
      </c>
      <c r="B45" t="s">
        <v>60</v>
      </c>
      <c r="C45" t="s">
        <v>61</v>
      </c>
      <c r="D45" t="s">
        <v>428</v>
      </c>
      <c r="E45">
        <v>1</v>
      </c>
      <c r="F45" t="s">
        <v>429</v>
      </c>
      <c r="G45" t="s">
        <v>430</v>
      </c>
      <c r="H45">
        <v>0</v>
      </c>
    </row>
    <row r="46" spans="1:8" x14ac:dyDescent="0.35">
      <c r="A46" t="s">
        <v>63</v>
      </c>
      <c r="B46" t="s">
        <v>60</v>
      </c>
      <c r="C46" t="s">
        <v>61</v>
      </c>
      <c r="D46" t="s">
        <v>425</v>
      </c>
      <c r="E46">
        <v>2</v>
      </c>
      <c r="F46" t="s">
        <v>431</v>
      </c>
      <c r="G46" t="s">
        <v>432</v>
      </c>
      <c r="H46">
        <v>0</v>
      </c>
    </row>
    <row r="47" spans="1:8" x14ac:dyDescent="0.35">
      <c r="A47" t="s">
        <v>66</v>
      </c>
      <c r="B47" t="s">
        <v>60</v>
      </c>
      <c r="C47" t="s">
        <v>61</v>
      </c>
      <c r="D47" t="s">
        <v>428</v>
      </c>
      <c r="E47">
        <v>2</v>
      </c>
      <c r="F47" t="s">
        <v>433</v>
      </c>
      <c r="G47" t="s">
        <v>434</v>
      </c>
      <c r="H47">
        <v>0</v>
      </c>
    </row>
    <row r="48" spans="1:8" x14ac:dyDescent="0.35">
      <c r="A48" t="s">
        <v>64</v>
      </c>
      <c r="B48" t="s">
        <v>60</v>
      </c>
      <c r="C48" t="s">
        <v>61</v>
      </c>
      <c r="D48" t="s">
        <v>425</v>
      </c>
      <c r="E48">
        <v>3</v>
      </c>
      <c r="F48" t="s">
        <v>435</v>
      </c>
      <c r="G48" t="s">
        <v>436</v>
      </c>
      <c r="H48">
        <v>0</v>
      </c>
    </row>
    <row r="49" spans="1:8" x14ac:dyDescent="0.35">
      <c r="A49" t="s">
        <v>67</v>
      </c>
      <c r="B49" t="s">
        <v>60</v>
      </c>
      <c r="C49" t="s">
        <v>61</v>
      </c>
      <c r="D49" t="s">
        <v>428</v>
      </c>
      <c r="E49">
        <v>3</v>
      </c>
      <c r="F49" t="s">
        <v>437</v>
      </c>
      <c r="G49" t="s">
        <v>438</v>
      </c>
      <c r="H49">
        <v>0</v>
      </c>
    </row>
    <row r="50" spans="1:8" x14ac:dyDescent="0.35">
      <c r="A50" t="s">
        <v>69</v>
      </c>
      <c r="B50" t="s">
        <v>60</v>
      </c>
      <c r="C50" t="s">
        <v>68</v>
      </c>
      <c r="D50" t="s">
        <v>439</v>
      </c>
      <c r="E50">
        <v>1</v>
      </c>
      <c r="F50" t="s">
        <v>440</v>
      </c>
      <c r="G50" t="s">
        <v>441</v>
      </c>
      <c r="H50">
        <v>0</v>
      </c>
    </row>
    <row r="51" spans="1:8" x14ac:dyDescent="0.35">
      <c r="A51" t="s">
        <v>72</v>
      </c>
      <c r="B51" t="s">
        <v>60</v>
      </c>
      <c r="C51" t="s">
        <v>68</v>
      </c>
      <c r="D51" t="s">
        <v>442</v>
      </c>
      <c r="E51">
        <v>1</v>
      </c>
      <c r="F51" t="s">
        <v>443</v>
      </c>
      <c r="G51" t="s">
        <v>444</v>
      </c>
      <c r="H51">
        <v>0</v>
      </c>
    </row>
    <row r="52" spans="1:8" x14ac:dyDescent="0.35">
      <c r="A52" t="s">
        <v>70</v>
      </c>
      <c r="B52" t="s">
        <v>60</v>
      </c>
      <c r="C52" t="s">
        <v>68</v>
      </c>
      <c r="D52" t="s">
        <v>439</v>
      </c>
      <c r="E52">
        <v>2</v>
      </c>
      <c r="F52" t="s">
        <v>445</v>
      </c>
      <c r="G52" t="s">
        <v>446</v>
      </c>
      <c r="H52">
        <v>0</v>
      </c>
    </row>
    <row r="53" spans="1:8" x14ac:dyDescent="0.35">
      <c r="A53" t="s">
        <v>73</v>
      </c>
      <c r="B53" t="s">
        <v>60</v>
      </c>
      <c r="C53" t="s">
        <v>68</v>
      </c>
      <c r="D53" t="s">
        <v>442</v>
      </c>
      <c r="E53">
        <v>2</v>
      </c>
      <c r="F53" t="s">
        <v>447</v>
      </c>
      <c r="G53" t="s">
        <v>448</v>
      </c>
      <c r="H53">
        <v>0</v>
      </c>
    </row>
    <row r="54" spans="1:8" x14ac:dyDescent="0.35">
      <c r="A54" t="s">
        <v>71</v>
      </c>
      <c r="B54" t="s">
        <v>60</v>
      </c>
      <c r="C54" t="s">
        <v>68</v>
      </c>
      <c r="D54" t="s">
        <v>439</v>
      </c>
      <c r="E54">
        <v>3</v>
      </c>
      <c r="F54" t="s">
        <v>449</v>
      </c>
      <c r="G54" t="s">
        <v>450</v>
      </c>
      <c r="H54">
        <v>0</v>
      </c>
    </row>
    <row r="55" spans="1:8" x14ac:dyDescent="0.35">
      <c r="A55" t="s">
        <v>74</v>
      </c>
      <c r="B55" t="s">
        <v>60</v>
      </c>
      <c r="C55" t="s">
        <v>68</v>
      </c>
      <c r="D55" t="s">
        <v>442</v>
      </c>
      <c r="E55">
        <v>3</v>
      </c>
      <c r="F55" t="s">
        <v>451</v>
      </c>
      <c r="G55" t="s">
        <v>452</v>
      </c>
      <c r="H55">
        <v>0</v>
      </c>
    </row>
    <row r="56" spans="1:8" x14ac:dyDescent="0.35">
      <c r="A56" t="s">
        <v>113</v>
      </c>
      <c r="B56" t="s">
        <v>104</v>
      </c>
      <c r="C56" t="s">
        <v>112</v>
      </c>
      <c r="D56" t="s">
        <v>453</v>
      </c>
      <c r="E56">
        <v>1</v>
      </c>
      <c r="F56" t="s">
        <v>454</v>
      </c>
      <c r="G56" t="s">
        <v>455</v>
      </c>
      <c r="H56">
        <v>6</v>
      </c>
    </row>
    <row r="57" spans="1:8" x14ac:dyDescent="0.35">
      <c r="A57" t="s">
        <v>116</v>
      </c>
      <c r="B57" t="s">
        <v>104</v>
      </c>
      <c r="C57" t="s">
        <v>112</v>
      </c>
      <c r="D57" t="s">
        <v>456</v>
      </c>
      <c r="E57">
        <v>1</v>
      </c>
      <c r="F57" t="s">
        <v>457</v>
      </c>
      <c r="G57" t="s">
        <v>458</v>
      </c>
      <c r="H57">
        <v>6</v>
      </c>
    </row>
    <row r="58" spans="1:8" x14ac:dyDescent="0.35">
      <c r="A58" t="s">
        <v>114</v>
      </c>
      <c r="B58" t="s">
        <v>104</v>
      </c>
      <c r="C58" t="s">
        <v>112</v>
      </c>
      <c r="D58" t="s">
        <v>453</v>
      </c>
      <c r="E58">
        <v>2</v>
      </c>
      <c r="F58" t="s">
        <v>459</v>
      </c>
      <c r="G58" t="s">
        <v>460</v>
      </c>
      <c r="H58">
        <v>6</v>
      </c>
    </row>
    <row r="59" spans="1:8" x14ac:dyDescent="0.35">
      <c r="A59" t="s">
        <v>117</v>
      </c>
      <c r="B59" t="s">
        <v>104</v>
      </c>
      <c r="C59" t="s">
        <v>112</v>
      </c>
      <c r="D59" t="s">
        <v>456</v>
      </c>
      <c r="E59">
        <v>2</v>
      </c>
      <c r="F59" t="s">
        <v>461</v>
      </c>
      <c r="G59" t="s">
        <v>462</v>
      </c>
      <c r="H59">
        <v>6</v>
      </c>
    </row>
    <row r="60" spans="1:8" x14ac:dyDescent="0.35">
      <c r="A60" t="s">
        <v>115</v>
      </c>
      <c r="B60" t="s">
        <v>104</v>
      </c>
      <c r="C60" t="s">
        <v>112</v>
      </c>
      <c r="D60" t="s">
        <v>453</v>
      </c>
      <c r="E60">
        <v>3</v>
      </c>
      <c r="F60" t="s">
        <v>463</v>
      </c>
      <c r="G60" t="s">
        <v>464</v>
      </c>
      <c r="H60">
        <v>6</v>
      </c>
    </row>
    <row r="61" spans="1:8" x14ac:dyDescent="0.35">
      <c r="A61" t="s">
        <v>118</v>
      </c>
      <c r="B61" t="s">
        <v>104</v>
      </c>
      <c r="C61" t="s">
        <v>112</v>
      </c>
      <c r="D61" t="s">
        <v>456</v>
      </c>
      <c r="E61">
        <v>3</v>
      </c>
      <c r="F61" t="s">
        <v>465</v>
      </c>
      <c r="G61" t="s">
        <v>466</v>
      </c>
      <c r="H61">
        <v>6</v>
      </c>
    </row>
    <row r="62" spans="1:8" x14ac:dyDescent="0.35">
      <c r="A62" t="s">
        <v>106</v>
      </c>
      <c r="B62" t="s">
        <v>104</v>
      </c>
      <c r="C62" t="s">
        <v>105</v>
      </c>
      <c r="D62" t="s">
        <v>467</v>
      </c>
      <c r="E62">
        <v>1</v>
      </c>
      <c r="F62" t="s">
        <v>468</v>
      </c>
      <c r="G62" t="s">
        <v>469</v>
      </c>
      <c r="H62">
        <v>0</v>
      </c>
    </row>
    <row r="63" spans="1:8" x14ac:dyDescent="0.35">
      <c r="A63" t="s">
        <v>109</v>
      </c>
      <c r="B63" t="s">
        <v>104</v>
      </c>
      <c r="C63" t="s">
        <v>105</v>
      </c>
      <c r="D63" t="s">
        <v>470</v>
      </c>
      <c r="E63">
        <v>1</v>
      </c>
      <c r="F63" t="s">
        <v>471</v>
      </c>
      <c r="G63" t="s">
        <v>472</v>
      </c>
      <c r="H63">
        <v>7</v>
      </c>
    </row>
    <row r="64" spans="1:8" x14ac:dyDescent="0.35">
      <c r="A64" t="s">
        <v>107</v>
      </c>
      <c r="B64" t="s">
        <v>104</v>
      </c>
      <c r="C64" t="s">
        <v>105</v>
      </c>
      <c r="D64" t="s">
        <v>467</v>
      </c>
      <c r="E64">
        <v>2</v>
      </c>
      <c r="F64" t="s">
        <v>473</v>
      </c>
      <c r="G64" t="s">
        <v>474</v>
      </c>
      <c r="H64">
        <v>0</v>
      </c>
    </row>
    <row r="65" spans="1:8" x14ac:dyDescent="0.35">
      <c r="A65" t="s">
        <v>110</v>
      </c>
      <c r="B65" t="s">
        <v>104</v>
      </c>
      <c r="C65" t="s">
        <v>105</v>
      </c>
      <c r="D65" t="s">
        <v>470</v>
      </c>
      <c r="E65">
        <v>2</v>
      </c>
      <c r="F65" t="s">
        <v>475</v>
      </c>
      <c r="G65" t="s">
        <v>476</v>
      </c>
      <c r="H65">
        <v>8</v>
      </c>
    </row>
    <row r="66" spans="1:8" x14ac:dyDescent="0.35">
      <c r="A66" t="s">
        <v>108</v>
      </c>
      <c r="B66" t="s">
        <v>104</v>
      </c>
      <c r="C66" t="s">
        <v>105</v>
      </c>
      <c r="D66" t="s">
        <v>467</v>
      </c>
      <c r="E66">
        <v>3</v>
      </c>
      <c r="F66" t="s">
        <v>477</v>
      </c>
      <c r="G66" t="s">
        <v>478</v>
      </c>
      <c r="H66">
        <v>0</v>
      </c>
    </row>
    <row r="67" spans="1:8" x14ac:dyDescent="0.35">
      <c r="A67" t="s">
        <v>111</v>
      </c>
      <c r="B67" t="s">
        <v>104</v>
      </c>
      <c r="C67" t="s">
        <v>105</v>
      </c>
      <c r="D67" t="s">
        <v>470</v>
      </c>
      <c r="E67">
        <v>3</v>
      </c>
      <c r="F67" t="s">
        <v>479</v>
      </c>
      <c r="G67" t="s">
        <v>480</v>
      </c>
      <c r="H67">
        <v>4</v>
      </c>
    </row>
    <row r="68" spans="1:8" x14ac:dyDescent="0.35">
      <c r="A68" t="s">
        <v>120</v>
      </c>
      <c r="B68" t="s">
        <v>104</v>
      </c>
      <c r="C68" t="s">
        <v>119</v>
      </c>
      <c r="D68" t="s">
        <v>481</v>
      </c>
      <c r="E68">
        <v>1</v>
      </c>
      <c r="F68" t="s">
        <v>482</v>
      </c>
      <c r="G68" t="s">
        <v>483</v>
      </c>
      <c r="H68">
        <v>0</v>
      </c>
    </row>
    <row r="69" spans="1:8" x14ac:dyDescent="0.35">
      <c r="A69" t="s">
        <v>123</v>
      </c>
      <c r="B69" t="s">
        <v>104</v>
      </c>
      <c r="C69" t="s">
        <v>119</v>
      </c>
      <c r="D69" t="s">
        <v>484</v>
      </c>
      <c r="E69">
        <v>1</v>
      </c>
      <c r="F69" t="s">
        <v>485</v>
      </c>
      <c r="G69" t="s">
        <v>486</v>
      </c>
      <c r="H69">
        <v>0</v>
      </c>
    </row>
    <row r="70" spans="1:8" x14ac:dyDescent="0.35">
      <c r="A70" t="s">
        <v>121</v>
      </c>
      <c r="B70" t="s">
        <v>104</v>
      </c>
      <c r="C70" t="s">
        <v>119</v>
      </c>
      <c r="D70" t="s">
        <v>481</v>
      </c>
      <c r="E70">
        <v>2</v>
      </c>
      <c r="F70" t="s">
        <v>487</v>
      </c>
      <c r="G70" t="s">
        <v>488</v>
      </c>
      <c r="H70">
        <v>9</v>
      </c>
    </row>
    <row r="71" spans="1:8" x14ac:dyDescent="0.35">
      <c r="A71" t="s">
        <v>124</v>
      </c>
      <c r="B71" t="s">
        <v>104</v>
      </c>
      <c r="C71" t="s">
        <v>119</v>
      </c>
      <c r="D71" t="s">
        <v>484</v>
      </c>
      <c r="E71">
        <v>2</v>
      </c>
      <c r="F71" t="s">
        <v>489</v>
      </c>
      <c r="G71" t="s">
        <v>490</v>
      </c>
      <c r="H71">
        <v>4</v>
      </c>
    </row>
    <row r="72" spans="1:8" x14ac:dyDescent="0.35">
      <c r="A72" t="s">
        <v>122</v>
      </c>
      <c r="B72" t="s">
        <v>104</v>
      </c>
      <c r="C72" t="s">
        <v>119</v>
      </c>
      <c r="D72" t="s">
        <v>481</v>
      </c>
      <c r="E72">
        <v>3</v>
      </c>
      <c r="F72" t="s">
        <v>491</v>
      </c>
      <c r="G72" t="s">
        <v>492</v>
      </c>
      <c r="H72">
        <v>10</v>
      </c>
    </row>
    <row r="73" spans="1:8" x14ac:dyDescent="0.35">
      <c r="A73" t="s">
        <v>125</v>
      </c>
      <c r="B73" t="s">
        <v>104</v>
      </c>
      <c r="C73" t="s">
        <v>119</v>
      </c>
      <c r="D73" t="s">
        <v>484</v>
      </c>
      <c r="E73">
        <v>3</v>
      </c>
      <c r="F73" t="s">
        <v>493</v>
      </c>
      <c r="G73" t="s">
        <v>494</v>
      </c>
      <c r="H73">
        <v>11</v>
      </c>
    </row>
    <row r="74" spans="1:8" x14ac:dyDescent="0.35">
      <c r="A74" t="s">
        <v>84</v>
      </c>
      <c r="B74" t="s">
        <v>82</v>
      </c>
      <c r="C74" t="s">
        <v>83</v>
      </c>
      <c r="D74" t="s">
        <v>495</v>
      </c>
      <c r="E74">
        <v>1</v>
      </c>
      <c r="F74" t="s">
        <v>496</v>
      </c>
      <c r="G74" t="s">
        <v>497</v>
      </c>
      <c r="H74">
        <v>0</v>
      </c>
    </row>
    <row r="75" spans="1:8" x14ac:dyDescent="0.35">
      <c r="A75" t="s">
        <v>87</v>
      </c>
      <c r="B75" t="s">
        <v>82</v>
      </c>
      <c r="C75" t="s">
        <v>83</v>
      </c>
      <c r="D75" t="s">
        <v>498</v>
      </c>
      <c r="E75">
        <v>1</v>
      </c>
      <c r="F75" t="s">
        <v>499</v>
      </c>
      <c r="G75" t="s">
        <v>500</v>
      </c>
      <c r="H75">
        <v>0</v>
      </c>
    </row>
    <row r="76" spans="1:8" x14ac:dyDescent="0.35">
      <c r="A76" t="s">
        <v>85</v>
      </c>
      <c r="B76" t="s">
        <v>82</v>
      </c>
      <c r="C76" t="s">
        <v>83</v>
      </c>
      <c r="D76" t="s">
        <v>495</v>
      </c>
      <c r="E76">
        <v>2</v>
      </c>
      <c r="F76" t="s">
        <v>501</v>
      </c>
      <c r="G76" t="s">
        <v>502</v>
      </c>
      <c r="H76">
        <v>0</v>
      </c>
    </row>
    <row r="77" spans="1:8" x14ac:dyDescent="0.35">
      <c r="A77" t="s">
        <v>88</v>
      </c>
      <c r="B77" t="s">
        <v>82</v>
      </c>
      <c r="C77" t="s">
        <v>83</v>
      </c>
      <c r="D77" t="s">
        <v>498</v>
      </c>
      <c r="E77">
        <v>2</v>
      </c>
      <c r="F77" t="s">
        <v>503</v>
      </c>
      <c r="G77" t="s">
        <v>504</v>
      </c>
      <c r="H77">
        <v>0</v>
      </c>
    </row>
    <row r="78" spans="1:8" x14ac:dyDescent="0.35">
      <c r="A78" t="s">
        <v>86</v>
      </c>
      <c r="B78" t="s">
        <v>82</v>
      </c>
      <c r="C78" t="s">
        <v>83</v>
      </c>
      <c r="D78" t="s">
        <v>495</v>
      </c>
      <c r="E78">
        <v>3</v>
      </c>
      <c r="F78" t="s">
        <v>505</v>
      </c>
      <c r="G78" t="s">
        <v>506</v>
      </c>
      <c r="H78">
        <v>0</v>
      </c>
    </row>
    <row r="79" spans="1:8" x14ac:dyDescent="0.35">
      <c r="A79" t="s">
        <v>89</v>
      </c>
      <c r="B79" t="s">
        <v>82</v>
      </c>
      <c r="C79" t="s">
        <v>83</v>
      </c>
      <c r="D79" t="s">
        <v>498</v>
      </c>
      <c r="E79">
        <v>3</v>
      </c>
      <c r="F79" t="s">
        <v>507</v>
      </c>
      <c r="G79" t="s">
        <v>508</v>
      </c>
      <c r="H79">
        <v>0</v>
      </c>
    </row>
    <row r="80" spans="1:8" x14ac:dyDescent="0.35">
      <c r="A80" t="s">
        <v>91</v>
      </c>
      <c r="B80" t="s">
        <v>82</v>
      </c>
      <c r="C80" t="s">
        <v>509</v>
      </c>
      <c r="D80" t="s">
        <v>510</v>
      </c>
      <c r="E80">
        <v>1</v>
      </c>
      <c r="F80" t="s">
        <v>511</v>
      </c>
      <c r="G80" t="s">
        <v>512</v>
      </c>
      <c r="H80">
        <v>1</v>
      </c>
    </row>
    <row r="81" spans="1:8" x14ac:dyDescent="0.35">
      <c r="A81" t="s">
        <v>94</v>
      </c>
      <c r="B81" t="s">
        <v>82</v>
      </c>
      <c r="C81" t="s">
        <v>509</v>
      </c>
      <c r="D81" t="s">
        <v>513</v>
      </c>
      <c r="E81">
        <v>1</v>
      </c>
      <c r="F81" t="s">
        <v>514</v>
      </c>
      <c r="G81" t="s">
        <v>515</v>
      </c>
      <c r="H81">
        <v>0</v>
      </c>
    </row>
    <row r="82" spans="1:8" x14ac:dyDescent="0.35">
      <c r="A82" t="s">
        <v>92</v>
      </c>
      <c r="B82" t="s">
        <v>82</v>
      </c>
      <c r="C82" t="s">
        <v>509</v>
      </c>
      <c r="D82" t="s">
        <v>510</v>
      </c>
      <c r="E82">
        <v>2</v>
      </c>
      <c r="F82" t="s">
        <v>516</v>
      </c>
      <c r="G82" t="s">
        <v>517</v>
      </c>
      <c r="H82">
        <v>1</v>
      </c>
    </row>
    <row r="83" spans="1:8" x14ac:dyDescent="0.35">
      <c r="A83" t="s">
        <v>95</v>
      </c>
      <c r="B83" t="s">
        <v>82</v>
      </c>
      <c r="C83" t="s">
        <v>509</v>
      </c>
      <c r="D83" t="s">
        <v>513</v>
      </c>
      <c r="E83">
        <v>2</v>
      </c>
      <c r="F83" t="s">
        <v>518</v>
      </c>
      <c r="G83" t="s">
        <v>519</v>
      </c>
      <c r="H83">
        <v>4</v>
      </c>
    </row>
    <row r="84" spans="1:8" x14ac:dyDescent="0.35">
      <c r="A84" t="s">
        <v>93</v>
      </c>
      <c r="B84" t="s">
        <v>82</v>
      </c>
      <c r="C84" t="s">
        <v>509</v>
      </c>
      <c r="D84" t="s">
        <v>510</v>
      </c>
      <c r="E84">
        <v>3</v>
      </c>
      <c r="F84" t="s">
        <v>520</v>
      </c>
      <c r="G84" t="s">
        <v>521</v>
      </c>
      <c r="H84">
        <v>0</v>
      </c>
    </row>
    <row r="85" spans="1:8" x14ac:dyDescent="0.35">
      <c r="A85" t="s">
        <v>96</v>
      </c>
      <c r="B85" t="s">
        <v>82</v>
      </c>
      <c r="C85" t="s">
        <v>509</v>
      </c>
      <c r="D85" t="s">
        <v>513</v>
      </c>
      <c r="E85">
        <v>3</v>
      </c>
      <c r="F85" t="s">
        <v>522</v>
      </c>
      <c r="G85" t="s">
        <v>523</v>
      </c>
      <c r="H85">
        <v>4</v>
      </c>
    </row>
    <row r="86" spans="1:8" x14ac:dyDescent="0.35">
      <c r="A86" t="s">
        <v>98</v>
      </c>
      <c r="B86" t="s">
        <v>82</v>
      </c>
      <c r="C86" t="s">
        <v>97</v>
      </c>
      <c r="D86" t="s">
        <v>524</v>
      </c>
      <c r="E86">
        <v>1</v>
      </c>
      <c r="F86" t="s">
        <v>525</v>
      </c>
      <c r="G86" t="s">
        <v>526</v>
      </c>
      <c r="H86">
        <v>1</v>
      </c>
    </row>
    <row r="87" spans="1:8" x14ac:dyDescent="0.35">
      <c r="A87" t="s">
        <v>101</v>
      </c>
      <c r="B87" t="s">
        <v>82</v>
      </c>
      <c r="C87" t="s">
        <v>97</v>
      </c>
      <c r="D87" t="s">
        <v>527</v>
      </c>
      <c r="E87">
        <v>1</v>
      </c>
      <c r="F87" t="s">
        <v>528</v>
      </c>
      <c r="G87" t="s">
        <v>529</v>
      </c>
      <c r="H87">
        <v>6</v>
      </c>
    </row>
    <row r="88" spans="1:8" x14ac:dyDescent="0.35">
      <c r="A88" t="s">
        <v>99</v>
      </c>
      <c r="B88" t="s">
        <v>82</v>
      </c>
      <c r="C88" t="s">
        <v>97</v>
      </c>
      <c r="D88" t="s">
        <v>524</v>
      </c>
      <c r="E88">
        <v>2</v>
      </c>
      <c r="F88" t="s">
        <v>530</v>
      </c>
      <c r="G88" t="s">
        <v>531</v>
      </c>
      <c r="H88">
        <v>1</v>
      </c>
    </row>
    <row r="89" spans="1:8" x14ac:dyDescent="0.35">
      <c r="A89" t="s">
        <v>102</v>
      </c>
      <c r="B89" t="s">
        <v>82</v>
      </c>
      <c r="C89" t="s">
        <v>97</v>
      </c>
      <c r="D89" t="s">
        <v>527</v>
      </c>
      <c r="E89">
        <v>2</v>
      </c>
      <c r="F89" t="s">
        <v>532</v>
      </c>
      <c r="G89" t="s">
        <v>533</v>
      </c>
      <c r="H89">
        <v>0</v>
      </c>
    </row>
    <row r="90" spans="1:8" x14ac:dyDescent="0.35">
      <c r="A90" t="s">
        <v>100</v>
      </c>
      <c r="B90" t="s">
        <v>82</v>
      </c>
      <c r="C90" t="s">
        <v>97</v>
      </c>
      <c r="D90" t="s">
        <v>524</v>
      </c>
      <c r="E90">
        <v>3</v>
      </c>
      <c r="F90" t="s">
        <v>534</v>
      </c>
      <c r="G90" t="s">
        <v>535</v>
      </c>
      <c r="H90">
        <v>22</v>
      </c>
    </row>
    <row r="91" spans="1:8" x14ac:dyDescent="0.35">
      <c r="A91" t="s">
        <v>103</v>
      </c>
      <c r="B91" t="s">
        <v>82</v>
      </c>
      <c r="C91" t="s">
        <v>97</v>
      </c>
      <c r="D91" t="s">
        <v>527</v>
      </c>
      <c r="E91">
        <v>3</v>
      </c>
      <c r="F91" t="s">
        <v>536</v>
      </c>
      <c r="G91" t="s">
        <v>537</v>
      </c>
      <c r="H91">
        <v>23</v>
      </c>
    </row>
  </sheetData>
  <autoFilter ref="A1:H91" xr:uid="{00000000-0009-0000-0000-000007000000}"/>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4"/>
  <sheetViews>
    <sheetView topLeftCell="B1" zoomScaleNormal="100" workbookViewId="0">
      <selection activeCell="C17" sqref="C17"/>
    </sheetView>
  </sheetViews>
  <sheetFormatPr defaultColWidth="8.796875" defaultRowHeight="12.75" x14ac:dyDescent="0.35"/>
  <cols>
    <col min="1" max="1" width="32.46484375" bestFit="1" customWidth="1"/>
    <col min="2" max="2" width="28" bestFit="1" customWidth="1"/>
    <col min="3" max="3" width="28.796875" bestFit="1" customWidth="1"/>
    <col min="4" max="4" width="26.46484375" bestFit="1" customWidth="1"/>
    <col min="5" max="5" width="28.796875" bestFit="1" customWidth="1"/>
    <col min="6" max="6" width="32.796875" bestFit="1" customWidth="1"/>
    <col min="7" max="7" width="32.46484375" bestFit="1" customWidth="1"/>
    <col min="8" max="12" width="10.46484375" bestFit="1" customWidth="1"/>
    <col min="13" max="18" width="10.6640625" bestFit="1" customWidth="1"/>
  </cols>
  <sheetData>
    <row r="1" spans="1:18" x14ac:dyDescent="0.35">
      <c r="A1" t="s">
        <v>32</v>
      </c>
      <c r="B1" t="s">
        <v>35</v>
      </c>
      <c r="C1" t="s">
        <v>33</v>
      </c>
      <c r="D1" t="s">
        <v>36</v>
      </c>
      <c r="E1" t="s">
        <v>34</v>
      </c>
      <c r="F1" t="s">
        <v>37</v>
      </c>
      <c r="G1" t="s">
        <v>25</v>
      </c>
      <c r="H1" t="s">
        <v>28</v>
      </c>
      <c r="I1" t="s">
        <v>26</v>
      </c>
      <c r="J1" t="s">
        <v>29</v>
      </c>
      <c r="K1" t="s">
        <v>27</v>
      </c>
      <c r="L1" t="s">
        <v>30</v>
      </c>
      <c r="M1" t="s">
        <v>18</v>
      </c>
      <c r="N1" t="s">
        <v>21</v>
      </c>
      <c r="O1" t="s">
        <v>19</v>
      </c>
      <c r="P1" t="s">
        <v>22</v>
      </c>
      <c r="Q1" t="s">
        <v>20</v>
      </c>
      <c r="R1" t="s">
        <v>23</v>
      </c>
    </row>
    <row r="3" spans="1:18" x14ac:dyDescent="0.35">
      <c r="A3" t="str">
        <f t="array" aca="1" ref="A3:A6" ca="1">INDIRECT("Ans"&amp;CHAR(65+VLOOKUP(A1,'imp-questions'!$A:$H,8,FALSE)))</f>
        <v>No</v>
      </c>
      <c r="B3" t="str">
        <f t="array" aca="1" ref="B3:B6" ca="1">INDIRECT("Ans"&amp;CHAR(65+VLOOKUP(B1,'imp-questions'!$A:$H,8,FALSE)))</f>
        <v>No</v>
      </c>
      <c r="C3" t="str">
        <f t="array" aca="1" ref="C3:C6" ca="1">INDIRECT("Ans"&amp;CHAR(65+VLOOKUP(C1,'imp-questions'!$A:$H,8,FALSE)))</f>
        <v>No</v>
      </c>
      <c r="D3" t="str">
        <f t="array" aca="1" ref="D3:D6" ca="1">INDIRECT("Ans"&amp;CHAR(65+VLOOKUP(D1,'imp-questions'!$A:$H,8,FALSE)))</f>
        <v>No</v>
      </c>
      <c r="E3" t="str">
        <f t="array" aca="1" ref="E3:E6" ca="1">INDIRECT("Ans"&amp;CHAR(65+VLOOKUP(E1,'imp-questions'!$A:$H,8,FALSE)))</f>
        <v>No</v>
      </c>
      <c r="F3" t="str">
        <f t="array" aca="1" ref="F3:F6" ca="1">INDIRECT("Ans"&amp;CHAR(65+VLOOKUP(F1,'imp-questions'!$A:$H,8,FALSE)))</f>
        <v>No</v>
      </c>
      <c r="G3" t="str">
        <f t="array" aca="1" ref="G3:G6" ca="1">INDIRECT("Ans"&amp;CHAR(65+VLOOKUP(G1,'imp-questions'!$A:$H,8,FALSE)))</f>
        <v>No</v>
      </c>
      <c r="H3" t="str">
        <f t="array" aca="1" ref="H3:H6" ca="1">INDIRECT("Ans"&amp;CHAR(65+VLOOKUP(H1,'imp-questions'!$A:$H,8,FALSE)))</f>
        <v>No</v>
      </c>
      <c r="I3" t="str">
        <f t="array" aca="1" ref="I3:I6" ca="1">INDIRECT("Ans"&amp;CHAR(65+VLOOKUP(I1,'imp-questions'!$A:$H,8,FALSE)))</f>
        <v>No</v>
      </c>
      <c r="J3" t="str">
        <f t="array" aca="1" ref="J3:J6" ca="1">INDIRECT("Ans"&amp;CHAR(65+VLOOKUP(J1,'imp-questions'!$A:$H,8,FALSE)))</f>
        <v>No</v>
      </c>
      <c r="K3" t="str">
        <f t="array" aca="1" ref="K3:K6" ca="1">INDIRECT("Ans"&amp;CHAR(65+VLOOKUP(K1,'imp-questions'!$A:$H,8,FALSE)))</f>
        <v>No</v>
      </c>
      <c r="L3" t="str">
        <f t="array" aca="1" ref="L3:L6" ca="1">INDIRECT("Ans"&amp;CHAR(65+VLOOKUP(L1,'imp-questions'!$A:$H,8,FALSE)))</f>
        <v>No</v>
      </c>
      <c r="M3" t="str">
        <f t="array" aca="1" ref="M3:M6" ca="1">INDIRECT("Ans"&amp;CHAR(65+VLOOKUP(M1,'imp-questions'!$A:$H,8,FALSE)))</f>
        <v>No</v>
      </c>
      <c r="N3" t="str">
        <f t="array" aca="1" ref="N3:N6" ca="1">INDIRECT("Ans"&amp;CHAR(65+VLOOKUP(N1,'imp-questions'!$A:$H,8,FALSE)))</f>
        <v>No</v>
      </c>
      <c r="O3" t="str">
        <f t="array" aca="1" ref="O3:O6" ca="1">INDIRECT("Ans"&amp;CHAR(65+VLOOKUP(O1,'imp-questions'!$A:$H,8,FALSE)))</f>
        <v>No</v>
      </c>
      <c r="P3" t="str">
        <f t="array" aca="1" ref="P3:P6" ca="1">INDIRECT("Ans"&amp;CHAR(65+VLOOKUP(P1,'imp-questions'!$A:$H,8,FALSE)))</f>
        <v>No</v>
      </c>
      <c r="Q3" t="str">
        <f t="array" aca="1" ref="Q3:Q6" ca="1">INDIRECT("Ans"&amp;CHAR(65+VLOOKUP(Q1,'imp-questions'!$A:$H,8,FALSE)))</f>
        <v>No</v>
      </c>
      <c r="R3" t="str">
        <f t="array" aca="1" ref="R3:R6" ca="1">INDIRECT("Ans"&amp;CHAR(65+VLOOKUP(R1,'imp-questions'!$A:$H,8,FALSE)))</f>
        <v>No</v>
      </c>
    </row>
    <row r="4" spans="1:18" x14ac:dyDescent="0.35">
      <c r="A4" t="str">
        <f ca="1"/>
        <v>Yes, some of them</v>
      </c>
      <c r="B4" t="str">
        <f ca="1"/>
        <v>Yes, for some teams</v>
      </c>
      <c r="C4" t="str">
        <f ca="1"/>
        <v>Yes, for some of the training</v>
      </c>
      <c r="D4" t="str">
        <f ca="1"/>
        <v>Yes, we started implementing it</v>
      </c>
      <c r="E4" t="str">
        <f ca="1"/>
        <v>Yes, for some of the training</v>
      </c>
      <c r="F4" t="str">
        <f ca="1"/>
        <v>Yes, we started implementing it</v>
      </c>
      <c r="G4" t="str">
        <f ca="1"/>
        <v>Yes, for some applications</v>
      </c>
      <c r="H4" t="str">
        <f ca="1"/>
        <v>Yes, for some applications</v>
      </c>
      <c r="I4" t="str">
        <f ca="1"/>
        <v>Yes, some content</v>
      </c>
      <c r="J4" t="str">
        <f ca="1"/>
        <v>Yes, for some obligations</v>
      </c>
      <c r="K4" t="str">
        <f ca="1"/>
        <v>Yes, but reporting is ad-hoc</v>
      </c>
      <c r="L4" t="str">
        <f ca="1"/>
        <v>Yes, but reporting is ad-hoc</v>
      </c>
      <c r="M4" t="str">
        <f ca="1"/>
        <v>Yes, it covers general risks</v>
      </c>
      <c r="N4" t="str">
        <f ca="1"/>
        <v>Yes, for one metrics category</v>
      </c>
      <c r="O4" t="str">
        <f ca="1"/>
        <v>Yes, we review it annually</v>
      </c>
      <c r="P4" t="str">
        <f ca="1"/>
        <v>Yes, for some of the metrics</v>
      </c>
      <c r="Q4" t="str">
        <f ca="1"/>
        <v>Yes, but review is ad-hoc</v>
      </c>
      <c r="R4" t="str">
        <f ca="1"/>
        <v>Yes, but review is ad-hoc</v>
      </c>
    </row>
    <row r="5" spans="1:18" x14ac:dyDescent="0.35">
      <c r="A5" t="str">
        <f ca="1"/>
        <v>Yes, at least half of them</v>
      </c>
      <c r="B5" t="str">
        <f ca="1"/>
        <v>Yes, for at least half of the teams</v>
      </c>
      <c r="C5" t="str">
        <f ca="1"/>
        <v>Yes, for at least half of the training</v>
      </c>
      <c r="D5" t="str">
        <f ca="1"/>
        <v>Yes, for part of the organization</v>
      </c>
      <c r="E5" t="str">
        <f ca="1"/>
        <v>Yes, for at least half of the training</v>
      </c>
      <c r="F5" t="str">
        <f ca="1"/>
        <v>Yes, for part of the organization</v>
      </c>
      <c r="G5" t="str">
        <f ca="1"/>
        <v>Yes, for at least half of the applications</v>
      </c>
      <c r="H5" t="str">
        <f ca="1"/>
        <v>Yes, for at least half of the applications</v>
      </c>
      <c r="I5" t="str">
        <f ca="1"/>
        <v>Yes, at least half of the content</v>
      </c>
      <c r="J5" t="str">
        <f ca="1"/>
        <v>Yes, for at least half of the obligations</v>
      </c>
      <c r="K5" t="str">
        <f ca="1"/>
        <v>Yes, we report at regular times</v>
      </c>
      <c r="L5" t="str">
        <f ca="1"/>
        <v>Yes, we report at regular times</v>
      </c>
      <c r="M5" t="str">
        <f ca="1"/>
        <v>Yes, it covers organization-specific risks</v>
      </c>
      <c r="N5" t="str">
        <f ca="1"/>
        <v>Yes, for two metrics categories</v>
      </c>
      <c r="O5" t="str">
        <f ca="1"/>
        <v>Yes, we consult the plan before making significant decisions</v>
      </c>
      <c r="P5" t="str">
        <f ca="1"/>
        <v>Yes, for at least half of the metrics</v>
      </c>
      <c r="Q5" t="str">
        <f ca="1"/>
        <v>Yes, we review it at regular times</v>
      </c>
      <c r="R5" t="str">
        <f ca="1"/>
        <v>Yes, we review it at regular times</v>
      </c>
    </row>
    <row r="6" spans="1:18" x14ac:dyDescent="0.35">
      <c r="A6" t="str">
        <f ca="1"/>
        <v>Yes, most or all of them</v>
      </c>
      <c r="B6" t="str">
        <f ca="1"/>
        <v>Yes, for most or all of the teams</v>
      </c>
      <c r="C6" t="str">
        <f ca="1"/>
        <v>Yes, for most or all of the training</v>
      </c>
      <c r="D6" t="str">
        <f ca="1"/>
        <v>Yes, for the entire organization</v>
      </c>
      <c r="E6" t="str">
        <f ca="1"/>
        <v>Yes, for most or all of the training</v>
      </c>
      <c r="F6" t="str">
        <f ca="1"/>
        <v>Yes, for the entire organization</v>
      </c>
      <c r="G6" t="str">
        <f ca="1"/>
        <v>Yes, for most or all of the applications</v>
      </c>
      <c r="H6" t="str">
        <f ca="1"/>
        <v>Yes, for most or all of the applications</v>
      </c>
      <c r="I6" t="str">
        <f ca="1"/>
        <v>Yes, most or all of the content</v>
      </c>
      <c r="J6" t="str">
        <f ca="1"/>
        <v>Yes, for most or all of the obligations</v>
      </c>
      <c r="K6" t="str">
        <f ca="1"/>
        <v>Yes, we report at least annually</v>
      </c>
      <c r="L6" t="str">
        <f ca="1"/>
        <v>Yes, we report at least annually</v>
      </c>
      <c r="M6" t="str">
        <f ca="1"/>
        <v>Yes, it covers risks and opportunities</v>
      </c>
      <c r="N6" t="str">
        <f ca="1"/>
        <v>Yes, for all three metrics categories</v>
      </c>
      <c r="O6" t="str">
        <f ca="1"/>
        <v>Yes, we consult the plan often, and it is aligned with our application security strategy</v>
      </c>
      <c r="P6" t="str">
        <f ca="1"/>
        <v>Yes, for most or all of the metrics</v>
      </c>
      <c r="Q6" t="str">
        <f ca="1"/>
        <v>Yes, we review it at least annually</v>
      </c>
      <c r="R6" t="str">
        <f ca="1"/>
        <v>Yes, we review it at least annually</v>
      </c>
    </row>
    <row r="8" spans="1:18" x14ac:dyDescent="0.35">
      <c r="A8" t="s">
        <v>54</v>
      </c>
      <c r="B8" t="s">
        <v>57</v>
      </c>
      <c r="C8" t="s">
        <v>55</v>
      </c>
      <c r="D8" t="s">
        <v>58</v>
      </c>
      <c r="E8" t="s">
        <v>56</v>
      </c>
      <c r="F8" t="s">
        <v>59</v>
      </c>
      <c r="G8" t="s">
        <v>47</v>
      </c>
      <c r="H8" t="s">
        <v>50</v>
      </c>
      <c r="I8" t="s">
        <v>48</v>
      </c>
      <c r="J8" t="s">
        <v>51</v>
      </c>
      <c r="K8" t="s">
        <v>49</v>
      </c>
      <c r="L8" t="s">
        <v>52</v>
      </c>
      <c r="M8" t="s">
        <v>40</v>
      </c>
      <c r="N8" t="s">
        <v>43</v>
      </c>
      <c r="O8" t="s">
        <v>41</v>
      </c>
      <c r="P8" t="s">
        <v>44</v>
      </c>
      <c r="Q8" t="s">
        <v>42</v>
      </c>
      <c r="R8" t="s">
        <v>45</v>
      </c>
    </row>
    <row r="10" spans="1:18" x14ac:dyDescent="0.35">
      <c r="A10" t="str">
        <f t="array" aca="1" ref="A10:A13" ca="1">INDIRECT("Ans"&amp;CHAR(65+VLOOKUP(A8,'imp-questions'!$A:$H,8,FALSE)))</f>
        <v>No</v>
      </c>
      <c r="B10" t="str">
        <f t="array" aca="1" ref="B10:B13" ca="1">INDIRECT("Ans"&amp;CHAR(65+VLOOKUP(B8,'imp-questions'!$A:$H,8,FALSE)))</f>
        <v>No</v>
      </c>
      <c r="C10" t="str">
        <f t="array" aca="1" ref="C10:C13" ca="1">INDIRECT("Ans"&amp;CHAR(65+VLOOKUP(C8,'imp-questions'!$A:$H,8,FALSE)))</f>
        <v>No</v>
      </c>
      <c r="D10" t="str">
        <f t="array" aca="1" ref="D10:D13" ca="1">INDIRECT("Ans"&amp;CHAR(65+VLOOKUP(D8,'imp-questions'!$A:$H,8,FALSE)))</f>
        <v>No</v>
      </c>
      <c r="E10" t="str">
        <f t="array" aca="1" ref="E10:E13" ca="1">INDIRECT("Ans"&amp;CHAR(65+VLOOKUP(E8,'imp-questions'!$A:$H,8,FALSE)))</f>
        <v>No</v>
      </c>
      <c r="F10" t="str">
        <f t="array" aca="1" ref="F10:F13" ca="1">INDIRECT("Ans"&amp;CHAR(65+VLOOKUP(F8,'imp-questions'!$A:$H,8,FALSE)))</f>
        <v>No</v>
      </c>
      <c r="G10" t="str">
        <f t="array" aca="1" ref="G10:G13" ca="1">INDIRECT("Ans"&amp;CHAR(65+VLOOKUP(G8,'imp-questions'!$A:$H,8,FALSE)))</f>
        <v>No</v>
      </c>
      <c r="H10" t="str">
        <f t="array" aca="1" ref="H10:H13" ca="1">INDIRECT("Ans"&amp;CHAR(65+VLOOKUP(H8,'imp-questions'!$A:$H,8,FALSE)))</f>
        <v>No</v>
      </c>
      <c r="I10" t="str">
        <f t="array" aca="1" ref="I10:I13" ca="1">INDIRECT("Ans"&amp;CHAR(65+VLOOKUP(I8,'imp-questions'!$A:$H,8,FALSE)))</f>
        <v>No</v>
      </c>
      <c r="J10" t="str">
        <f t="array" aca="1" ref="J10:J13" ca="1">INDIRECT("Ans"&amp;CHAR(65+VLOOKUP(J8,'imp-questions'!$A:$H,8,FALSE)))</f>
        <v>No</v>
      </c>
      <c r="K10" t="str">
        <f t="array" aca="1" ref="K10:K13" ca="1">INDIRECT("Ans"&amp;CHAR(65+VLOOKUP(K8,'imp-questions'!$A:$H,8,FALSE)))</f>
        <v>No</v>
      </c>
      <c r="L10" t="str">
        <f t="array" aca="1" ref="L10:L13" ca="1">INDIRECT("Ans"&amp;CHAR(65+VLOOKUP(L8,'imp-questions'!$A:$H,8,FALSE)))</f>
        <v>No</v>
      </c>
      <c r="M10" t="str">
        <f t="array" aca="1" ref="M10:M13" ca="1">INDIRECT("Ans"&amp;CHAR(65+VLOOKUP(M8,'imp-questions'!$A:$H,8,FALSE)))</f>
        <v>No</v>
      </c>
      <c r="N10" t="str">
        <f t="array" aca="1" ref="N10:N13" ca="1">INDIRECT("Ans"&amp;CHAR(65+VLOOKUP(N8,'imp-questions'!$A:$H,8,FALSE)))</f>
        <v>No</v>
      </c>
      <c r="O10" t="str">
        <f t="array" aca="1" ref="O10:O13" ca="1">INDIRECT("Ans"&amp;CHAR(65+VLOOKUP(O8,'imp-questions'!$A:$H,8,FALSE)))</f>
        <v>No</v>
      </c>
      <c r="P10" t="str">
        <f t="array" aca="1" ref="P10:P13" ca="1">INDIRECT("Ans"&amp;CHAR(65+VLOOKUP(P8,'imp-questions'!$A:$H,8,FALSE)))</f>
        <v>No</v>
      </c>
      <c r="Q10" t="str">
        <f t="array" aca="1" ref="Q10:Q13" ca="1">INDIRECT("Ans"&amp;CHAR(65+VLOOKUP(Q8,'imp-questions'!$A:$H,8,FALSE)))</f>
        <v>No</v>
      </c>
      <c r="R10" t="str">
        <f t="array" aca="1" ref="R10:R13" ca="1">INDIRECT("Ans"&amp;CHAR(65+VLOOKUP(R8,'imp-questions'!$A:$H,8,FALSE)))</f>
        <v>No</v>
      </c>
    </row>
    <row r="11" spans="1:18" x14ac:dyDescent="0.35">
      <c r="A11" t="str">
        <f ca="1"/>
        <v>Yes, for some applications</v>
      </c>
      <c r="B11" t="str">
        <f ca="1"/>
        <v>Yes, for some applications</v>
      </c>
      <c r="C11" t="str">
        <f ca="1"/>
        <v>Yes, for some applications</v>
      </c>
      <c r="D11" t="str">
        <f ca="1"/>
        <v>Yes, for some of the technology domains</v>
      </c>
      <c r="E11" t="str">
        <f ca="1"/>
        <v>Yes, for some applications</v>
      </c>
      <c r="F11" t="str">
        <f ca="1"/>
        <v>Yes, for some applications</v>
      </c>
      <c r="G11" t="str">
        <f ca="1"/>
        <v>Yes, for some applications</v>
      </c>
      <c r="H11" t="str">
        <f ca="1"/>
        <v>Yes, some of the time</v>
      </c>
      <c r="I11" t="str">
        <f ca="1"/>
        <v>Yes, some of the time</v>
      </c>
      <c r="J11" t="str">
        <f ca="1"/>
        <v>Yes, some of the time</v>
      </c>
      <c r="K11" t="str">
        <f ca="1"/>
        <v>Yes, for some applications</v>
      </c>
      <c r="L11" t="str">
        <f ca="1"/>
        <v>Yes, some of the time</v>
      </c>
      <c r="M11" t="str">
        <f ca="1"/>
        <v>Yes, some of them</v>
      </c>
      <c r="N11" t="str">
        <f ca="1"/>
        <v>Yes, some of them</v>
      </c>
      <c r="O11" t="str">
        <f ca="1"/>
        <v>Yes, for some applications</v>
      </c>
      <c r="P11" t="str">
        <f ca="1"/>
        <v>Yes, for some applications</v>
      </c>
      <c r="Q11" t="str">
        <f ca="1"/>
        <v>Yes, sporadically</v>
      </c>
      <c r="R11" t="str">
        <f ca="1"/>
        <v>Yes, but review is ad-hoc</v>
      </c>
    </row>
    <row r="12" spans="1:18" x14ac:dyDescent="0.35">
      <c r="A12" t="str">
        <f ca="1"/>
        <v>Yes, for at least half of the applications</v>
      </c>
      <c r="B12" t="str">
        <f ca="1"/>
        <v>Yes, for at least half of the applications</v>
      </c>
      <c r="C12" t="str">
        <f ca="1"/>
        <v>Yes, for at least half of the applications</v>
      </c>
      <c r="D12" t="str">
        <f ca="1"/>
        <v>Yes, for at least half of the technology domains</v>
      </c>
      <c r="E12" t="str">
        <f ca="1"/>
        <v>Yes, for at least half of the applications</v>
      </c>
      <c r="F12" t="str">
        <f ca="1"/>
        <v>Yes, for at least half of the applications</v>
      </c>
      <c r="G12" t="str">
        <f ca="1"/>
        <v>Yes, for at least half of the applications</v>
      </c>
      <c r="H12" t="str">
        <f ca="1"/>
        <v>Yes, at least half of the time</v>
      </c>
      <c r="I12" t="str">
        <f ca="1"/>
        <v>Yes, at least half of the time</v>
      </c>
      <c r="J12" t="str">
        <f ca="1"/>
        <v>Yes, at least half of the time</v>
      </c>
      <c r="K12" t="str">
        <f ca="1"/>
        <v>Yes, for at least half of the applications</v>
      </c>
      <c r="L12" t="str">
        <f ca="1"/>
        <v>Yes, at least half of the time</v>
      </c>
      <c r="M12" t="str">
        <f ca="1"/>
        <v>Yes, at least half of them</v>
      </c>
      <c r="N12" t="str">
        <f ca="1"/>
        <v>Yes, at least half of them</v>
      </c>
      <c r="O12" t="str">
        <f ca="1"/>
        <v>Yes, for at least half of the applications</v>
      </c>
      <c r="P12" t="str">
        <f ca="1"/>
        <v>Yes, for at least half of the applications</v>
      </c>
      <c r="Q12" t="str">
        <f ca="1"/>
        <v>Yes, upon change of the application</v>
      </c>
      <c r="R12" t="str">
        <f ca="1"/>
        <v>Yes, we review it at regular times</v>
      </c>
    </row>
    <row r="13" spans="1:18" x14ac:dyDescent="0.35">
      <c r="A13" t="str">
        <f ca="1"/>
        <v>Yes, for most or all of the applications</v>
      </c>
      <c r="B13" t="str">
        <f ca="1"/>
        <v>Yes, for most or all of the applications</v>
      </c>
      <c r="C13" t="str">
        <f ca="1"/>
        <v>Yes, for most or all of the applications</v>
      </c>
      <c r="D13" t="str">
        <f ca="1"/>
        <v>Yes, for most or all of the technology domains</v>
      </c>
      <c r="E13" t="str">
        <f ca="1"/>
        <v>Yes, for most or all of the applications</v>
      </c>
      <c r="F13" t="str">
        <f ca="1"/>
        <v>Yes, for most or all of the applications</v>
      </c>
      <c r="G13" t="str">
        <f ca="1"/>
        <v>Yes, for most or all of the applications</v>
      </c>
      <c r="H13" t="str">
        <f ca="1"/>
        <v>Yes, most or all of the time</v>
      </c>
      <c r="I13" t="str">
        <f ca="1"/>
        <v>Yes, most or all of the time</v>
      </c>
      <c r="J13" t="str">
        <f ca="1"/>
        <v>Yes, most or all of the time</v>
      </c>
      <c r="K13" t="str">
        <f ca="1"/>
        <v>Yes, for most or all of the applications</v>
      </c>
      <c r="L13" t="str">
        <f ca="1"/>
        <v>Yes, most or all of the time</v>
      </c>
      <c r="M13" t="str">
        <f ca="1"/>
        <v>Yes, most or all of them</v>
      </c>
      <c r="N13" t="str">
        <f ca="1"/>
        <v>Yes, most or all of them</v>
      </c>
      <c r="O13" t="str">
        <f ca="1"/>
        <v>Yes, for most or all of the applications</v>
      </c>
      <c r="P13" t="str">
        <f ca="1"/>
        <v>Yes, for most or all of the applications</v>
      </c>
      <c r="Q13" t="str">
        <f ca="1"/>
        <v>Yes, at least annually</v>
      </c>
      <c r="R13" t="str">
        <f ca="1"/>
        <v>Yes, we review it at least annually</v>
      </c>
    </row>
    <row r="15" spans="1:18" x14ac:dyDescent="0.35">
      <c r="A15" t="s">
        <v>76</v>
      </c>
      <c r="B15" t="s">
        <v>79</v>
      </c>
      <c r="C15" t="s">
        <v>77</v>
      </c>
      <c r="D15" t="s">
        <v>80</v>
      </c>
      <c r="E15" t="s">
        <v>78</v>
      </c>
      <c r="F15" t="s">
        <v>81</v>
      </c>
      <c r="G15" t="s">
        <v>62</v>
      </c>
      <c r="H15" t="s">
        <v>65</v>
      </c>
      <c r="I15" t="s">
        <v>63</v>
      </c>
      <c r="J15" t="s">
        <v>66</v>
      </c>
      <c r="K15" t="s">
        <v>64</v>
      </c>
      <c r="L15" t="s">
        <v>67</v>
      </c>
      <c r="M15" t="s">
        <v>69</v>
      </c>
      <c r="N15" t="s">
        <v>72</v>
      </c>
      <c r="O15" t="s">
        <v>70</v>
      </c>
      <c r="P15" t="s">
        <v>73</v>
      </c>
      <c r="Q15" t="s">
        <v>71</v>
      </c>
      <c r="R15" t="s">
        <v>74</v>
      </c>
    </row>
    <row r="17" spans="1:18" x14ac:dyDescent="0.35">
      <c r="A17" t="str">
        <f t="array" aca="1" ref="A17:A20" ca="1">INDIRECT("Ans"&amp;CHAR(65+VLOOKUP(A15,'imp-questions'!$A:$H,8,FALSE)))</f>
        <v>No</v>
      </c>
      <c r="B17" t="str">
        <f t="array" aca="1" ref="B17:B20" ca="1">INDIRECT("Ans"&amp;CHAR(65+VLOOKUP(B15,'imp-questions'!$A:$H,8,FALSE)))</f>
        <v>No</v>
      </c>
      <c r="C17" t="str">
        <f t="array" aca="1" ref="C17:C20" ca="1">INDIRECT("Ans"&amp;CHAR(65+VLOOKUP(C15,'imp-questions'!$A:$H,8,FALSE)))</f>
        <v>No</v>
      </c>
      <c r="D17" t="str">
        <f t="array" aca="1" ref="D17:D20" ca="1">INDIRECT("Ans"&amp;CHAR(65+VLOOKUP(D15,'imp-questions'!$A:$H,8,FALSE)))</f>
        <v>No</v>
      </c>
      <c r="E17" t="str">
        <f t="array" aca="1" ref="E17:E20" ca="1">INDIRECT("Ans"&amp;CHAR(65+VLOOKUP(E15,'imp-questions'!$A:$H,8,FALSE)))</f>
        <v>No</v>
      </c>
      <c r="F17" t="str">
        <f t="array" aca="1" ref="F17:F20" ca="1">INDIRECT("Ans"&amp;CHAR(65+VLOOKUP(F15,'imp-questions'!$A:$H,8,FALSE)))</f>
        <v>No</v>
      </c>
      <c r="G17" t="str">
        <f t="array" aca="1" ref="G17:G20" ca="1">INDIRECT("Ans"&amp;CHAR(65+VLOOKUP(G15,'imp-questions'!$A:$H,8,FALSE)))</f>
        <v>No</v>
      </c>
      <c r="H17" t="str">
        <f t="array" aca="1" ref="H17:H20" ca="1">INDIRECT("Ans"&amp;CHAR(65+VLOOKUP(H15,'imp-questions'!$A:$H,8,FALSE)))</f>
        <v>No</v>
      </c>
      <c r="I17" t="str">
        <f t="array" aca="1" ref="I17:I20" ca="1">INDIRECT("Ans"&amp;CHAR(65+VLOOKUP(I15,'imp-questions'!$A:$H,8,FALSE)))</f>
        <v>No</v>
      </c>
      <c r="J17" t="str">
        <f t="array" aca="1" ref="J17:J20" ca="1">INDIRECT("Ans"&amp;CHAR(65+VLOOKUP(J15,'imp-questions'!$A:$H,8,FALSE)))</f>
        <v>No</v>
      </c>
      <c r="K17" t="str">
        <f t="array" aca="1" ref="K17:K20" ca="1">INDIRECT("Ans"&amp;CHAR(65+VLOOKUP(K15,'imp-questions'!$A:$H,8,FALSE)))</f>
        <v>No</v>
      </c>
      <c r="L17" t="str">
        <f t="array" aca="1" ref="L17:L20" ca="1">INDIRECT("Ans"&amp;CHAR(65+VLOOKUP(L15,'imp-questions'!$A:$H,8,FALSE)))</f>
        <v>No</v>
      </c>
      <c r="M17" t="str">
        <f t="array" aca="1" ref="M17:M20" ca="1">INDIRECT("Ans"&amp;CHAR(65+VLOOKUP(M15,'imp-questions'!$A:$H,8,FALSE)))</f>
        <v>No</v>
      </c>
      <c r="N17" t="str">
        <f t="array" aca="1" ref="N17:N20" ca="1">INDIRECT("Ans"&amp;CHAR(65+VLOOKUP(N15,'imp-questions'!$A:$H,8,FALSE)))</f>
        <v>No</v>
      </c>
      <c r="O17" t="str">
        <f t="array" aca="1" ref="O17:O20" ca="1">INDIRECT("Ans"&amp;CHAR(65+VLOOKUP(O15,'imp-questions'!$A:$H,8,FALSE)))</f>
        <v>No</v>
      </c>
      <c r="P17" t="str">
        <f t="array" aca="1" ref="P17:P20" ca="1">INDIRECT("Ans"&amp;CHAR(65+VLOOKUP(P15,'imp-questions'!$A:$H,8,FALSE)))</f>
        <v>No</v>
      </c>
      <c r="Q17" t="str">
        <f t="array" aca="1" ref="Q17:Q20" ca="1">INDIRECT("Ans"&amp;CHAR(65+VLOOKUP(Q15,'imp-questions'!$A:$H,8,FALSE)))</f>
        <v>No</v>
      </c>
      <c r="R17" t="str">
        <f t="array" aca="1" ref="R17:R20" ca="1">INDIRECT("Ans"&amp;CHAR(65+VLOOKUP(R15,'imp-questions'!$A:$H,8,FALSE)))</f>
        <v>No</v>
      </c>
    </row>
    <row r="18" spans="1:18" x14ac:dyDescent="0.35">
      <c r="A18" t="str">
        <f ca="1"/>
        <v>Yes, for some applications</v>
      </c>
      <c r="B18" t="str">
        <f ca="1"/>
        <v>Yes, for some applications</v>
      </c>
      <c r="C18" t="str">
        <f ca="1"/>
        <v>Yes, for some applications</v>
      </c>
      <c r="D18" t="str">
        <f ca="1"/>
        <v>Yes, for some applications</v>
      </c>
      <c r="E18" t="str">
        <f ca="1"/>
        <v>Yes, for some applications</v>
      </c>
      <c r="F18" t="str">
        <f ca="1"/>
        <v>Yes, for some applications</v>
      </c>
      <c r="G18" t="str">
        <f ca="1"/>
        <v>Yes, for some applications</v>
      </c>
      <c r="H18" t="str">
        <f ca="1"/>
        <v>Yes, for some applications</v>
      </c>
      <c r="I18" t="str">
        <f ca="1"/>
        <v>Yes, for some applications</v>
      </c>
      <c r="J18" t="str">
        <f ca="1"/>
        <v>Yes, for some applications</v>
      </c>
      <c r="K18" t="str">
        <f ca="1"/>
        <v>Yes, for some applications</v>
      </c>
      <c r="L18" t="str">
        <f ca="1"/>
        <v>Yes, for some applications</v>
      </c>
      <c r="M18" t="str">
        <f ca="1"/>
        <v>Yes, for some applications</v>
      </c>
      <c r="N18" t="str">
        <f ca="1"/>
        <v>Yes, for some applications</v>
      </c>
      <c r="O18" t="str">
        <f ca="1"/>
        <v>Yes, for some applications</v>
      </c>
      <c r="P18" t="str">
        <f ca="1"/>
        <v>Yes, for some applications</v>
      </c>
      <c r="Q18" t="str">
        <f ca="1"/>
        <v>Yes, for some applications</v>
      </c>
      <c r="R18" t="str">
        <f ca="1"/>
        <v>Yes, for some applications</v>
      </c>
    </row>
    <row r="19" spans="1:18" x14ac:dyDescent="0.35">
      <c r="A19" t="str">
        <f ca="1"/>
        <v>Yes, for at least half of the applications</v>
      </c>
      <c r="B19" t="str">
        <f ca="1"/>
        <v>Yes, for at least half of the applications</v>
      </c>
      <c r="C19" t="str">
        <f ca="1"/>
        <v>Yes, for at least half of the applications</v>
      </c>
      <c r="D19" t="str">
        <f ca="1"/>
        <v>Yes, for at least half of the applications</v>
      </c>
      <c r="E19" t="str">
        <f ca="1"/>
        <v>Yes, for at least half of the applications</v>
      </c>
      <c r="F19" t="str">
        <f ca="1"/>
        <v>Yes, for at least half of the applications</v>
      </c>
      <c r="G19" t="str">
        <f ca="1"/>
        <v>Yes, for at least half of the applications</v>
      </c>
      <c r="H19" t="str">
        <f ca="1"/>
        <v>Yes, for at least half of the applications</v>
      </c>
      <c r="I19" t="str">
        <f ca="1"/>
        <v>Yes, for at least half of the applications</v>
      </c>
      <c r="J19" t="str">
        <f ca="1"/>
        <v>Yes, for at least half of the applications</v>
      </c>
      <c r="K19" t="str">
        <f ca="1"/>
        <v>Yes, for at least half of the applications</v>
      </c>
      <c r="L19" t="str">
        <f ca="1"/>
        <v>Yes, for at least half of the applications</v>
      </c>
      <c r="M19" t="str">
        <f ca="1"/>
        <v>Yes, for at least half of the applications</v>
      </c>
      <c r="N19" t="str">
        <f ca="1"/>
        <v>Yes, for at least half of the applications</v>
      </c>
      <c r="O19" t="str">
        <f ca="1"/>
        <v>Yes, for at least half of the applications</v>
      </c>
      <c r="P19" t="str">
        <f ca="1"/>
        <v>Yes, for at least half of the applications</v>
      </c>
      <c r="Q19" t="str">
        <f ca="1"/>
        <v>Yes, for at least half of the applications</v>
      </c>
      <c r="R19" t="str">
        <f ca="1"/>
        <v>Yes, for at least half of the applications</v>
      </c>
    </row>
    <row r="20" spans="1:18" x14ac:dyDescent="0.35">
      <c r="A20" t="str">
        <f ca="1"/>
        <v>Yes, for most or all of the applications</v>
      </c>
      <c r="B20" t="str">
        <f ca="1"/>
        <v>Yes, for most or all of the applications</v>
      </c>
      <c r="C20" t="str">
        <f ca="1"/>
        <v>Yes, for most or all of the applications</v>
      </c>
      <c r="D20" t="str">
        <f ca="1"/>
        <v>Yes, for most or all of the applications</v>
      </c>
      <c r="E20" t="str">
        <f ca="1"/>
        <v>Yes, for most or all of the applications</v>
      </c>
      <c r="F20" t="str">
        <f ca="1"/>
        <v>Yes, for most or all of the applications</v>
      </c>
      <c r="G20" t="str">
        <f ca="1"/>
        <v>Yes, for most or all of the applications</v>
      </c>
      <c r="H20" t="str">
        <f ca="1"/>
        <v>Yes, for most or all of the applications</v>
      </c>
      <c r="I20" t="str">
        <f ca="1"/>
        <v>Yes, for most or all of the applications</v>
      </c>
      <c r="J20" t="str">
        <f ca="1"/>
        <v>Yes, for most or all of the applications</v>
      </c>
      <c r="K20" t="str">
        <f ca="1"/>
        <v>Yes, for most or all of the applications</v>
      </c>
      <c r="L20" t="str">
        <f ca="1"/>
        <v>Yes, for most or all of the applications</v>
      </c>
      <c r="M20" t="str">
        <f ca="1"/>
        <v>Yes, for most or all of the applications</v>
      </c>
      <c r="N20" t="str">
        <f ca="1"/>
        <v>Yes, for most or all of the applications</v>
      </c>
      <c r="O20" t="str">
        <f ca="1"/>
        <v>Yes, for most or all of the applications</v>
      </c>
      <c r="P20" t="str">
        <f ca="1"/>
        <v>Yes, for most or all of the applications</v>
      </c>
      <c r="Q20" t="str">
        <f ca="1"/>
        <v>Yes, for most or all of the applications</v>
      </c>
      <c r="R20" t="str">
        <f ca="1"/>
        <v>Yes, for most or all of the applications</v>
      </c>
    </row>
    <row r="22" spans="1:18" x14ac:dyDescent="0.35">
      <c r="A22" t="s">
        <v>84</v>
      </c>
      <c r="B22" t="s">
        <v>87</v>
      </c>
      <c r="C22" t="s">
        <v>85</v>
      </c>
      <c r="D22" t="s">
        <v>88</v>
      </c>
      <c r="E22" t="s">
        <v>86</v>
      </c>
      <c r="F22" t="s">
        <v>89</v>
      </c>
      <c r="G22" t="s">
        <v>91</v>
      </c>
      <c r="H22" t="s">
        <v>94</v>
      </c>
      <c r="I22" t="s">
        <v>92</v>
      </c>
      <c r="J22" t="s">
        <v>95</v>
      </c>
      <c r="K22" t="s">
        <v>93</v>
      </c>
      <c r="L22" t="s">
        <v>96</v>
      </c>
      <c r="M22" t="s">
        <v>98</v>
      </c>
      <c r="N22" t="s">
        <v>101</v>
      </c>
      <c r="O22" t="s">
        <v>99</v>
      </c>
      <c r="P22" t="s">
        <v>102</v>
      </c>
      <c r="Q22" t="s">
        <v>100</v>
      </c>
      <c r="R22" t="s">
        <v>103</v>
      </c>
    </row>
    <row r="24" spans="1:18" x14ac:dyDescent="0.35">
      <c r="A24" t="str">
        <f t="array" aca="1" ref="A24:A27" ca="1">INDIRECT("Ans"&amp;CHAR(65+VLOOKUP(A22,'imp-questions'!$A:$H,8,FALSE)))</f>
        <v>No</v>
      </c>
      <c r="B24" t="str">
        <f t="array" aca="1" ref="B24:B27" ca="1">INDIRECT("Ans"&amp;CHAR(65+VLOOKUP(B22,'imp-questions'!$A:$H,8,FALSE)))</f>
        <v>No</v>
      </c>
      <c r="C24" t="str">
        <f t="array" aca="1" ref="C24:C27" ca="1">INDIRECT("Ans"&amp;CHAR(65+VLOOKUP(C22,'imp-questions'!$A:$H,8,FALSE)))</f>
        <v>No</v>
      </c>
      <c r="D24" t="str">
        <f t="array" aca="1" ref="D24:D27" ca="1">INDIRECT("Ans"&amp;CHAR(65+VLOOKUP(D22,'imp-questions'!$A:$H,8,FALSE)))</f>
        <v>No</v>
      </c>
      <c r="E24" t="str">
        <f t="array" aca="1" ref="E24:E27" ca="1">INDIRECT("Ans"&amp;CHAR(65+VLOOKUP(E22,'imp-questions'!$A:$H,8,FALSE)))</f>
        <v>No</v>
      </c>
      <c r="F24" t="str">
        <f t="array" aca="1" ref="F24:F27" ca="1">INDIRECT("Ans"&amp;CHAR(65+VLOOKUP(F22,'imp-questions'!$A:$H,8,FALSE)))</f>
        <v>No</v>
      </c>
      <c r="G24" t="str">
        <f t="array" aca="1" ref="G24:G27" ca="1">INDIRECT("Ans"&amp;CHAR(65+VLOOKUP(G22,'imp-questions'!$A:$H,8,FALSE)))</f>
        <v>No</v>
      </c>
      <c r="H24" t="str">
        <f t="array" aca="1" ref="H24:H27" ca="1">INDIRECT("Ans"&amp;CHAR(65+VLOOKUP(H22,'imp-questions'!$A:$H,8,FALSE)))</f>
        <v>No</v>
      </c>
      <c r="I24" t="str">
        <f t="array" aca="1" ref="I24:I27" ca="1">INDIRECT("Ans"&amp;CHAR(65+VLOOKUP(I22,'imp-questions'!$A:$H,8,FALSE)))</f>
        <v>No</v>
      </c>
      <c r="J24" t="str">
        <f t="array" aca="1" ref="J24:J27" ca="1">INDIRECT("Ans"&amp;CHAR(65+VLOOKUP(J22,'imp-questions'!$A:$H,8,FALSE)))</f>
        <v>No</v>
      </c>
      <c r="K24" t="str">
        <f t="array" aca="1" ref="K24:K27" ca="1">INDIRECT("Ans"&amp;CHAR(65+VLOOKUP(K22,'imp-questions'!$A:$H,8,FALSE)))</f>
        <v>No</v>
      </c>
      <c r="L24" t="str">
        <f t="array" aca="1" ref="L24:L27" ca="1">INDIRECT("Ans"&amp;CHAR(65+VLOOKUP(L22,'imp-questions'!$A:$H,8,FALSE)))</f>
        <v>No</v>
      </c>
      <c r="M24" t="str">
        <f t="array" aca="1" ref="M24:M27" ca="1">INDIRECT("Ans"&amp;CHAR(65+VLOOKUP(M22,'imp-questions'!$A:$H,8,FALSE)))</f>
        <v>No</v>
      </c>
      <c r="N24" t="str">
        <f t="array" aca="1" ref="N24:N27" ca="1">INDIRECT("Ans"&amp;CHAR(65+VLOOKUP(N22,'imp-questions'!$A:$H,8,FALSE)))</f>
        <v>No</v>
      </c>
      <c r="O24" t="str">
        <f t="array" aca="1" ref="O24:O27" ca="1">INDIRECT("Ans"&amp;CHAR(65+VLOOKUP(O22,'imp-questions'!$A:$H,8,FALSE)))</f>
        <v>No</v>
      </c>
      <c r="P24" t="str">
        <f t="array" aca="1" ref="P24:P27" ca="1">INDIRECT("Ans"&amp;CHAR(65+VLOOKUP(P22,'imp-questions'!$A:$H,8,FALSE)))</f>
        <v>No</v>
      </c>
      <c r="Q24" t="str">
        <f t="array" aca="1" ref="Q24:Q27" ca="1">INDIRECT("Ans"&amp;CHAR(65+VLOOKUP(Q22,'imp-questions'!$A:$H,8,FALSE)))</f>
        <v>No</v>
      </c>
      <c r="R24" t="str">
        <f t="array" aca="1" ref="R24:R27" ca="1">INDIRECT("Ans"&amp;CHAR(65+VLOOKUP(R22,'imp-questions'!$A:$H,8,FALSE)))</f>
        <v>No</v>
      </c>
    </row>
    <row r="25" spans="1:18" x14ac:dyDescent="0.35">
      <c r="A25" t="str">
        <f ca="1"/>
        <v>Yes, for some applications</v>
      </c>
      <c r="B25" t="str">
        <f ca="1"/>
        <v>Yes, for some applications</v>
      </c>
      <c r="C25" t="str">
        <f ca="1"/>
        <v>Yes, for some applications</v>
      </c>
      <c r="D25" t="str">
        <f ca="1"/>
        <v>Yes, for some applications</v>
      </c>
      <c r="E25" t="str">
        <f ca="1"/>
        <v>Yes, for some applications</v>
      </c>
      <c r="F25" t="str">
        <f ca="1"/>
        <v>Yes, for some applications</v>
      </c>
      <c r="G25" t="str">
        <f ca="1"/>
        <v>Yes, some of them</v>
      </c>
      <c r="H25" t="str">
        <f ca="1"/>
        <v>Yes, for some applications</v>
      </c>
      <c r="I25" t="str">
        <f ca="1"/>
        <v>Yes, some of them</v>
      </c>
      <c r="J25" t="str">
        <f ca="1"/>
        <v>Yes, some of the time</v>
      </c>
      <c r="K25" t="str">
        <f ca="1"/>
        <v>Yes, for some applications</v>
      </c>
      <c r="L25" t="str">
        <f ca="1"/>
        <v>Yes, some of the time</v>
      </c>
      <c r="M25" t="str">
        <f ca="1"/>
        <v>Yes, some of them</v>
      </c>
      <c r="N25" t="str">
        <f ca="1"/>
        <v>Yes, for some components</v>
      </c>
      <c r="O25" t="str">
        <f ca="1"/>
        <v>Yes, some of them</v>
      </c>
      <c r="P25" t="str">
        <f ca="1"/>
        <v>Yes, for some applications</v>
      </c>
      <c r="Q25" t="str">
        <f ca="1"/>
        <v>Yes, some of it</v>
      </c>
      <c r="R25" t="str">
        <f ca="1"/>
        <v>Yes, but we improve it ad-hoc</v>
      </c>
    </row>
    <row r="26" spans="1:18" x14ac:dyDescent="0.35">
      <c r="A26" t="str">
        <f ca="1"/>
        <v>Yes, for at least half of the applications</v>
      </c>
      <c r="B26" t="str">
        <f ca="1"/>
        <v>Yes, for at least half of the applications</v>
      </c>
      <c r="C26" t="str">
        <f ca="1"/>
        <v>Yes, for at least half of the applications</v>
      </c>
      <c r="D26" t="str">
        <f ca="1"/>
        <v>Yes, for at least half of the applications</v>
      </c>
      <c r="E26" t="str">
        <f ca="1"/>
        <v>Yes, for at least half of the applications</v>
      </c>
      <c r="F26" t="str">
        <f ca="1"/>
        <v>Yes, for at least half of the applications</v>
      </c>
      <c r="G26" t="str">
        <f ca="1"/>
        <v>Yes, at least half of them</v>
      </c>
      <c r="H26" t="str">
        <f ca="1"/>
        <v>Yes, for at least half of the applications</v>
      </c>
      <c r="I26" t="str">
        <f ca="1"/>
        <v>Yes, at least half of them</v>
      </c>
      <c r="J26" t="str">
        <f ca="1"/>
        <v>Yes, at least half of the time</v>
      </c>
      <c r="K26" t="str">
        <f ca="1"/>
        <v>Yes, for at least half of the applications</v>
      </c>
      <c r="L26" t="str">
        <f ca="1"/>
        <v>Yes, at least half of the time</v>
      </c>
      <c r="M26" t="str">
        <f ca="1"/>
        <v>Yes, at least half of them</v>
      </c>
      <c r="N26" t="str">
        <f ca="1"/>
        <v>Yes, for at least half of the components</v>
      </c>
      <c r="O26" t="str">
        <f ca="1"/>
        <v>Yes, at least half of them</v>
      </c>
      <c r="P26" t="str">
        <f ca="1"/>
        <v>Yes, for at least half of the applications</v>
      </c>
      <c r="Q26" t="str">
        <f ca="1"/>
        <v>Yes, at least half of it</v>
      </c>
      <c r="R26" t="str">
        <f ca="1"/>
        <v>Yes, we improve it at regular times</v>
      </c>
    </row>
    <row r="27" spans="1:18" x14ac:dyDescent="0.35">
      <c r="A27" t="str">
        <f ca="1"/>
        <v>Yes, for most or all of the applications</v>
      </c>
      <c r="B27" t="str">
        <f ca="1"/>
        <v>Yes, for most or all of the applications</v>
      </c>
      <c r="C27" t="str">
        <f ca="1"/>
        <v>Yes, for most or all of the applications</v>
      </c>
      <c r="D27" t="str">
        <f ca="1"/>
        <v>Yes, for most or all of the applications</v>
      </c>
      <c r="E27" t="str">
        <f ca="1"/>
        <v>Yes, for most or all of the applications</v>
      </c>
      <c r="F27" t="str">
        <f ca="1"/>
        <v>Yes, for most or all of the applications</v>
      </c>
      <c r="G27" t="str">
        <f ca="1"/>
        <v>Yes, most or all of them</v>
      </c>
      <c r="H27" t="str">
        <f ca="1"/>
        <v>Yes, for most or all of the applications</v>
      </c>
      <c r="I27" t="str">
        <f ca="1"/>
        <v>Yes, most or all of them</v>
      </c>
      <c r="J27" t="str">
        <f ca="1"/>
        <v>Yes, most or all of the time</v>
      </c>
      <c r="K27" t="str">
        <f ca="1"/>
        <v>Yes, for most or all of the applications</v>
      </c>
      <c r="L27" t="str">
        <f ca="1"/>
        <v>Yes, most or all of the time</v>
      </c>
      <c r="M27" t="str">
        <f ca="1"/>
        <v>Yes, most or all of them</v>
      </c>
      <c r="N27" t="str">
        <f ca="1"/>
        <v>Yes, for most or all of the components</v>
      </c>
      <c r="O27" t="str">
        <f ca="1"/>
        <v>Yes, most or all of them</v>
      </c>
      <c r="P27" t="str">
        <f ca="1"/>
        <v>Yes, for most or all of the applications</v>
      </c>
      <c r="Q27" t="str">
        <f ca="1"/>
        <v>Yes, most or all of it</v>
      </c>
      <c r="R27" t="str">
        <f ca="1"/>
        <v>Yes, we improve it at least annually</v>
      </c>
    </row>
    <row r="29" spans="1:18" x14ac:dyDescent="0.35">
      <c r="A29" t="s">
        <v>113</v>
      </c>
      <c r="B29" t="s">
        <v>116</v>
      </c>
      <c r="C29" t="s">
        <v>114</v>
      </c>
      <c r="D29" t="s">
        <v>117</v>
      </c>
      <c r="E29" t="s">
        <v>115</v>
      </c>
      <c r="F29" t="s">
        <v>118</v>
      </c>
      <c r="G29" t="s">
        <v>106</v>
      </c>
      <c r="H29" t="s">
        <v>109</v>
      </c>
      <c r="I29" t="s">
        <v>107</v>
      </c>
      <c r="J29" t="s">
        <v>110</v>
      </c>
      <c r="K29" t="s">
        <v>108</v>
      </c>
      <c r="L29" t="s">
        <v>111</v>
      </c>
      <c r="M29" t="s">
        <v>120</v>
      </c>
      <c r="N29" t="s">
        <v>123</v>
      </c>
      <c r="O29" t="s">
        <v>121</v>
      </c>
      <c r="P29" t="s">
        <v>124</v>
      </c>
      <c r="Q29" t="s">
        <v>122</v>
      </c>
      <c r="R29" t="s">
        <v>125</v>
      </c>
    </row>
    <row r="31" spans="1:18" x14ac:dyDescent="0.35">
      <c r="A31" t="str">
        <f t="array" aca="1" ref="A31:A34" ca="1">INDIRECT("Ans"&amp;CHAR(65+VLOOKUP(A29,'imp-questions'!$A:$H,8,FALSE)))</f>
        <v>No</v>
      </c>
      <c r="B31" t="str">
        <f t="array" aca="1" ref="B31:B34" ca="1">INDIRECT("Ans"&amp;CHAR(65+VLOOKUP(B29,'imp-questions'!$A:$H,8,FALSE)))</f>
        <v>No</v>
      </c>
      <c r="C31" t="str">
        <f t="array" aca="1" ref="C31:C34" ca="1">INDIRECT("Ans"&amp;CHAR(65+VLOOKUP(C29,'imp-questions'!$A:$H,8,FALSE)))</f>
        <v>No</v>
      </c>
      <c r="D31" t="str">
        <f t="array" aca="1" ref="D31:D34" ca="1">INDIRECT("Ans"&amp;CHAR(65+VLOOKUP(D29,'imp-questions'!$A:$H,8,FALSE)))</f>
        <v>No</v>
      </c>
      <c r="E31" t="str">
        <f t="array" aca="1" ref="E31:E34" ca="1">INDIRECT("Ans"&amp;CHAR(65+VLOOKUP(E29,'imp-questions'!$A:$H,8,FALSE)))</f>
        <v>No</v>
      </c>
      <c r="F31" t="str">
        <f t="array" aca="1" ref="F31:F34" ca="1">INDIRECT("Ans"&amp;CHAR(65+VLOOKUP(F29,'imp-questions'!$A:$H,8,FALSE)))</f>
        <v>No</v>
      </c>
      <c r="G31" t="str">
        <f t="array" aca="1" ref="G31:G34" ca="1">INDIRECT("Ans"&amp;CHAR(65+VLOOKUP(G29,'imp-questions'!$A:$H,8,FALSE)))</f>
        <v>No</v>
      </c>
      <c r="H31" t="str">
        <f t="array" aca="1" ref="H31:H34" ca="1">INDIRECT("Ans"&amp;CHAR(65+VLOOKUP(H29,'imp-questions'!$A:$H,8,FALSE)))</f>
        <v>No</v>
      </c>
      <c r="I31" t="str">
        <f t="array" aca="1" ref="I31:I34" ca="1">INDIRECT("Ans"&amp;CHAR(65+VLOOKUP(I29,'imp-questions'!$A:$H,8,FALSE)))</f>
        <v>No</v>
      </c>
      <c r="J31" t="str">
        <f t="array" aca="1" ref="J31:J34" ca="1">INDIRECT("Ans"&amp;CHAR(65+VLOOKUP(J29,'imp-questions'!$A:$H,8,FALSE)))</f>
        <v>No</v>
      </c>
      <c r="K31" t="str">
        <f t="array" aca="1" ref="K31:K34" ca="1">INDIRECT("Ans"&amp;CHAR(65+VLOOKUP(K29,'imp-questions'!$A:$H,8,FALSE)))</f>
        <v>No</v>
      </c>
      <c r="L31" t="str">
        <f t="array" aca="1" ref="L31:L34" ca="1">INDIRECT("Ans"&amp;CHAR(65+VLOOKUP(L29,'imp-questions'!$A:$H,8,FALSE)))</f>
        <v>No</v>
      </c>
      <c r="M31" t="str">
        <f t="array" aca="1" ref="M31:M34" ca="1">INDIRECT("Ans"&amp;CHAR(65+VLOOKUP(M29,'imp-questions'!$A:$H,8,FALSE)))</f>
        <v>No</v>
      </c>
      <c r="N31" t="str">
        <f t="array" aca="1" ref="N31:N34" ca="1">INDIRECT("Ans"&amp;CHAR(65+VLOOKUP(N29,'imp-questions'!$A:$H,8,FALSE)))</f>
        <v>No</v>
      </c>
      <c r="O31" t="str">
        <f t="array" aca="1" ref="O31:O34" ca="1">INDIRECT("Ans"&amp;CHAR(65+VLOOKUP(O29,'imp-questions'!$A:$H,8,FALSE)))</f>
        <v>No</v>
      </c>
      <c r="P31" t="str">
        <f t="array" aca="1" ref="P31:P34" ca="1">INDIRECT("Ans"&amp;CHAR(65+VLOOKUP(P29,'imp-questions'!$A:$H,8,FALSE)))</f>
        <v>No</v>
      </c>
      <c r="Q31" t="str">
        <f t="array" aca="1" ref="Q31:Q34" ca="1">INDIRECT("Ans"&amp;CHAR(65+VLOOKUP(Q29,'imp-questions'!$A:$H,8,FALSE)))</f>
        <v>No</v>
      </c>
      <c r="R31" t="str">
        <f t="array" aca="1" ref="R31:R34" ca="1">INDIRECT("Ans"&amp;CHAR(65+VLOOKUP(R29,'imp-questions'!$A:$H,8,FALSE)))</f>
        <v>No</v>
      </c>
    </row>
    <row r="32" spans="1:18" x14ac:dyDescent="0.35">
      <c r="A32" t="str">
        <f ca="1"/>
        <v>Yes, for some components</v>
      </c>
      <c r="B32" t="str">
        <f ca="1"/>
        <v>Yes, for some components</v>
      </c>
      <c r="C32" t="str">
        <f ca="1"/>
        <v>Yes, for some components</v>
      </c>
      <c r="D32" t="str">
        <f ca="1"/>
        <v>Yes, for some components</v>
      </c>
      <c r="E32" t="str">
        <f ca="1"/>
        <v>Yes, for some components</v>
      </c>
      <c r="F32" t="str">
        <f ca="1"/>
        <v>Yes, for some components</v>
      </c>
      <c r="G32" t="str">
        <f ca="1"/>
        <v>Yes, for some applications</v>
      </c>
      <c r="H32" t="str">
        <f ca="1"/>
        <v>Yes, for some incidents</v>
      </c>
      <c r="I32" t="str">
        <f ca="1"/>
        <v>Yes, for some applications</v>
      </c>
      <c r="J32" t="str">
        <f ca="1"/>
        <v>Yes, for some incident types</v>
      </c>
      <c r="K32" t="str">
        <f ca="1"/>
        <v>Yes, for some applications</v>
      </c>
      <c r="L32" t="str">
        <f ca="1"/>
        <v>Yes, some of the time</v>
      </c>
      <c r="M32" t="str">
        <f ca="1"/>
        <v>Yes, for some applications</v>
      </c>
      <c r="N32" t="str">
        <f ca="1"/>
        <v>Yes, for some applications</v>
      </c>
      <c r="O32" t="str">
        <f ca="1"/>
        <v>Yes, for some of our data</v>
      </c>
      <c r="P32" t="str">
        <f ca="1"/>
        <v>Yes, some of the time</v>
      </c>
      <c r="Q32" t="str">
        <f ca="1"/>
        <v>Yes, we do it when requested</v>
      </c>
      <c r="R32" t="str">
        <f ca="1"/>
        <v>Yes, for some of the assets</v>
      </c>
    </row>
    <row r="33" spans="1:18" x14ac:dyDescent="0.35">
      <c r="A33" t="str">
        <f ca="1"/>
        <v>Yes, for at least half of the components</v>
      </c>
      <c r="B33" t="str">
        <f ca="1"/>
        <v>Yes, for at least half of the components</v>
      </c>
      <c r="C33" t="str">
        <f ca="1"/>
        <v>Yes, for at least half of the components</v>
      </c>
      <c r="D33" t="str">
        <f ca="1"/>
        <v>Yes, for at least half of the components</v>
      </c>
      <c r="E33" t="str">
        <f ca="1"/>
        <v>Yes, for at least half of the components</v>
      </c>
      <c r="F33" t="str">
        <f ca="1"/>
        <v>Yes, for at least half of the components</v>
      </c>
      <c r="G33" t="str">
        <f ca="1"/>
        <v>Yes, for at least half of the applications</v>
      </c>
      <c r="H33" t="str">
        <f ca="1"/>
        <v>Yes, for at least half of the incidents</v>
      </c>
      <c r="I33" t="str">
        <f ca="1"/>
        <v>Yes, for at least half of the applications</v>
      </c>
      <c r="J33" t="str">
        <f ca="1"/>
        <v>Yes, for at least half of the incident types</v>
      </c>
      <c r="K33" t="str">
        <f ca="1"/>
        <v>Yes, for at least half of the applications</v>
      </c>
      <c r="L33" t="str">
        <f ca="1"/>
        <v>Yes, at least half of the time</v>
      </c>
      <c r="M33" t="str">
        <f ca="1"/>
        <v>Yes, for at least half of the applications</v>
      </c>
      <c r="N33" t="str">
        <f ca="1"/>
        <v>Yes, for at least half of the applications</v>
      </c>
      <c r="O33" t="str">
        <f ca="1"/>
        <v>Yes, for at least half of our data</v>
      </c>
      <c r="P33" t="str">
        <f ca="1"/>
        <v>Yes, at least half of the time</v>
      </c>
      <c r="Q33" t="str">
        <f ca="1"/>
        <v>Yes, we do it every few years</v>
      </c>
      <c r="R33" t="str">
        <f ca="1"/>
        <v>Yes, for at least half of the assets</v>
      </c>
    </row>
    <row r="34" spans="1:18" x14ac:dyDescent="0.35">
      <c r="A34" t="str">
        <f ca="1"/>
        <v>Yes, for most or all of the components</v>
      </c>
      <c r="B34" t="str">
        <f ca="1"/>
        <v>Yes, for most or all of the components</v>
      </c>
      <c r="C34" t="str">
        <f ca="1"/>
        <v>Yes, for most or all of the components</v>
      </c>
      <c r="D34" t="str">
        <f ca="1"/>
        <v>Yes, for most or all of the components</v>
      </c>
      <c r="E34" t="str">
        <f ca="1"/>
        <v>Yes, for most or all of the components</v>
      </c>
      <c r="F34" t="str">
        <f ca="1"/>
        <v>Yes, for most or all of the components</v>
      </c>
      <c r="G34" t="str">
        <f ca="1"/>
        <v>Yes, for most or all of the applications</v>
      </c>
      <c r="H34" t="str">
        <f ca="1"/>
        <v>Yes, for most or all of the incidents</v>
      </c>
      <c r="I34" t="str">
        <f ca="1"/>
        <v>Yes, for most or all of the applications</v>
      </c>
      <c r="J34" t="str">
        <f ca="1"/>
        <v>Yes, for most or all of the incident types</v>
      </c>
      <c r="K34" t="str">
        <f ca="1"/>
        <v>Yes, for most or all of the applications</v>
      </c>
      <c r="L34" t="str">
        <f ca="1"/>
        <v>Yes, most or all of the time</v>
      </c>
      <c r="M34" t="str">
        <f ca="1"/>
        <v>Yes, for most or all of the applications</v>
      </c>
      <c r="N34" t="str">
        <f ca="1"/>
        <v>Yes, for most or all of the applications</v>
      </c>
      <c r="O34" t="str">
        <f ca="1"/>
        <v>Yes, for most or all of our data</v>
      </c>
      <c r="P34" t="str">
        <f ca="1"/>
        <v>Yes, most or all of the time</v>
      </c>
      <c r="Q34" t="str">
        <f ca="1"/>
        <v>Yes, we do it at least annually</v>
      </c>
      <c r="R34" t="str">
        <f ca="1"/>
        <v>Yes, for most or all of the assets</v>
      </c>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I25"/>
  <sheetViews>
    <sheetView workbookViewId="0"/>
  </sheetViews>
  <sheetFormatPr defaultColWidth="11.46484375" defaultRowHeight="12.75" x14ac:dyDescent="0.35"/>
  <cols>
    <col min="1" max="1" width="15.796875" bestFit="1" customWidth="1"/>
    <col min="3" max="3" width="33.46484375" bestFit="1" customWidth="1"/>
    <col min="4" max="4" width="27.46484375" customWidth="1"/>
    <col min="5" max="5" width="29.46484375" customWidth="1"/>
  </cols>
  <sheetData>
    <row r="1" spans="1:9" x14ac:dyDescent="0.35">
      <c r="A1" t="s">
        <v>538</v>
      </c>
      <c r="B1" t="s">
        <v>273</v>
      </c>
      <c r="C1" t="s">
        <v>281</v>
      </c>
      <c r="D1" t="s">
        <v>288</v>
      </c>
      <c r="E1" t="s">
        <v>296</v>
      </c>
      <c r="F1" t="s">
        <v>539</v>
      </c>
      <c r="G1" t="s">
        <v>540</v>
      </c>
      <c r="H1" t="s">
        <v>541</v>
      </c>
      <c r="I1" t="s">
        <v>542</v>
      </c>
    </row>
    <row r="2" spans="1:9" x14ac:dyDescent="0.35">
      <c r="A2">
        <v>0</v>
      </c>
      <c r="B2" t="s">
        <v>274</v>
      </c>
      <c r="C2" t="s">
        <v>543</v>
      </c>
      <c r="D2" t="s">
        <v>544</v>
      </c>
      <c r="E2" t="s">
        <v>545</v>
      </c>
      <c r="F2">
        <v>0</v>
      </c>
      <c r="G2">
        <v>0.25</v>
      </c>
      <c r="H2">
        <v>0.5</v>
      </c>
      <c r="I2">
        <v>1</v>
      </c>
    </row>
    <row r="3" spans="1:9" x14ac:dyDescent="0.35">
      <c r="A3">
        <v>1</v>
      </c>
      <c r="B3" t="s">
        <v>274</v>
      </c>
      <c r="C3" t="s">
        <v>546</v>
      </c>
      <c r="D3" t="s">
        <v>547</v>
      </c>
      <c r="E3" t="s">
        <v>548</v>
      </c>
      <c r="F3">
        <v>0</v>
      </c>
      <c r="G3">
        <v>0.25</v>
      </c>
      <c r="H3">
        <v>0.5</v>
      </c>
      <c r="I3">
        <v>1</v>
      </c>
    </row>
    <row r="4" spans="1:9" x14ac:dyDescent="0.35">
      <c r="A4">
        <v>2</v>
      </c>
      <c r="B4" t="s">
        <v>274</v>
      </c>
      <c r="C4" t="s">
        <v>549</v>
      </c>
      <c r="D4" t="s">
        <v>550</v>
      </c>
      <c r="E4" t="s">
        <v>551</v>
      </c>
      <c r="F4">
        <v>0</v>
      </c>
      <c r="G4">
        <v>0.25</v>
      </c>
      <c r="H4">
        <v>0.5</v>
      </c>
      <c r="I4">
        <v>1</v>
      </c>
    </row>
    <row r="5" spans="1:9" x14ac:dyDescent="0.35">
      <c r="A5">
        <v>3</v>
      </c>
      <c r="B5" t="s">
        <v>274</v>
      </c>
      <c r="C5" t="s">
        <v>552</v>
      </c>
      <c r="D5" t="s">
        <v>553</v>
      </c>
      <c r="E5" t="s">
        <v>554</v>
      </c>
      <c r="F5">
        <v>0</v>
      </c>
      <c r="G5">
        <v>0.25</v>
      </c>
      <c r="H5">
        <v>0.5</v>
      </c>
      <c r="I5">
        <v>1</v>
      </c>
    </row>
    <row r="6" spans="1:9" x14ac:dyDescent="0.35">
      <c r="A6">
        <v>4</v>
      </c>
      <c r="B6" t="s">
        <v>274</v>
      </c>
      <c r="C6" t="s">
        <v>555</v>
      </c>
      <c r="D6" t="s">
        <v>556</v>
      </c>
      <c r="E6" t="s">
        <v>557</v>
      </c>
      <c r="F6">
        <v>0</v>
      </c>
      <c r="G6">
        <v>0.25</v>
      </c>
      <c r="H6">
        <v>0.5</v>
      </c>
      <c r="I6">
        <v>1</v>
      </c>
    </row>
    <row r="7" spans="1:9" x14ac:dyDescent="0.35">
      <c r="A7">
        <v>5</v>
      </c>
      <c r="B7" t="s">
        <v>274</v>
      </c>
      <c r="C7" t="s">
        <v>558</v>
      </c>
      <c r="D7" t="s">
        <v>559</v>
      </c>
      <c r="E7" t="s">
        <v>560</v>
      </c>
      <c r="F7">
        <v>0</v>
      </c>
      <c r="G7">
        <v>0.25</v>
      </c>
      <c r="H7">
        <v>0.5</v>
      </c>
      <c r="I7">
        <v>1</v>
      </c>
    </row>
    <row r="8" spans="1:9" x14ac:dyDescent="0.35">
      <c r="A8">
        <v>6</v>
      </c>
      <c r="B8" t="s">
        <v>274</v>
      </c>
      <c r="C8" t="s">
        <v>561</v>
      </c>
      <c r="D8" t="s">
        <v>562</v>
      </c>
      <c r="E8" t="s">
        <v>563</v>
      </c>
      <c r="F8">
        <v>0</v>
      </c>
      <c r="G8">
        <v>0.25</v>
      </c>
      <c r="H8">
        <v>0.5</v>
      </c>
      <c r="I8">
        <v>1</v>
      </c>
    </row>
    <row r="9" spans="1:9" x14ac:dyDescent="0.35">
      <c r="A9">
        <v>7</v>
      </c>
      <c r="B9" t="s">
        <v>274</v>
      </c>
      <c r="C9" t="s">
        <v>564</v>
      </c>
      <c r="D9" t="s">
        <v>565</v>
      </c>
      <c r="E9" t="s">
        <v>566</v>
      </c>
      <c r="F9">
        <v>0</v>
      </c>
      <c r="G9">
        <v>0.25</v>
      </c>
      <c r="H9">
        <v>0.5</v>
      </c>
      <c r="I9">
        <v>1</v>
      </c>
    </row>
    <row r="10" spans="1:9" x14ac:dyDescent="0.35">
      <c r="A10">
        <v>8</v>
      </c>
      <c r="B10" t="s">
        <v>274</v>
      </c>
      <c r="C10" t="s">
        <v>567</v>
      </c>
      <c r="D10" t="s">
        <v>568</v>
      </c>
      <c r="E10" t="s">
        <v>569</v>
      </c>
      <c r="F10">
        <v>0</v>
      </c>
      <c r="G10">
        <v>0.25</v>
      </c>
      <c r="H10">
        <v>0.5</v>
      </c>
      <c r="I10">
        <v>1</v>
      </c>
    </row>
    <row r="11" spans="1:9" x14ac:dyDescent="0.35">
      <c r="A11">
        <v>9</v>
      </c>
      <c r="B11" t="s">
        <v>274</v>
      </c>
      <c r="C11" t="s">
        <v>570</v>
      </c>
      <c r="D11" t="s">
        <v>571</v>
      </c>
      <c r="E11" t="s">
        <v>572</v>
      </c>
      <c r="F11">
        <v>0</v>
      </c>
      <c r="G11">
        <v>0.25</v>
      </c>
      <c r="H11">
        <v>0.5</v>
      </c>
      <c r="I11">
        <v>1</v>
      </c>
    </row>
    <row r="12" spans="1:9" x14ac:dyDescent="0.35">
      <c r="A12">
        <v>10</v>
      </c>
      <c r="B12" t="s">
        <v>274</v>
      </c>
      <c r="C12" t="s">
        <v>573</v>
      </c>
      <c r="D12" t="s">
        <v>299</v>
      </c>
      <c r="E12" t="s">
        <v>300</v>
      </c>
      <c r="F12">
        <v>0</v>
      </c>
      <c r="G12">
        <v>0.25</v>
      </c>
      <c r="H12">
        <v>0.5</v>
      </c>
      <c r="I12">
        <v>1</v>
      </c>
    </row>
    <row r="13" spans="1:9" x14ac:dyDescent="0.35">
      <c r="A13">
        <v>11</v>
      </c>
      <c r="B13" t="s">
        <v>274</v>
      </c>
      <c r="C13" t="s">
        <v>574</v>
      </c>
      <c r="D13" t="s">
        <v>575</v>
      </c>
      <c r="E13" t="s">
        <v>576</v>
      </c>
      <c r="F13">
        <v>0</v>
      </c>
      <c r="G13">
        <v>0.25</v>
      </c>
      <c r="H13">
        <v>0.5</v>
      </c>
      <c r="I13">
        <v>1</v>
      </c>
    </row>
    <row r="14" spans="1:9" x14ac:dyDescent="0.35">
      <c r="A14">
        <v>12</v>
      </c>
      <c r="B14" t="s">
        <v>274</v>
      </c>
      <c r="C14" t="s">
        <v>577</v>
      </c>
      <c r="D14" t="s">
        <v>578</v>
      </c>
      <c r="E14" t="s">
        <v>579</v>
      </c>
      <c r="F14">
        <v>0</v>
      </c>
      <c r="G14">
        <v>0.25</v>
      </c>
      <c r="H14">
        <v>0.5</v>
      </c>
      <c r="I14">
        <v>1</v>
      </c>
    </row>
    <row r="15" spans="1:9" x14ac:dyDescent="0.35">
      <c r="A15">
        <v>13</v>
      </c>
      <c r="B15" t="s">
        <v>274</v>
      </c>
      <c r="C15" t="s">
        <v>580</v>
      </c>
      <c r="D15" t="s">
        <v>581</v>
      </c>
      <c r="E15" t="s">
        <v>582</v>
      </c>
      <c r="F15">
        <v>0</v>
      </c>
      <c r="G15">
        <v>0.25</v>
      </c>
      <c r="H15">
        <v>0.5</v>
      </c>
      <c r="I15">
        <v>1</v>
      </c>
    </row>
    <row r="16" spans="1:9" x14ac:dyDescent="0.35">
      <c r="A16">
        <v>14</v>
      </c>
      <c r="B16" t="s">
        <v>274</v>
      </c>
      <c r="C16" t="s">
        <v>583</v>
      </c>
      <c r="D16" t="s">
        <v>584</v>
      </c>
      <c r="E16" t="s">
        <v>585</v>
      </c>
      <c r="F16">
        <v>0</v>
      </c>
      <c r="G16">
        <v>0.25</v>
      </c>
      <c r="H16">
        <v>0.5</v>
      </c>
      <c r="I16">
        <v>1</v>
      </c>
    </row>
    <row r="17" spans="1:9" x14ac:dyDescent="0.35">
      <c r="A17">
        <v>15</v>
      </c>
      <c r="B17" t="s">
        <v>274</v>
      </c>
      <c r="C17" t="s">
        <v>586</v>
      </c>
      <c r="D17" t="s">
        <v>587</v>
      </c>
      <c r="E17" t="s">
        <v>588</v>
      </c>
      <c r="F17">
        <v>0</v>
      </c>
      <c r="G17">
        <v>0.25</v>
      </c>
      <c r="H17">
        <v>0.5</v>
      </c>
      <c r="I17">
        <v>1</v>
      </c>
    </row>
    <row r="18" spans="1:9" x14ac:dyDescent="0.35">
      <c r="A18">
        <v>16</v>
      </c>
      <c r="B18" t="s">
        <v>274</v>
      </c>
      <c r="C18" t="s">
        <v>589</v>
      </c>
      <c r="D18" t="s">
        <v>590</v>
      </c>
      <c r="E18" t="s">
        <v>591</v>
      </c>
      <c r="F18">
        <v>0</v>
      </c>
      <c r="G18">
        <v>0.25</v>
      </c>
      <c r="H18">
        <v>0.5</v>
      </c>
      <c r="I18">
        <v>1</v>
      </c>
    </row>
    <row r="19" spans="1:9" x14ac:dyDescent="0.35">
      <c r="A19">
        <v>17</v>
      </c>
      <c r="B19" t="s">
        <v>274</v>
      </c>
      <c r="C19" t="s">
        <v>592</v>
      </c>
      <c r="D19" t="s">
        <v>593</v>
      </c>
      <c r="E19" t="s">
        <v>594</v>
      </c>
      <c r="F19">
        <v>0</v>
      </c>
      <c r="G19">
        <v>0.25</v>
      </c>
      <c r="H19">
        <v>0.5</v>
      </c>
      <c r="I19">
        <v>1</v>
      </c>
    </row>
    <row r="20" spans="1:9" x14ac:dyDescent="0.35">
      <c r="A20">
        <v>18</v>
      </c>
      <c r="B20" t="s">
        <v>274</v>
      </c>
      <c r="C20" t="s">
        <v>595</v>
      </c>
      <c r="D20" t="s">
        <v>596</v>
      </c>
      <c r="E20" t="s">
        <v>597</v>
      </c>
      <c r="F20">
        <v>0</v>
      </c>
      <c r="G20">
        <v>0.25</v>
      </c>
      <c r="H20">
        <v>0.5</v>
      </c>
      <c r="I20">
        <v>1</v>
      </c>
    </row>
    <row r="21" spans="1:9" x14ac:dyDescent="0.35">
      <c r="A21">
        <v>19</v>
      </c>
      <c r="B21" t="s">
        <v>274</v>
      </c>
      <c r="C21" t="s">
        <v>598</v>
      </c>
      <c r="D21" t="s">
        <v>599</v>
      </c>
      <c r="E21" t="s">
        <v>600</v>
      </c>
      <c r="F21">
        <v>0</v>
      </c>
      <c r="G21">
        <v>0.25</v>
      </c>
      <c r="H21">
        <v>0.5</v>
      </c>
      <c r="I21">
        <v>1</v>
      </c>
    </row>
    <row r="22" spans="1:9" x14ac:dyDescent="0.35">
      <c r="A22">
        <v>20</v>
      </c>
      <c r="B22" t="s">
        <v>274</v>
      </c>
      <c r="C22" t="s">
        <v>601</v>
      </c>
      <c r="D22" t="s">
        <v>602</v>
      </c>
      <c r="E22" t="s">
        <v>603</v>
      </c>
      <c r="F22">
        <v>0</v>
      </c>
      <c r="G22">
        <v>0.25</v>
      </c>
      <c r="H22">
        <v>0.5</v>
      </c>
      <c r="I22">
        <v>1</v>
      </c>
    </row>
    <row r="23" spans="1:9" x14ac:dyDescent="0.35">
      <c r="A23">
        <v>21</v>
      </c>
      <c r="B23" t="s">
        <v>274</v>
      </c>
      <c r="C23" t="s">
        <v>604</v>
      </c>
      <c r="D23" t="s">
        <v>605</v>
      </c>
      <c r="E23" t="s">
        <v>606</v>
      </c>
      <c r="F23">
        <v>0</v>
      </c>
      <c r="G23">
        <v>0.25</v>
      </c>
      <c r="H23">
        <v>0.5</v>
      </c>
      <c r="I23">
        <v>1</v>
      </c>
    </row>
    <row r="24" spans="1:9" x14ac:dyDescent="0.35">
      <c r="A24">
        <v>22</v>
      </c>
      <c r="B24" t="s">
        <v>274</v>
      </c>
      <c r="C24" t="s">
        <v>607</v>
      </c>
      <c r="D24" t="s">
        <v>608</v>
      </c>
      <c r="E24" t="s">
        <v>609</v>
      </c>
      <c r="F24">
        <v>0</v>
      </c>
      <c r="G24">
        <v>0.25</v>
      </c>
      <c r="H24">
        <v>0.5</v>
      </c>
      <c r="I24">
        <v>1</v>
      </c>
    </row>
    <row r="25" spans="1:9" x14ac:dyDescent="0.35">
      <c r="A25">
        <v>23</v>
      </c>
      <c r="B25" t="s">
        <v>274</v>
      </c>
      <c r="C25" t="s">
        <v>610</v>
      </c>
      <c r="D25" t="s">
        <v>611</v>
      </c>
      <c r="E25" t="s">
        <v>612</v>
      </c>
      <c r="F25">
        <v>0</v>
      </c>
      <c r="G25">
        <v>0.25</v>
      </c>
      <c r="H25">
        <v>0.5</v>
      </c>
      <c r="I25">
        <v>1</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
  <sheetViews>
    <sheetView workbookViewId="0"/>
  </sheetViews>
  <sheetFormatPr defaultColWidth="8.796875" defaultRowHeight="12.75" x14ac:dyDescent="0.35"/>
  <cols>
    <col min="1" max="1" width="170.46484375" style="10" customWidth="1"/>
    <col min="2" max="3" width="8.796875" style="10" customWidth="1"/>
    <col min="4" max="16384" width="8.796875" style="10"/>
  </cols>
  <sheetData>
    <row r="1" spans="1:1" ht="25.05" customHeight="1" x14ac:dyDescent="0.35">
      <c r="A1" s="9" t="s">
        <v>613</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141</vt:i4>
      </vt:variant>
    </vt:vector>
  </HeadingPairs>
  <TitlesOfParts>
    <vt:vector size="153" baseType="lpstr">
      <vt:lpstr>Attribution and License</vt:lpstr>
      <vt:lpstr>Getting Started</vt:lpstr>
      <vt:lpstr>Benchmark</vt:lpstr>
      <vt:lpstr>Interview</vt:lpstr>
      <vt:lpstr>Scorecard</vt:lpstr>
      <vt:lpstr>Roadmap</vt:lpstr>
      <vt:lpstr>Roadmap Chart</vt:lpstr>
      <vt:lpstr>Lookups</vt:lpstr>
      <vt:lpstr>imp-questions</vt:lpstr>
      <vt:lpstr>DV-Lists</vt:lpstr>
      <vt:lpstr>imp-answers</vt:lpstr>
      <vt:lpstr>Background Images</vt:lpstr>
      <vt:lpstr>AnsA</vt:lpstr>
      <vt:lpstr>AnsATBL</vt:lpstr>
      <vt:lpstr>AnsB</vt:lpstr>
      <vt:lpstr>AnsBTBL</vt:lpstr>
      <vt:lpstr>AnsC</vt:lpstr>
      <vt:lpstr>AnsCTBL</vt:lpstr>
      <vt:lpstr>AnsD</vt:lpstr>
      <vt:lpstr>AnsDTBL</vt:lpstr>
      <vt:lpstr>AnsE</vt:lpstr>
      <vt:lpstr>AnsETBL</vt:lpstr>
      <vt:lpstr>AnsF</vt:lpstr>
      <vt:lpstr>AnsFTBL</vt:lpstr>
      <vt:lpstr>AnsG</vt:lpstr>
      <vt:lpstr>AnsGTBL</vt:lpstr>
      <vt:lpstr>AnsH</vt:lpstr>
      <vt:lpstr>AnsHTBL</vt:lpstr>
      <vt:lpstr>AnsI</vt:lpstr>
      <vt:lpstr>AnsITBL</vt:lpstr>
      <vt:lpstr>AnsJ</vt:lpstr>
      <vt:lpstr>AnsJTBL</vt:lpstr>
      <vt:lpstr>AnsK</vt:lpstr>
      <vt:lpstr>AnsKTBL</vt:lpstr>
      <vt:lpstr>AnsL</vt:lpstr>
      <vt:lpstr>AnsLTBL</vt:lpstr>
      <vt:lpstr>AnsM</vt:lpstr>
      <vt:lpstr>AnsMTBL</vt:lpstr>
      <vt:lpstr>AnsN</vt:lpstr>
      <vt:lpstr>AnsNTBL</vt:lpstr>
      <vt:lpstr>AnsO</vt:lpstr>
      <vt:lpstr>AnsOTBL</vt:lpstr>
      <vt:lpstr>AnsP</vt:lpstr>
      <vt:lpstr>AnsPTBL</vt:lpstr>
      <vt:lpstr>AnsQ</vt:lpstr>
      <vt:lpstr>AnsQTBL</vt:lpstr>
      <vt:lpstr>AnsR</vt:lpstr>
      <vt:lpstr>AnsRTBL</vt:lpstr>
      <vt:lpstr>AnsS</vt:lpstr>
      <vt:lpstr>AnsSTBL</vt:lpstr>
      <vt:lpstr>AnsT</vt:lpstr>
      <vt:lpstr>AnsTTBL</vt:lpstr>
      <vt:lpstr>AnsU</vt:lpstr>
      <vt:lpstr>AnsUTBL</vt:lpstr>
      <vt:lpstr>AnsV</vt:lpstr>
      <vt:lpstr>AnsVTBL</vt:lpstr>
      <vt:lpstr>AnsW</vt:lpstr>
      <vt:lpstr>AnsWTBL</vt:lpstr>
      <vt:lpstr>AnsX</vt:lpstr>
      <vt:lpstr>AnsXTBL</vt:lpstr>
      <vt:lpstr>AnsY</vt:lpstr>
      <vt:lpstr>AnsYTBL</vt:lpstr>
      <vt:lpstr>D_SA_A_1_1</vt:lpstr>
      <vt:lpstr>D_SA_A_2_1</vt:lpstr>
      <vt:lpstr>D_SA_A_3_1</vt:lpstr>
      <vt:lpstr>D_SA_B_1_1</vt:lpstr>
      <vt:lpstr>D_SA_B_2_1</vt:lpstr>
      <vt:lpstr>D_SA_B_3_1</vt:lpstr>
      <vt:lpstr>D_SR_A_1_1</vt:lpstr>
      <vt:lpstr>D_SR_A_2_1</vt:lpstr>
      <vt:lpstr>D_SR_A_3_1</vt:lpstr>
      <vt:lpstr>D_SR_B_1_1</vt:lpstr>
      <vt:lpstr>D_SR_B_2_1</vt:lpstr>
      <vt:lpstr>D_SR_B_3_1</vt:lpstr>
      <vt:lpstr>D_TA_A_1_1</vt:lpstr>
      <vt:lpstr>D_TA_A_2_1</vt:lpstr>
      <vt:lpstr>D_TA_A_3_1</vt:lpstr>
      <vt:lpstr>D_TA_B_1_1</vt:lpstr>
      <vt:lpstr>D_TA_B_2_1</vt:lpstr>
      <vt:lpstr>D_TA_B_3_1</vt:lpstr>
      <vt:lpstr>G_EG_A_1_1</vt:lpstr>
      <vt:lpstr>G_EG_A_2_1</vt:lpstr>
      <vt:lpstr>G_EG_A_3_1</vt:lpstr>
      <vt:lpstr>G_EG_B_1_1</vt:lpstr>
      <vt:lpstr>G_EG_B_2_1</vt:lpstr>
      <vt:lpstr>G_EG_B_3_1</vt:lpstr>
      <vt:lpstr>G_PC_A_1_1</vt:lpstr>
      <vt:lpstr>G_PC_A_2_1</vt:lpstr>
      <vt:lpstr>G_PC_A_3_1</vt:lpstr>
      <vt:lpstr>G_PC_B_1_1</vt:lpstr>
      <vt:lpstr>G_PC_B_2_1</vt:lpstr>
      <vt:lpstr>G_PC_B_3_1</vt:lpstr>
      <vt:lpstr>G_SM_A_1_1</vt:lpstr>
      <vt:lpstr>G_SM_A_2_1</vt:lpstr>
      <vt:lpstr>G_SM_A_3_1</vt:lpstr>
      <vt:lpstr>G_SM_B_1_1</vt:lpstr>
      <vt:lpstr>G_SM_B_2_1</vt:lpstr>
      <vt:lpstr>G_SM_B_3_1</vt:lpstr>
      <vt:lpstr>I_DM_A_1_1</vt:lpstr>
      <vt:lpstr>I_DM_A_2_1</vt:lpstr>
      <vt:lpstr>I_DM_A_3_1</vt:lpstr>
      <vt:lpstr>I_DM_B_1_1</vt:lpstr>
      <vt:lpstr>I_DM_B_2_1</vt:lpstr>
      <vt:lpstr>I_DM_B_3_1</vt:lpstr>
      <vt:lpstr>I_SB_A_1_1</vt:lpstr>
      <vt:lpstr>I_SB_A_2_1</vt:lpstr>
      <vt:lpstr>I_SB_A_3_1</vt:lpstr>
      <vt:lpstr>I_SB_B_1_1</vt:lpstr>
      <vt:lpstr>I_SB_B_2_1</vt:lpstr>
      <vt:lpstr>I_SB_B_3_1</vt:lpstr>
      <vt:lpstr>I_SD_A_1_1</vt:lpstr>
      <vt:lpstr>I_SD_A_2_1</vt:lpstr>
      <vt:lpstr>I_SD_A_3_1</vt:lpstr>
      <vt:lpstr>I_SD_B_1_1</vt:lpstr>
      <vt:lpstr>I_SD_B_2_1</vt:lpstr>
      <vt:lpstr>I_SD_B_3_1</vt:lpstr>
      <vt:lpstr>O_EM_A_1_1</vt:lpstr>
      <vt:lpstr>O_EM_A_2_1</vt:lpstr>
      <vt:lpstr>O_EM_A_3_1</vt:lpstr>
      <vt:lpstr>O_EM_B_1_1</vt:lpstr>
      <vt:lpstr>O_EM_B_2_1</vt:lpstr>
      <vt:lpstr>O_EM_B_3_1</vt:lpstr>
      <vt:lpstr>O_IM_A_1_1</vt:lpstr>
      <vt:lpstr>O_IM_A_2_1</vt:lpstr>
      <vt:lpstr>O_IM_A_3_1</vt:lpstr>
      <vt:lpstr>O_IM_B_1_1</vt:lpstr>
      <vt:lpstr>O_IM_B_2_1</vt:lpstr>
      <vt:lpstr>O_IM_B_3_1</vt:lpstr>
      <vt:lpstr>O_OM_A_1_1</vt:lpstr>
      <vt:lpstr>O_OM_A_2_1</vt:lpstr>
      <vt:lpstr>O_OM_A_3_1</vt:lpstr>
      <vt:lpstr>O_OM_B_1_1</vt:lpstr>
      <vt:lpstr>O_OM_B_2_1</vt:lpstr>
      <vt:lpstr>O_OM_B_3_1</vt:lpstr>
      <vt:lpstr>'Roadmap Chart'!Print_Area</vt:lpstr>
      <vt:lpstr>V_AA_A_1_1</vt:lpstr>
      <vt:lpstr>V_AA_A_2_1</vt:lpstr>
      <vt:lpstr>V_AA_A_3_1</vt:lpstr>
      <vt:lpstr>V_AA_B_1_1</vt:lpstr>
      <vt:lpstr>V_AA_B_2_1</vt:lpstr>
      <vt:lpstr>V_AA_B_3_1</vt:lpstr>
      <vt:lpstr>V_RT_A_1_1</vt:lpstr>
      <vt:lpstr>V_RT_A_2_1</vt:lpstr>
      <vt:lpstr>V_RT_A_3_1</vt:lpstr>
      <vt:lpstr>V_RT_B_1_1</vt:lpstr>
      <vt:lpstr>V_RT_B_2_1</vt:lpstr>
      <vt:lpstr>V_RT_B_3_1</vt:lpstr>
      <vt:lpstr>V_ST_A_1_1</vt:lpstr>
      <vt:lpstr>V_ST_A_2_1</vt:lpstr>
      <vt:lpstr>V_ST_A_3_1</vt:lpstr>
      <vt:lpstr>V_ST_B_1_1</vt:lpstr>
      <vt:lpstr>V_ST_B_2_1</vt:lpstr>
      <vt:lpstr>V_ST_B_3_1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Maxim Baele</cp:lastModifiedBy>
  <dcterms:created xsi:type="dcterms:W3CDTF">2024-06-24T20:20:10Z</dcterms:created>
  <dcterms:modified xsi:type="dcterms:W3CDTF">2026-04-22T14:30:40Z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d6eec08-3916-454d-825e-219775cc1119_Enabled">
    <vt:lpwstr>true</vt:lpwstr>
  </property>
  <property fmtid="{D5CDD505-2E9C-101B-9397-08002B2CF9AE}" pid="3" name="MSIP_Label_8d6eec08-3916-454d-825e-219775cc1119_SetDate">
    <vt:lpwstr>2026-04-20T18:16:47Z</vt:lpwstr>
  </property>
  <property fmtid="{D5CDD505-2E9C-101B-9397-08002B2CF9AE}" pid="4" name="MSIP_Label_8d6eec08-3916-454d-825e-219775cc1119_Method">
    <vt:lpwstr>Privileged</vt:lpwstr>
  </property>
  <property fmtid="{D5CDD505-2E9C-101B-9397-08002B2CF9AE}" pid="5" name="MSIP_Label_8d6eec08-3916-454d-825e-219775cc1119_Name">
    <vt:lpwstr>TOR_Public</vt:lpwstr>
  </property>
  <property fmtid="{D5CDD505-2E9C-101B-9397-08002B2CF9AE}" pid="6" name="MSIP_Label_8d6eec08-3916-454d-825e-219775cc1119_SiteId">
    <vt:lpwstr>17075fe6-81b6-42f8-8120-de58650ac4fc</vt:lpwstr>
  </property>
  <property fmtid="{D5CDD505-2E9C-101B-9397-08002B2CF9AE}" pid="7" name="MSIP_Label_8d6eec08-3916-454d-825e-219775cc1119_ActionId">
    <vt:lpwstr>d527c8d3-1fe3-43b1-b5be-c9c7a07f2ef3</vt:lpwstr>
  </property>
  <property fmtid="{D5CDD505-2E9C-101B-9397-08002B2CF9AE}" pid="8" name="MSIP_Label_8d6eec08-3916-454d-825e-219775cc1119_ContentBits">
    <vt:lpwstr>0</vt:lpwstr>
  </property>
  <property fmtid="{D5CDD505-2E9C-101B-9397-08002B2CF9AE}" pid="9" name="MSIP_Label_8d6eec08-3916-454d-825e-219775cc1119_Tag">
    <vt:lpwstr>50, 0, 1, 1</vt:lpwstr>
  </property>
</Properties>
</file>